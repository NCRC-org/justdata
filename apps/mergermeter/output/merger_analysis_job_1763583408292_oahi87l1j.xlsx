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76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167" fontId="1" fillId="0" borderId="0" applyAlignment="1" pivotButton="0" quotePrefix="0" xfId="0">
      <alignment wrapText="1"/>
    </xf>
    <xf numFmtId="168" fontId="1" fillId="0" borderId="0" applyAlignment="1" pivotButton="0" quotePrefix="0" xfId="0">
      <alignment vertical="center"/>
    </xf>
    <xf numFmtId="0" fontId="0" fillId="4" borderId="0" pivotButton="0" quotePrefix="0" xfId="0"/>
    <xf numFmtId="0" fontId="1" fillId="4" borderId="0" applyAlignment="1" pivotButton="0" quotePrefix="1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1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wrapText="1"/>
    </xf>
    <xf numFmtId="0" fontId="1" fillId="4" borderId="0" pivotButton="0" quotePrefix="0" xfId="0"/>
    <xf numFmtId="0" fontId="2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1" xfId="0"/>
    <xf numFmtId="0" fontId="1" fillId="4" borderId="0" applyAlignment="1" pivotButton="0" quotePrefix="1" xfId="0">
      <alignment horizontal="center"/>
    </xf>
    <xf numFmtId="0" fontId="1" fillId="4" borderId="0" applyAlignment="1" pivotButton="0" quotePrefix="1" xfId="0">
      <alignment horizontal="left"/>
    </xf>
    <xf numFmtId="0" fontId="1" fillId="4" borderId="0" applyAlignment="1" pivotButton="0" quotePrefix="1" xfId="0">
      <alignment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Data Sources and Timeframes: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</row>
    <row r="2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</row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63" t="inlineStr">
        <is>
          <t>@PNC AA</t>
        </is>
      </c>
      <c r="B1" s="64" t="inlineStr">
        <is>
          <t>County State</t>
        </is>
      </c>
      <c r="C1" s="65" t="n"/>
      <c r="D1" s="66" t="inlineStr">
        <is>
          <t>@FirstBank AA</t>
        </is>
      </c>
      <c r="E1" s="64" t="inlineStr">
        <is>
          <t>County State</t>
        </is>
      </c>
      <c r="F1" s="65" t="n"/>
    </row>
    <row r="2">
      <c r="A2" s="67" t="inlineStr">
        <is>
          <t>CBSA Name</t>
        </is>
      </c>
      <c r="B2" s="67" t="inlineStr">
        <is>
          <t>County A</t>
        </is>
      </c>
      <c r="C2" s="62" t="n"/>
      <c r="D2" s="67" t="inlineStr">
        <is>
          <t>CBSA Name</t>
        </is>
      </c>
      <c r="E2" s="67" t="inlineStr">
        <is>
          <t>County A</t>
        </is>
      </c>
      <c r="F2" s="62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8" t="n"/>
      <c r="B1" s="68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58" t="inlineStr">
        <is>
          <t>Chicago-Naperville-Elgin, IL-IN-WI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/>
      <c r="E14" s="17">
        <f>C14-D14</f>
        <v/>
      </c>
    </row>
    <row r="15">
      <c r="B15" s="42" t="inlineStr">
        <is>
          <t>LMIB%</t>
        </is>
      </c>
      <c r="C15" s="16" t="n">
        <v>21.52905198776758</v>
      </c>
      <c r="D15" s="16" t="n"/>
      <c r="E15" s="17">
        <f>C15-D15</f>
        <v/>
      </c>
    </row>
    <row r="16">
      <c r="B16" s="42" t="inlineStr">
        <is>
          <t>LMIB$</t>
        </is>
      </c>
      <c r="C16" s="57" t="n">
        <v>34.67889908256881</v>
      </c>
      <c r="D16" s="57" t="n"/>
      <c r="E16" s="17">
        <f>C16-D16</f>
        <v/>
      </c>
    </row>
    <row r="17">
      <c r="B17" s="42" t="inlineStr">
        <is>
          <t>MMCT%</t>
        </is>
      </c>
      <c r="C17" s="16" t="n">
        <v>105705000</v>
      </c>
      <c r="D17" s="16" t="n"/>
      <c r="E17" s="17">
        <f>C17-D17</f>
        <v/>
      </c>
    </row>
    <row r="18">
      <c r="B18" s="42" t="inlineStr">
        <is>
          <t>MINB%</t>
        </is>
      </c>
      <c r="C18" s="16" t="n">
        <v>29.23547400611621</v>
      </c>
      <c r="D18" s="16" t="n"/>
      <c r="E18" s="17">
        <f>C18-D18</f>
        <v/>
      </c>
    </row>
    <row r="19">
      <c r="B19" s="42" t="inlineStr">
        <is>
          <t>Asian%</t>
        </is>
      </c>
      <c r="C19" s="16" t="n">
        <v>28.56269113149847</v>
      </c>
      <c r="D19" s="16" t="n"/>
      <c r="E19" s="17">
        <f>C19-D19</f>
        <v/>
      </c>
    </row>
    <row r="20">
      <c r="B20" s="42" t="inlineStr">
        <is>
          <t>Black%</t>
        </is>
      </c>
      <c r="C20" s="16" t="n">
        <v>5.565749235474006</v>
      </c>
      <c r="D20" s="16" t="n"/>
      <c r="E20" s="17">
        <f>C20-D20</f>
        <v/>
      </c>
    </row>
    <row r="21" ht="21.75" customHeight="1" s="52">
      <c r="B21" s="42" t="inlineStr">
        <is>
          <t>Native American%</t>
        </is>
      </c>
      <c r="C21" s="16" t="n">
        <v>4.587155963302752</v>
      </c>
      <c r="D21" s="16" t="n"/>
      <c r="E21" s="17">
        <f>C21-D21</f>
        <v/>
      </c>
    </row>
    <row r="22">
      <c r="B22" s="42" t="inlineStr">
        <is>
          <t>HoPI%</t>
        </is>
      </c>
      <c r="C22" s="16" t="n">
        <v>0.1834862385321101</v>
      </c>
      <c r="D22" s="16" t="n"/>
      <c r="E22" s="17">
        <f>C22-D22</f>
        <v/>
      </c>
    </row>
    <row r="23">
      <c r="B23" s="42" t="inlineStr">
        <is>
          <t>Hispanic%</t>
        </is>
      </c>
      <c r="C23" s="16" t="n">
        <v>0</v>
      </c>
      <c r="D23" s="16" t="n"/>
      <c r="E23" s="17">
        <f>C23-D23</f>
        <v/>
      </c>
    </row>
    <row r="24">
      <c r="B24" s="42" t="n"/>
      <c r="C24" s="55" t="n">
        <v>18.2262996941896</v>
      </c>
      <c r="D24" s="13" t="n"/>
      <c r="E24">
        <f>C24-D24</f>
        <v/>
      </c>
    </row>
    <row r="25">
      <c r="A25" s="59" t="inlineStr">
        <is>
          <t>Cincinnati, OH-KY-IN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/>
      <c r="E26" s="17">
        <f>D26-E26</f>
        <v/>
      </c>
    </row>
    <row r="27">
      <c r="B27" s="42" t="n"/>
      <c r="C27" s="57" t="n">
        <v>29.72972972972973</v>
      </c>
      <c r="D27" s="57" t="n"/>
      <c r="E27" s="17">
        <f>C27-D27</f>
        <v/>
      </c>
    </row>
    <row r="28">
      <c r="B28" s="42" t="n"/>
      <c r="C28" s="16" t="n">
        <v>41.55405405405405</v>
      </c>
      <c r="D28" s="16" t="n"/>
      <c r="E28" s="17">
        <f>C28-D28</f>
        <v/>
      </c>
    </row>
    <row r="29">
      <c r="B29" s="42" t="n"/>
      <c r="C29" s="16" t="n">
        <v>36820000</v>
      </c>
      <c r="D29" s="16" t="n"/>
      <c r="E29" s="17">
        <f>D29-E29</f>
        <v/>
      </c>
    </row>
    <row r="30">
      <c r="B30" s="42" t="n"/>
      <c r="C30" s="16" t="n">
        <v>15.87837837837838</v>
      </c>
      <c r="D30" s="16" t="n"/>
      <c r="E30" s="17">
        <f>C30-D30</f>
        <v/>
      </c>
    </row>
    <row r="31">
      <c r="B31" s="42" t="n"/>
      <c r="C31" s="16" t="n">
        <v>16.89189189189189</v>
      </c>
      <c r="D31" s="16" t="n"/>
      <c r="E31" s="17">
        <f>C31-D31</f>
        <v/>
      </c>
    </row>
    <row r="32" ht="21.75" customHeight="1" s="52">
      <c r="B32" s="42" t="n"/>
      <c r="C32" s="16" t="n">
        <v>3.547297297297297</v>
      </c>
      <c r="D32" s="16" t="n"/>
      <c r="E32" s="17">
        <f>C32-D32</f>
        <v/>
      </c>
    </row>
    <row r="33">
      <c r="B33" s="42" t="n"/>
      <c r="C33" s="16" t="n">
        <v>9.797297297297296</v>
      </c>
      <c r="D33" s="16" t="n"/>
      <c r="E33" s="17">
        <f>C33-D33</f>
        <v/>
      </c>
    </row>
    <row r="34">
      <c r="B34" s="42" t="n"/>
      <c r="C34" s="16" t="n">
        <v>0.3378378378378378</v>
      </c>
      <c r="D34" s="16" t="n"/>
      <c r="E34" s="17">
        <f>C34-D34</f>
        <v/>
      </c>
    </row>
    <row r="35">
      <c r="B35" s="42" t="n"/>
      <c r="C35" s="55" t="n">
        <v>0.1689189189189189</v>
      </c>
      <c r="D35" s="13" t="n"/>
      <c r="E35">
        <f>C35-D35</f>
        <v/>
      </c>
    </row>
    <row r="36">
      <c r="B36" s="42" t="n"/>
      <c r="C36" s="16" t="n">
        <v>3.040540540540541</v>
      </c>
      <c r="D36" s="16" t="n"/>
      <c r="E36" s="17">
        <f>C36-D36</f>
        <v/>
      </c>
    </row>
    <row r="37">
      <c r="A37" s="59" t="inlineStr">
        <is>
          <t>Cleveland-Elyria, OH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/>
      <c r="E38" s="17" t="n"/>
    </row>
    <row r="39">
      <c r="B39" s="42" t="n"/>
      <c r="C39" s="16" t="n">
        <v>30.52905464006939</v>
      </c>
      <c r="D39" s="16" t="n"/>
      <c r="E39" s="17">
        <f>C39-D39</f>
        <v/>
      </c>
    </row>
    <row r="40">
      <c r="B40" s="42" t="n"/>
      <c r="C40" s="16" t="n">
        <v>45.09973980919341</v>
      </c>
      <c r="D40" s="16" t="n"/>
      <c r="E40" s="17">
        <f>C40-D40</f>
        <v/>
      </c>
    </row>
    <row r="41">
      <c r="B41" s="42" t="n"/>
      <c r="C41" s="16" t="n">
        <v>67880000</v>
      </c>
      <c r="D41" s="16" t="n"/>
      <c r="E41" s="17">
        <f>D41-E41</f>
        <v/>
      </c>
    </row>
    <row r="42">
      <c r="B42" s="42" t="n"/>
      <c r="C42" s="16" t="n">
        <v>25.32523850823938</v>
      </c>
      <c r="D42" s="16" t="n"/>
      <c r="E42" s="17">
        <f>C42-D42</f>
        <v/>
      </c>
    </row>
    <row r="43" ht="21.75" customHeight="1" s="52">
      <c r="B43" s="42" t="n"/>
      <c r="C43" s="16" t="n">
        <v>25.32523850823938</v>
      </c>
      <c r="D43" s="16" t="n"/>
      <c r="E43" s="17">
        <f>C43-D43</f>
        <v/>
      </c>
    </row>
    <row r="44">
      <c r="B44" s="42" t="n"/>
      <c r="C44" s="16" t="n">
        <v>4.683434518647007</v>
      </c>
      <c r="D44" s="16" t="n"/>
      <c r="E44" s="17">
        <f>C44-D44</f>
        <v/>
      </c>
    </row>
    <row r="45">
      <c r="B45" s="42" t="n"/>
      <c r="C45" s="16" t="n">
        <v>14.31049436253253</v>
      </c>
      <c r="D45" s="16" t="n"/>
      <c r="E45" s="17">
        <f>C45-D45</f>
        <v/>
      </c>
    </row>
    <row r="46">
      <c r="B46" s="42" t="n"/>
      <c r="C46" s="13" t="n">
        <v>0.08673026886383348</v>
      </c>
      <c r="D46" s="13" t="n"/>
      <c r="E46">
        <f>C46-D46</f>
        <v/>
      </c>
    </row>
    <row r="47">
      <c r="B47" s="42" t="n"/>
      <c r="C47" s="16" t="n">
        <v>0.08673026886383348</v>
      </c>
      <c r="D47" s="16" t="n"/>
      <c r="E47" s="17">
        <f>C47-D47</f>
        <v/>
      </c>
    </row>
    <row r="48">
      <c r="B48" s="42" t="n"/>
      <c r="C48" s="16" t="n">
        <v>6.157849089332177</v>
      </c>
      <c r="D48" s="16" t="n"/>
      <c r="E48" s="17">
        <f>C48-D48</f>
        <v/>
      </c>
    </row>
    <row r="49">
      <c r="A49" s="59" t="inlineStr">
        <is>
          <t>Columbus, OH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/>
      <c r="E50" s="17">
        <f>D50-E50</f>
        <v/>
      </c>
    </row>
    <row r="51">
      <c r="B51" s="42" t="n"/>
      <c r="C51" s="16" t="n">
        <v>28.55436081242533</v>
      </c>
      <c r="D51" s="16" t="n"/>
      <c r="E51" s="17">
        <f>C51-D51</f>
        <v/>
      </c>
    </row>
    <row r="52">
      <c r="B52" s="42" t="n"/>
      <c r="C52" s="16" t="n">
        <v>43.96654719235364</v>
      </c>
      <c r="D52" s="16" t="n"/>
      <c r="E52" s="17">
        <f>C52-D52</f>
        <v/>
      </c>
    </row>
    <row r="53">
      <c r="B53" s="42" t="n"/>
      <c r="C53" s="16" t="n">
        <v>67820000</v>
      </c>
      <c r="D53" s="16" t="n"/>
      <c r="E53" s="17">
        <f>D53-E53</f>
        <v/>
      </c>
    </row>
    <row r="54" ht="21.75" customHeight="1" s="52">
      <c r="B54" s="42" t="n"/>
      <c r="C54" s="16" t="n">
        <v>19.11589008363202</v>
      </c>
      <c r="D54" s="16" t="n"/>
      <c r="E54" s="17">
        <f>C54-D54</f>
        <v/>
      </c>
    </row>
    <row r="55">
      <c r="B55" s="42" t="n"/>
      <c r="C55" s="16" t="n">
        <v>22.81959378733572</v>
      </c>
      <c r="D55" s="16" t="n"/>
      <c r="E55" s="17">
        <f>C55-D55</f>
        <v/>
      </c>
    </row>
    <row r="56">
      <c r="B56" s="42" t="n"/>
      <c r="C56" s="16" t="n">
        <v>8.124253285543608</v>
      </c>
      <c r="D56" s="16" t="n"/>
      <c r="E56" s="17">
        <f>C56-D56</f>
        <v/>
      </c>
    </row>
    <row r="57">
      <c r="B57" s="42" t="n"/>
      <c r="C57" s="55" t="n">
        <v>10.03584229390681</v>
      </c>
      <c r="D57" s="13" t="n"/>
      <c r="E57">
        <f>C57-D57</f>
        <v/>
      </c>
    </row>
    <row r="58">
      <c r="B58" s="42" t="n"/>
      <c r="C58" s="16" t="n">
        <v>0.1194743130227001</v>
      </c>
      <c r="D58" s="16" t="n"/>
      <c r="E58" s="17">
        <f>C58-D58</f>
        <v/>
      </c>
    </row>
    <row r="59">
      <c r="B59" s="42" t="n"/>
      <c r="C59" s="16" t="n">
        <v>0.1194743130227001</v>
      </c>
      <c r="D59" s="16" t="n"/>
      <c r="E59" s="17">
        <f>C59-D59</f>
        <v/>
      </c>
    </row>
    <row r="60">
      <c r="B60" s="42" t="n"/>
      <c r="C60" s="57" t="n">
        <v>4.420549581839905</v>
      </c>
      <c r="D60" s="57" t="n"/>
      <c r="E60" s="17">
        <f>C60-D60</f>
        <v/>
      </c>
    </row>
    <row r="61">
      <c r="A61" s="59" t="inlineStr">
        <is>
          <t>Dallas-Fort Worth-Arlington, TX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/>
      <c r="E62" s="17">
        <f>D62-E62</f>
        <v/>
      </c>
    </row>
    <row r="63">
      <c r="B63" s="42" t="n"/>
      <c r="C63" s="16" t="n">
        <v>19.00311526479751</v>
      </c>
      <c r="D63" s="16" t="n"/>
      <c r="E63" s="17">
        <f>C63-D63</f>
        <v/>
      </c>
    </row>
    <row r="64">
      <c r="B64" s="42" t="n"/>
      <c r="C64" s="16" t="n">
        <v>16.51090342679128</v>
      </c>
      <c r="D64" s="16" t="n"/>
      <c r="E64" s="17">
        <f>C64-D64</f>
        <v/>
      </c>
    </row>
    <row r="65" ht="21.75" customHeight="1" s="52">
      <c r="B65" s="42" t="n"/>
      <c r="C65" s="16" t="n">
        <v>19935000</v>
      </c>
      <c r="D65" s="16" t="n"/>
      <c r="E65" s="17">
        <f>D65-E65</f>
        <v/>
      </c>
    </row>
    <row r="66">
      <c r="B66" s="42" t="n"/>
      <c r="C66" s="16" t="n">
        <v>47.0404984423676</v>
      </c>
      <c r="D66" s="16" t="n"/>
      <c r="E66" s="17">
        <f>C66-D66</f>
        <v/>
      </c>
    </row>
    <row r="67">
      <c r="B67" s="42" t="n"/>
      <c r="C67" s="16" t="n">
        <v>30.8411214953271</v>
      </c>
      <c r="D67" s="16" t="n"/>
      <c r="E67" s="17">
        <f>C67-D67</f>
        <v/>
      </c>
    </row>
    <row r="68">
      <c r="B68" s="42" t="n"/>
      <c r="C68" s="55" t="n">
        <v>11.21495327102804</v>
      </c>
      <c r="D68" s="13" t="n"/>
      <c r="E68">
        <f>C68-D68</f>
        <v/>
      </c>
    </row>
    <row r="69">
      <c r="B69" s="42" t="n"/>
      <c r="C69" s="16" t="n">
        <v>6.542056074766355</v>
      </c>
      <c r="D69" s="16" t="n"/>
      <c r="E69" s="17">
        <f>C69-D69</f>
        <v/>
      </c>
    </row>
    <row r="70">
      <c r="B70" s="42" t="n"/>
      <c r="C70" s="16" t="n">
        <v>0.6230529595015576</v>
      </c>
      <c r="D70" s="16" t="n"/>
      <c r="E70" s="17">
        <f>C70-D70</f>
        <v/>
      </c>
    </row>
    <row r="71">
      <c r="B71" s="42" t="n"/>
      <c r="C71" s="57" t="n">
        <v>0</v>
      </c>
      <c r="D71" s="57" t="n"/>
      <c r="E71" s="17">
        <f>C71-D71</f>
        <v/>
      </c>
    </row>
    <row r="72">
      <c r="B72" s="42" t="n"/>
      <c r="C72" s="16" t="n">
        <v>12.46105919003115</v>
      </c>
      <c r="D72" s="16" t="n"/>
      <c r="E72" s="17">
        <f>C72-D72</f>
        <v/>
      </c>
    </row>
    <row r="73">
      <c r="A73" s="58" t="inlineStr">
        <is>
          <t>Detroit-Warren-Dearborn, MI</t>
        </is>
      </c>
      <c r="B73" s="42" t="n"/>
      <c r="C73" s="16" t="n"/>
      <c r="D73" s="16" t="n"/>
      <c r="E73" s="17">
        <f>D73-E73</f>
        <v/>
      </c>
    </row>
    <row r="74">
      <c r="B74" s="42" t="inlineStr">
        <is>
          <t>Loans</t>
        </is>
      </c>
      <c r="C74" s="16" t="n">
        <v>410</v>
      </c>
      <c r="D74" s="16" t="n"/>
      <c r="E74" s="17">
        <f>D74-E74</f>
        <v/>
      </c>
    </row>
    <row r="75">
      <c r="B75" s="42" t="n"/>
      <c r="C75" s="16" t="n">
        <v>22.4390243902439</v>
      </c>
      <c r="D75" s="16" t="n"/>
      <c r="E75" s="17">
        <f>C75-D75</f>
        <v/>
      </c>
    </row>
    <row r="76" ht="21.75" customHeight="1" s="52">
      <c r="B76" s="42" t="n"/>
      <c r="C76" s="16" t="n">
        <v>35.12195121951219</v>
      </c>
      <c r="D76" s="16" t="n"/>
      <c r="E76" s="17">
        <f>C76-D76</f>
        <v/>
      </c>
    </row>
    <row r="77">
      <c r="B77" s="42" t="n"/>
      <c r="C77" s="16" t="n">
        <v>16420000</v>
      </c>
      <c r="D77" s="16" t="n"/>
      <c r="E77" s="17">
        <f>D77-E77</f>
        <v/>
      </c>
    </row>
    <row r="78">
      <c r="B78" s="42" t="n"/>
      <c r="C78" s="16" t="n">
        <v>25.36585365853659</v>
      </c>
      <c r="D78" s="16" t="n"/>
      <c r="E78" s="17">
        <f>C78-D78</f>
        <v/>
      </c>
    </row>
    <row r="79">
      <c r="B79" s="42" t="n"/>
      <c r="C79" s="55" t="n">
        <v>24.87804878048781</v>
      </c>
      <c r="D79" s="30" t="n"/>
      <c r="E79">
        <f>C79-D79</f>
        <v/>
      </c>
    </row>
    <row r="80">
      <c r="B80" s="42" t="n"/>
      <c r="C80" s="16" t="n">
        <v>4.878048780487805</v>
      </c>
      <c r="D80" s="31" t="n"/>
      <c r="E80" s="17">
        <f>C80-D80</f>
        <v/>
      </c>
    </row>
    <row r="81">
      <c r="B81" s="42" t="n"/>
      <c r="C81" s="16" t="n">
        <v>13.90243902439025</v>
      </c>
      <c r="D81" s="31" t="n"/>
      <c r="E81" s="17">
        <f>C81-D81</f>
        <v/>
      </c>
    </row>
    <row r="82">
      <c r="B82" s="42" t="n"/>
      <c r="C82" s="57" t="n">
        <v>0.7317073170731708</v>
      </c>
      <c r="D82" s="60" t="n"/>
      <c r="E82" s="17">
        <f>C82-D82</f>
        <v/>
      </c>
    </row>
    <row r="83">
      <c r="B83" s="42" t="n"/>
      <c r="C83" s="16" t="n">
        <v>0.2439024390243902</v>
      </c>
      <c r="D83" s="31" t="n"/>
      <c r="E83" s="17">
        <f>C83-D83</f>
        <v/>
      </c>
    </row>
    <row r="84">
      <c r="B84" s="42" t="n"/>
      <c r="C84" s="16" t="n">
        <v>5.121951219512195</v>
      </c>
      <c r="D84" s="31" t="n"/>
      <c r="E84" s="17">
        <f>C84-D84</f>
        <v/>
      </c>
    </row>
    <row r="85">
      <c r="A85" s="59" t="inlineStr">
        <is>
          <t>Houston-The Woodlands-Sugar Land, TX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/>
      <c r="E86" s="17">
        <f>D86-E86</f>
        <v/>
      </c>
    </row>
    <row r="87">
      <c r="B87" s="42" t="n"/>
      <c r="C87" s="16" t="n">
        <v>14.70588235294118</v>
      </c>
      <c r="D87" s="31" t="n"/>
      <c r="E87" s="17">
        <f>C87-D87</f>
        <v/>
      </c>
    </row>
    <row r="88">
      <c r="B88" s="42" t="n"/>
      <c r="C88" s="16" t="n">
        <v>7.918552036199094</v>
      </c>
      <c r="D88" s="31" t="n"/>
      <c r="E88" s="17">
        <f>C88-D88</f>
        <v/>
      </c>
    </row>
    <row r="89">
      <c r="B89" s="42" t="n"/>
      <c r="C89" s="16" t="n">
        <v>6245000</v>
      </c>
      <c r="D89" s="31" t="n"/>
      <c r="E89" s="17">
        <f>D89-E89</f>
        <v/>
      </c>
    </row>
    <row r="90">
      <c r="B90" s="42" t="n"/>
      <c r="C90" s="55" t="n">
        <v>42.76018099547511</v>
      </c>
      <c r="D90" s="30" t="n"/>
      <c r="E90">
        <f>C90-D90</f>
        <v/>
      </c>
    </row>
    <row r="91">
      <c r="B91" s="42" t="n"/>
      <c r="C91" s="16" t="n">
        <v>34.38914027149321</v>
      </c>
      <c r="D91" s="31" t="n"/>
      <c r="E91" s="17">
        <f>C91-D91</f>
        <v/>
      </c>
    </row>
    <row r="92">
      <c r="B92" s="42" t="n"/>
      <c r="C92" s="16" t="n">
        <v>9.049773755656108</v>
      </c>
      <c r="D92" s="31" t="n"/>
      <c r="E92" s="17">
        <f>C92-D92</f>
        <v/>
      </c>
    </row>
    <row r="93">
      <c r="B93" s="42" t="n"/>
      <c r="C93" s="57" t="n">
        <v>5.203619909502263</v>
      </c>
      <c r="D93" s="60" t="n"/>
      <c r="E93" s="17">
        <f>C93-D93</f>
        <v/>
      </c>
    </row>
    <row r="94">
      <c r="B94" s="42" t="n"/>
      <c r="C94" s="16" t="n">
        <v>0</v>
      </c>
      <c r="D94" s="31" t="n"/>
      <c r="E94" s="17">
        <f>C94-D94</f>
        <v/>
      </c>
    </row>
    <row r="95">
      <c r="B95" s="42" t="n"/>
      <c r="C95" s="16" t="n">
        <v>0</v>
      </c>
      <c r="D95" s="31" t="n"/>
      <c r="E95" s="17">
        <f>C95-D95</f>
        <v/>
      </c>
    </row>
    <row r="96">
      <c r="B96" s="42" t="n"/>
      <c r="C96" s="16" t="n">
        <v>20.13574660633484</v>
      </c>
      <c r="D96" s="31" t="n"/>
      <c r="E96" s="17">
        <f>C96-D96</f>
        <v/>
      </c>
    </row>
    <row r="97">
      <c r="A97" s="59" t="inlineStr">
        <is>
          <t>Louisville/Jefferson County, KY-IN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/>
      <c r="E98" s="17">
        <f>D98-E98</f>
        <v/>
      </c>
    </row>
    <row r="99">
      <c r="B99" s="42" t="n"/>
      <c r="C99" s="16" t="n">
        <v>16.85144124168514</v>
      </c>
      <c r="D99" s="31" t="n"/>
      <c r="E99" s="17">
        <f>C99-D99</f>
        <v/>
      </c>
    </row>
    <row r="100">
      <c r="B100" s="42" t="n"/>
      <c r="C100" s="16" t="n">
        <v>41.7960088691796</v>
      </c>
      <c r="D100" s="31" t="n"/>
      <c r="E100" s="17">
        <f>C100-D100</f>
        <v/>
      </c>
    </row>
    <row r="101">
      <c r="B101" s="42" t="n"/>
      <c r="C101" s="55" t="n">
        <v>58855000</v>
      </c>
      <c r="D101" s="30" t="n"/>
    </row>
    <row r="102">
      <c r="B102" s="42" t="n"/>
      <c r="C102" s="16" t="n">
        <v>8.093126385809313</v>
      </c>
      <c r="D102" s="31" t="n"/>
      <c r="E102" s="17">
        <f>C102-D102</f>
        <v/>
      </c>
    </row>
    <row r="103">
      <c r="B103" s="42" t="n"/>
      <c r="C103" s="16" t="n">
        <v>21.84035476718404</v>
      </c>
      <c r="D103" s="31" t="n"/>
      <c r="E103" s="17">
        <f>C103-D103</f>
        <v/>
      </c>
    </row>
    <row r="104">
      <c r="B104" s="42" t="n"/>
      <c r="C104" s="57" t="n">
        <v>7.87139689578714</v>
      </c>
      <c r="D104" s="60" t="n"/>
      <c r="E104" s="17">
        <f>C104-D104</f>
        <v/>
      </c>
    </row>
    <row r="105">
      <c r="B105" s="42" t="n"/>
      <c r="C105" s="16" t="n">
        <v>11.08647450110865</v>
      </c>
      <c r="D105" s="31" t="n"/>
      <c r="E105" s="17">
        <f>C105-D105</f>
        <v/>
      </c>
    </row>
    <row r="106">
      <c r="B106" s="42" t="n"/>
      <c r="C106" s="16" t="n">
        <v>0</v>
      </c>
      <c r="D106" s="31" t="n"/>
      <c r="E106" s="17">
        <f>C106-D106</f>
        <v/>
      </c>
    </row>
    <row r="107">
      <c r="B107" s="42" t="n"/>
      <c r="C107" s="16" t="n">
        <v>0</v>
      </c>
      <c r="D107" s="31" t="n"/>
      <c r="E107" s="17">
        <f>C107-D107</f>
        <v/>
      </c>
    </row>
    <row r="108">
      <c r="B108" s="42" t="n"/>
      <c r="C108" s="16" t="n">
        <v>2.882483370288248</v>
      </c>
      <c r="D108" s="31" t="n"/>
      <c r="E108" s="17">
        <f>C108-D108</f>
        <v/>
      </c>
    </row>
    <row r="109">
      <c r="A109" s="59" t="inlineStr">
        <is>
          <t>Miami-Fort Lauderdale-Pompano Beach, FL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/>
      <c r="E110" s="17">
        <f>D110-E110</f>
        <v/>
      </c>
    </row>
    <row r="111">
      <c r="B111" s="42" t="n"/>
      <c r="C111" s="16" t="n">
        <v>21.54811715481172</v>
      </c>
      <c r="D111" s="31" t="n"/>
      <c r="E111" s="17">
        <f>C111-D111</f>
        <v/>
      </c>
    </row>
    <row r="112">
      <c r="B112" s="42" t="n"/>
      <c r="C112" s="55" t="n">
        <v>18.82845188284519</v>
      </c>
      <c r="D112" s="30" t="n"/>
      <c r="E112">
        <f>C112-D112</f>
        <v/>
      </c>
    </row>
    <row r="113">
      <c r="B113" s="42" t="n"/>
      <c r="C113" s="16" t="n">
        <v>21940000</v>
      </c>
      <c r="D113" s="31" t="n"/>
      <c r="E113" s="17">
        <f>D113-E113</f>
        <v/>
      </c>
    </row>
    <row r="114">
      <c r="B114" s="42" t="n"/>
      <c r="C114" s="16" t="n">
        <v>23.22175732217573</v>
      </c>
      <c r="D114" s="31" t="n"/>
      <c r="E114" s="17">
        <f>C114-D114</f>
        <v/>
      </c>
    </row>
    <row r="115">
      <c r="B115" s="42" t="n"/>
      <c r="C115" s="57" t="n">
        <v>25.10460251046025</v>
      </c>
      <c r="D115" s="60" t="n"/>
      <c r="E115" s="17">
        <f>C115-D115</f>
        <v/>
      </c>
    </row>
    <row r="116">
      <c r="B116" s="42" t="n"/>
      <c r="C116" s="16" t="n">
        <v>2.510460251046025</v>
      </c>
      <c r="D116" s="31" t="n"/>
      <c r="E116" s="17">
        <f>C116-D116</f>
        <v/>
      </c>
    </row>
    <row r="117">
      <c r="B117" s="42" t="n"/>
      <c r="C117" s="16" t="n">
        <v>5.857740585774058</v>
      </c>
      <c r="D117" s="31" t="n"/>
      <c r="E117" s="17">
        <f>C117-D117</f>
        <v/>
      </c>
    </row>
    <row r="118">
      <c r="B118" s="42" t="n"/>
      <c r="C118" s="16" t="n">
        <v>0</v>
      </c>
      <c r="D118" s="31" t="n"/>
      <c r="E118" s="17">
        <f>C118-D118</f>
        <v/>
      </c>
    </row>
    <row r="119">
      <c r="B119" s="42" t="n"/>
      <c r="C119" s="16" t="n">
        <v>0</v>
      </c>
      <c r="D119" s="31" t="n"/>
      <c r="E119" s="17">
        <f>C119-D119</f>
        <v/>
      </c>
    </row>
    <row r="120">
      <c r="B120" s="42" t="n"/>
      <c r="C120" s="16" t="n">
        <v>16.73640167364017</v>
      </c>
      <c r="D120" s="31" t="n"/>
      <c r="E120" s="17">
        <f>C120-D120</f>
        <v/>
      </c>
    </row>
    <row r="121">
      <c r="A121" s="59" t="inlineStr">
        <is>
          <t>Philadelphia-Camden-Wilmington, PA-NJ-DE-MD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/>
      <c r="E122" s="17">
        <f>D122-E122</f>
        <v/>
      </c>
    </row>
    <row r="123">
      <c r="B123" s="42" t="n"/>
      <c r="C123" s="55" t="n">
        <v>25.0936329588015</v>
      </c>
      <c r="D123" s="30" t="n"/>
      <c r="E123">
        <f>C123-D123</f>
        <v/>
      </c>
    </row>
    <row r="124">
      <c r="B124" s="42" t="n"/>
      <c r="C124" s="16" t="n">
        <v>27.84019975031211</v>
      </c>
      <c r="D124" s="31" t="n"/>
      <c r="E124" s="17">
        <f>C124-D124</f>
        <v/>
      </c>
    </row>
    <row r="125">
      <c r="B125" s="42" t="n"/>
      <c r="C125" s="16" t="n">
        <v>40935000</v>
      </c>
      <c r="D125" s="31" t="n"/>
      <c r="E125" s="17">
        <f>D125-E125</f>
        <v/>
      </c>
    </row>
    <row r="126">
      <c r="B126" s="42" t="n"/>
      <c r="C126" s="57" t="n">
        <v>34.95630461922597</v>
      </c>
      <c r="D126" s="60" t="n"/>
      <c r="E126" s="17">
        <f>C126-D126</f>
        <v/>
      </c>
    </row>
    <row r="127">
      <c r="B127" s="42" t="n"/>
      <c r="C127" s="16" t="n">
        <v>28.46441947565543</v>
      </c>
      <c r="D127" s="31" t="n"/>
      <c r="E127" s="17">
        <f>C127-D127</f>
        <v/>
      </c>
    </row>
    <row r="128">
      <c r="B128" s="42" t="n"/>
      <c r="C128" s="16" t="n">
        <v>8.364544319600499</v>
      </c>
      <c r="D128" s="31" t="n"/>
      <c r="E128" s="17">
        <f>C128-D128</f>
        <v/>
      </c>
    </row>
    <row r="129">
      <c r="B129" s="42" t="n"/>
      <c r="C129" s="16" t="n">
        <v>14.60674157303371</v>
      </c>
      <c r="D129" s="31" t="n"/>
      <c r="E129" s="17">
        <f>C129-D129</f>
        <v/>
      </c>
    </row>
    <row r="130">
      <c r="B130" s="42" t="n"/>
      <c r="C130" s="16" t="n">
        <v>0</v>
      </c>
      <c r="D130" s="31" t="n"/>
      <c r="E130" s="17">
        <f>C130-D130</f>
        <v/>
      </c>
    </row>
    <row r="131">
      <c r="B131" s="42" t="n"/>
      <c r="C131" s="16" t="n">
        <v>0</v>
      </c>
      <c r="D131" s="31" t="n"/>
      <c r="E131" s="17">
        <f>C131-D131</f>
        <v/>
      </c>
    </row>
    <row r="132">
      <c r="B132" s="42" t="n"/>
      <c r="C132" s="16" t="n">
        <v>5.493133583021224</v>
      </c>
      <c r="D132" s="31" t="n"/>
      <c r="E132" s="17">
        <f>C132-D132</f>
        <v/>
      </c>
    </row>
    <row r="133">
      <c r="A133" s="59" t="inlineStr">
        <is>
          <t>Phoenix-Mesa-Chandler, AZ</t>
        </is>
      </c>
      <c r="B133" s="42" t="n"/>
      <c r="C133" s="16" t="n"/>
      <c r="D133" s="31" t="n"/>
      <c r="E133" s="17">
        <f>D133-E133</f>
        <v/>
      </c>
    </row>
    <row r="134">
      <c r="B134" s="42" t="inlineStr">
        <is>
          <t>Loans</t>
        </is>
      </c>
      <c r="C134" s="55" t="n">
        <v>446</v>
      </c>
      <c r="D134" s="30" t="n"/>
    </row>
    <row r="135">
      <c r="B135" s="42" t="n"/>
      <c r="C135" s="16" t="n">
        <v>10.08968609865471</v>
      </c>
      <c r="D135" s="31" t="n"/>
      <c r="E135" s="17">
        <f>C135-D135</f>
        <v/>
      </c>
    </row>
    <row r="136">
      <c r="B136" s="42" t="n"/>
      <c r="C136" s="16" t="n">
        <v>7.847533632286996</v>
      </c>
      <c r="D136" s="31" t="n"/>
      <c r="E136" s="17">
        <f>C136-D136</f>
        <v/>
      </c>
    </row>
    <row r="137">
      <c r="B137" s="42" t="n"/>
      <c r="C137" s="57" t="n">
        <v>11185000</v>
      </c>
      <c r="D137" s="60" t="n"/>
      <c r="E137" s="17">
        <f>D137-E137</f>
        <v/>
      </c>
    </row>
    <row r="138">
      <c r="B138" s="42" t="n"/>
      <c r="C138" s="16" t="n">
        <v>10.31390134529148</v>
      </c>
      <c r="D138" s="31" t="n"/>
      <c r="E138" s="17">
        <f>C138-D138</f>
        <v/>
      </c>
    </row>
    <row r="139">
      <c r="B139" s="42" t="n"/>
      <c r="C139" s="16" t="n">
        <v>20.40358744394619</v>
      </c>
      <c r="D139" s="31" t="n"/>
      <c r="E139" s="17">
        <f>C139-D139</f>
        <v/>
      </c>
    </row>
    <row r="140">
      <c r="B140" s="42" t="n"/>
      <c r="C140" s="16" t="n">
        <v>8.968609865470851</v>
      </c>
      <c r="D140" s="31" t="n"/>
      <c r="E140" s="17">
        <f>C140-D140</f>
        <v/>
      </c>
    </row>
    <row r="141">
      <c r="B141" s="42" t="n"/>
      <c r="C141" s="16" t="n">
        <v>2.017937219730942</v>
      </c>
      <c r="D141" s="31" t="n"/>
      <c r="E141" s="17">
        <f>C141-D141</f>
        <v/>
      </c>
    </row>
    <row r="142">
      <c r="B142" s="42" t="n"/>
      <c r="C142" s="16" t="n">
        <v>0.4484304932735426</v>
      </c>
      <c r="D142" s="31" t="n"/>
      <c r="E142" s="17">
        <f>C142-D142</f>
        <v/>
      </c>
    </row>
    <row r="143">
      <c r="B143" s="42" t="n"/>
      <c r="C143" s="16" t="n">
        <v>0</v>
      </c>
      <c r="D143" s="31" t="n"/>
      <c r="E143" s="17">
        <f>C143-D143</f>
        <v/>
      </c>
    </row>
    <row r="144">
      <c r="B144" s="42" t="n"/>
      <c r="C144" s="16" t="n">
        <v>8.968609865470851</v>
      </c>
      <c r="D144" s="31" t="n"/>
      <c r="E144" s="17">
        <f>C144-D144</f>
        <v/>
      </c>
    </row>
    <row r="145">
      <c r="A145" s="58" t="inlineStr">
        <is>
          <t>Pittsburgh, PA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/>
      <c r="E146" s="17">
        <f>D146-E146</f>
        <v/>
      </c>
    </row>
    <row r="147">
      <c r="B147" s="42" t="n"/>
      <c r="C147" s="16" t="n">
        <v>17.42219215155616</v>
      </c>
      <c r="D147" s="31" t="n"/>
      <c r="E147" s="17">
        <f>C147-D147</f>
        <v/>
      </c>
    </row>
    <row r="148">
      <c r="B148" s="42" t="n"/>
      <c r="C148" s="57" t="n">
        <v>34.06630581867388</v>
      </c>
      <c r="D148" s="60" t="n"/>
      <c r="E148" s="17">
        <f>C148-D148</f>
        <v/>
      </c>
    </row>
    <row r="149">
      <c r="B149" s="42" t="n"/>
      <c r="C149" s="16" t="n">
        <v>146725000</v>
      </c>
      <c r="D149" s="31" t="n"/>
      <c r="E149" s="17">
        <f>D149-E149</f>
        <v/>
      </c>
    </row>
    <row r="150">
      <c r="B150" s="42" t="n"/>
      <c r="C150" s="16" t="n">
        <v>5.378890392422192</v>
      </c>
      <c r="D150" s="31" t="n"/>
      <c r="E150" s="17">
        <f>C150-D150</f>
        <v/>
      </c>
    </row>
    <row r="151">
      <c r="B151" s="42" t="n"/>
      <c r="C151" s="16" t="n">
        <v>11.53585926928282</v>
      </c>
      <c r="D151" s="31" t="n"/>
      <c r="E151" s="17">
        <f>C151-D151</f>
        <v/>
      </c>
    </row>
    <row r="152">
      <c r="B152" s="42" t="n"/>
      <c r="C152" s="16" t="n">
        <v>4.972936400541272</v>
      </c>
      <c r="D152" s="31" t="n"/>
      <c r="E152" s="17">
        <f>C152-D152</f>
        <v/>
      </c>
    </row>
    <row r="153">
      <c r="B153" s="42" t="n"/>
      <c r="C153" s="16" t="n">
        <v>4.634641407307171</v>
      </c>
      <c r="D153" s="31" t="n"/>
      <c r="E153" s="17">
        <f>C153-D153</f>
        <v/>
      </c>
    </row>
    <row r="154">
      <c r="B154" s="42" t="n"/>
      <c r="C154" s="16" t="n">
        <v>0.2029769959404601</v>
      </c>
      <c r="D154" s="31" t="n"/>
      <c r="E154" s="17">
        <f>C154-D154</f>
        <v/>
      </c>
    </row>
    <row r="155">
      <c r="B155" s="42" t="n"/>
      <c r="C155" s="16" t="n">
        <v>0.03382949932341001</v>
      </c>
      <c r="D155" s="31" t="n"/>
      <c r="E155" s="17">
        <f>C155-D155</f>
        <v/>
      </c>
    </row>
    <row r="156">
      <c r="B156" s="42" t="n"/>
      <c r="C156" s="55" t="n">
        <v>1.691474966170501</v>
      </c>
      <c r="D156" s="30" t="n"/>
      <c r="E156">
        <f>C156-D156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60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60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60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60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60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60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60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60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60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60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60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60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60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60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60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60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60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60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60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60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60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60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60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60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60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60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60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60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60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60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60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60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60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60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60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60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60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60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60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60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60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60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60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55">
    <mergeCell ref="A585:A595"/>
    <mergeCell ref="A277:A287"/>
    <mergeCell ref="A486:A496"/>
    <mergeCell ref="A97:A108"/>
    <mergeCell ref="A222:A232"/>
    <mergeCell ref="A255:A265"/>
    <mergeCell ref="A13:A24"/>
    <mergeCell ref="A233:A243"/>
    <mergeCell ref="A178:A188"/>
    <mergeCell ref="A398:A408"/>
    <mergeCell ref="A109:A120"/>
    <mergeCell ref="A376:A386"/>
    <mergeCell ref="A354:A364"/>
    <mergeCell ref="A121:A132"/>
    <mergeCell ref="A453:A463"/>
    <mergeCell ref="A497:A507"/>
    <mergeCell ref="A519:A529"/>
    <mergeCell ref="A189:A199"/>
    <mergeCell ref="A49:A60"/>
    <mergeCell ref="A409:A419"/>
    <mergeCell ref="A607:A617"/>
    <mergeCell ref="A596:A606"/>
    <mergeCell ref="A574:A584"/>
    <mergeCell ref="A508:A518"/>
    <mergeCell ref="A2:A12"/>
    <mergeCell ref="A61:A72"/>
    <mergeCell ref="A244:A254"/>
    <mergeCell ref="A464:A474"/>
    <mergeCell ref="A73:A84"/>
    <mergeCell ref="A365:A375"/>
    <mergeCell ref="A200:A210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133:A144"/>
    <mergeCell ref="A387:A397"/>
    <mergeCell ref="A167:A177"/>
    <mergeCell ref="A145:A156"/>
    <mergeCell ref="A618:A628"/>
    <mergeCell ref="A25:A36"/>
    <mergeCell ref="A310:A320"/>
    <mergeCell ref="A530:A540"/>
    <mergeCell ref="A288:A298"/>
    <mergeCell ref="A37:A48"/>
    <mergeCell ref="A266:A276"/>
    <mergeCell ref="A442:A452"/>
    <mergeCell ref="A85:A96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8" t="n"/>
      <c r="B1" s="68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58" t="inlineStr">
        <is>
          <t>Boulder, CO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/>
      <c r="E14" s="17">
        <f>C14-D14</f>
        <v/>
      </c>
    </row>
    <row r="15">
      <c r="B15" s="42" t="inlineStr">
        <is>
          <t>LMIB%</t>
        </is>
      </c>
      <c r="C15" s="16" t="n">
        <v>19.52380952380953</v>
      </c>
      <c r="D15" s="16" t="n"/>
      <c r="E15" s="17">
        <f>C15-D15</f>
        <v/>
      </c>
    </row>
    <row r="16">
      <c r="B16" s="42" t="inlineStr">
        <is>
          <t>LMIB$</t>
        </is>
      </c>
      <c r="C16" s="57" t="n">
        <v>30.47619047619048</v>
      </c>
      <c r="D16" s="57" t="n"/>
      <c r="E16" s="17">
        <f>C16-D16</f>
        <v/>
      </c>
    </row>
    <row r="17">
      <c r="B17" s="42" t="inlineStr">
        <is>
          <t>MMCT%</t>
        </is>
      </c>
      <c r="C17" s="16" t="n">
        <v>45020000</v>
      </c>
      <c r="D17" s="16" t="n"/>
      <c r="E17" s="17">
        <f>C17-D17</f>
        <v/>
      </c>
    </row>
    <row r="18">
      <c r="B18" s="42" t="inlineStr">
        <is>
          <t>MINB%</t>
        </is>
      </c>
      <c r="C18" s="16" t="n">
        <v>1.19047619047619</v>
      </c>
      <c r="D18" s="16" t="n"/>
      <c r="E18" s="17">
        <f>C18-D18</f>
        <v/>
      </c>
    </row>
    <row r="19">
      <c r="B19" s="42" t="inlineStr">
        <is>
          <t>Asian%</t>
        </is>
      </c>
      <c r="C19" s="16" t="n">
        <v>18.09523809523809</v>
      </c>
      <c r="D19" s="16" t="n"/>
      <c r="E19" s="17">
        <f>C19-D19</f>
        <v/>
      </c>
    </row>
    <row r="20">
      <c r="B20" s="42" t="inlineStr">
        <is>
          <t>Black%</t>
        </is>
      </c>
      <c r="C20" s="16" t="n">
        <v>6.190476190476191</v>
      </c>
      <c r="D20" s="16" t="n"/>
      <c r="E20" s="17">
        <f>C20-D20</f>
        <v/>
      </c>
    </row>
    <row r="21" ht="21.75" customHeight="1" s="52">
      <c r="B21" s="42" t="inlineStr">
        <is>
          <t>Native American%</t>
        </is>
      </c>
      <c r="C21" s="16" t="n">
        <v>0.9523809523809524</v>
      </c>
      <c r="D21" s="16" t="n"/>
      <c r="E21" s="17">
        <f>C21-D21</f>
        <v/>
      </c>
    </row>
    <row r="22">
      <c r="B22" s="42" t="inlineStr">
        <is>
          <t>HoPI%</t>
        </is>
      </c>
      <c r="C22" s="16" t="n">
        <v>0.2380952380952381</v>
      </c>
      <c r="D22" s="16" t="n"/>
      <c r="E22" s="17">
        <f>C22-D22</f>
        <v/>
      </c>
    </row>
    <row r="23">
      <c r="B23" s="42" t="inlineStr">
        <is>
          <t>Hispanic%</t>
        </is>
      </c>
      <c r="C23" s="16" t="n">
        <v>0.2380952380952381</v>
      </c>
      <c r="D23" s="16" t="n"/>
      <c r="E23" s="17">
        <f>C23-D23</f>
        <v/>
      </c>
    </row>
    <row r="24">
      <c r="B24" s="42" t="n"/>
      <c r="C24" s="55" t="n">
        <v>10.47619047619048</v>
      </c>
      <c r="D24" s="13" t="n"/>
      <c r="E24">
        <f>C24-D24</f>
        <v/>
      </c>
    </row>
    <row r="25">
      <c r="A25" s="59" t="inlineStr">
        <is>
          <t>Breckenridge, CO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/>
      <c r="E26" s="17">
        <f>D26-E26</f>
        <v/>
      </c>
    </row>
    <row r="27">
      <c r="B27" s="42" t="n"/>
      <c r="C27" s="57" t="n">
        <v>0</v>
      </c>
      <c r="D27" s="57" t="n"/>
      <c r="E27" s="17">
        <f>C27-D27</f>
        <v/>
      </c>
    </row>
    <row r="28">
      <c r="B28" s="42" t="n"/>
      <c r="C28" s="16" t="n">
        <v>10.88082901554404</v>
      </c>
      <c r="D28" s="16" t="n"/>
      <c r="E28" s="17">
        <f>C28-D28</f>
        <v/>
      </c>
    </row>
    <row r="29">
      <c r="B29" s="42" t="n"/>
      <c r="C29" s="16" t="n">
        <v>9405000</v>
      </c>
      <c r="D29" s="16" t="n"/>
      <c r="E29" s="17">
        <f>D29-E29</f>
        <v/>
      </c>
    </row>
    <row r="30">
      <c r="B30" s="42" t="n"/>
      <c r="C30" s="16" t="n">
        <v>0</v>
      </c>
      <c r="D30" s="16" t="n"/>
      <c r="E30" s="17">
        <f>C30-D30</f>
        <v/>
      </c>
    </row>
    <row r="31">
      <c r="B31" s="42" t="n"/>
      <c r="C31" s="16" t="n">
        <v>10.36269430051813</v>
      </c>
      <c r="D31" s="16" t="n"/>
      <c r="E31" s="17">
        <f>C31-D31</f>
        <v/>
      </c>
    </row>
    <row r="32" ht="21.75" customHeight="1" s="52">
      <c r="B32" s="42" t="n"/>
      <c r="C32" s="16" t="n">
        <v>2.072538860103627</v>
      </c>
      <c r="D32" s="16" t="n"/>
      <c r="E32" s="17">
        <f>C32-D32</f>
        <v/>
      </c>
    </row>
    <row r="33">
      <c r="B33" s="42" t="n"/>
      <c r="C33" s="16" t="n">
        <v>0.5181347150259068</v>
      </c>
      <c r="D33" s="16" t="n"/>
      <c r="E33" s="17">
        <f>C33-D33</f>
        <v/>
      </c>
    </row>
    <row r="34">
      <c r="B34" s="42" t="n"/>
      <c r="C34" s="16" t="n">
        <v>1.036269430051814</v>
      </c>
      <c r="D34" s="16" t="n"/>
      <c r="E34" s="17">
        <f>C34-D34</f>
        <v/>
      </c>
    </row>
    <row r="35">
      <c r="B35" s="42" t="n"/>
      <c r="C35" s="55" t="n">
        <v>0</v>
      </c>
      <c r="D35" s="13" t="n"/>
      <c r="E35">
        <f>C35-D35</f>
        <v/>
      </c>
    </row>
    <row r="36">
      <c r="B36" s="42" t="n"/>
      <c r="C36" s="16" t="n">
        <v>6.735751295336788</v>
      </c>
      <c r="D36" s="16" t="n"/>
      <c r="E36" s="17">
        <f>C36-D36</f>
        <v/>
      </c>
    </row>
    <row r="37">
      <c r="A37" s="59" t="inlineStr">
        <is>
          <t>Colorado Springs, CO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/>
      <c r="E38" s="17" t="n"/>
    </row>
    <row r="39">
      <c r="B39" s="42" t="n"/>
      <c r="C39" s="16" t="n">
        <v>18.58407079646018</v>
      </c>
      <c r="D39" s="16" t="n"/>
      <c r="E39" s="17">
        <f>C39-D39</f>
        <v/>
      </c>
    </row>
    <row r="40">
      <c r="B40" s="42" t="n"/>
      <c r="C40" s="16" t="n">
        <v>23.30383480825959</v>
      </c>
      <c r="D40" s="16" t="n"/>
      <c r="E40" s="17">
        <f>C40-D40</f>
        <v/>
      </c>
    </row>
    <row r="41">
      <c r="B41" s="42" t="n"/>
      <c r="C41" s="16" t="n">
        <v>21925000</v>
      </c>
      <c r="D41" s="16" t="n"/>
      <c r="E41" s="17">
        <f>D41-E41</f>
        <v/>
      </c>
    </row>
    <row r="42">
      <c r="B42" s="42" t="n"/>
      <c r="C42" s="16" t="n">
        <v>7.374631268436578</v>
      </c>
      <c r="D42" s="16" t="n"/>
      <c r="E42" s="17">
        <f>C42-D42</f>
        <v/>
      </c>
    </row>
    <row r="43" ht="21.75" customHeight="1" s="52">
      <c r="B43" s="42" t="n"/>
      <c r="C43" s="16" t="n">
        <v>33.03834808259587</v>
      </c>
      <c r="D43" s="16" t="n"/>
      <c r="E43" s="17">
        <f>C43-D43</f>
        <v/>
      </c>
    </row>
    <row r="44">
      <c r="B44" s="42" t="n"/>
      <c r="C44" s="16" t="n">
        <v>7.964601769911504</v>
      </c>
      <c r="D44" s="16" t="n"/>
      <c r="E44" s="17">
        <f>C44-D44</f>
        <v/>
      </c>
    </row>
    <row r="45">
      <c r="B45" s="42" t="n"/>
      <c r="C45" s="16" t="n">
        <v>5.309734513274337</v>
      </c>
      <c r="D45" s="16" t="n"/>
      <c r="E45" s="17">
        <f>C45-D45</f>
        <v/>
      </c>
    </row>
    <row r="46">
      <c r="B46" s="42" t="n"/>
      <c r="C46" s="13" t="n">
        <v>0</v>
      </c>
      <c r="D46" s="13" t="n"/>
      <c r="E46">
        <f>C46-D46</f>
        <v/>
      </c>
    </row>
    <row r="47">
      <c r="B47" s="42" t="n"/>
      <c r="C47" s="16" t="n">
        <v>0</v>
      </c>
      <c r="D47" s="16" t="n"/>
      <c r="E47" s="17">
        <f>C47-D47</f>
        <v/>
      </c>
    </row>
    <row r="48">
      <c r="B48" s="42" t="n"/>
      <c r="C48" s="16" t="n">
        <v>19.76401179941003</v>
      </c>
      <c r="D48" s="16" t="n"/>
      <c r="E48" s="17">
        <f>C48-D48</f>
        <v/>
      </c>
    </row>
    <row r="49">
      <c r="A49" s="59" t="inlineStr">
        <is>
          <t>Denver-Aurora-Lakewood, CO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/>
      <c r="E50" s="17">
        <f>D50-E50</f>
        <v/>
      </c>
    </row>
    <row r="51">
      <c r="B51" s="42" t="n"/>
      <c r="C51" s="16" t="n">
        <v>22.72596843615495</v>
      </c>
      <c r="D51" s="16" t="n"/>
      <c r="E51" s="17">
        <f>C51-D51</f>
        <v/>
      </c>
    </row>
    <row r="52">
      <c r="B52" s="42" t="n"/>
      <c r="C52" s="16" t="n">
        <v>26.37015781922525</v>
      </c>
      <c r="D52" s="16" t="n"/>
      <c r="E52" s="17">
        <f>C52-D52</f>
        <v/>
      </c>
    </row>
    <row r="53">
      <c r="B53" s="42" t="n"/>
      <c r="C53" s="16" t="n">
        <v>266325000</v>
      </c>
      <c r="D53" s="16" t="n"/>
      <c r="E53" s="17">
        <f>D53-E53</f>
        <v/>
      </c>
    </row>
    <row r="54" ht="21.75" customHeight="1" s="52">
      <c r="B54" s="42" t="n"/>
      <c r="C54" s="16" t="n">
        <v>17.33142037302726</v>
      </c>
      <c r="D54" s="16" t="n"/>
      <c r="E54" s="17">
        <f>C54-D54</f>
        <v/>
      </c>
    </row>
    <row r="55">
      <c r="B55" s="42" t="n"/>
      <c r="C55" s="16" t="n">
        <v>35.7819225251076</v>
      </c>
      <c r="D55" s="16" t="n"/>
      <c r="E55" s="17">
        <f>C55-D55</f>
        <v/>
      </c>
    </row>
    <row r="56">
      <c r="B56" s="42" t="n"/>
      <c r="C56" s="16" t="n">
        <v>10.10043041606887</v>
      </c>
      <c r="D56" s="16" t="n"/>
      <c r="E56" s="17">
        <f>C56-D56</f>
        <v/>
      </c>
    </row>
    <row r="57">
      <c r="B57" s="42" t="n"/>
      <c r="C57" s="55" t="n">
        <v>6.915351506456241</v>
      </c>
      <c r="D57" s="13" t="n"/>
      <c r="E57">
        <f>C57-D57</f>
        <v/>
      </c>
    </row>
    <row r="58">
      <c r="B58" s="42" t="n"/>
      <c r="C58" s="16" t="n">
        <v>0.2295552367288379</v>
      </c>
      <c r="D58" s="16" t="n"/>
      <c r="E58" s="17">
        <f>C58-D58</f>
        <v/>
      </c>
    </row>
    <row r="59">
      <c r="B59" s="42" t="n"/>
      <c r="C59" s="16" t="n">
        <v>0.05738880918220947</v>
      </c>
      <c r="D59" s="16" t="n"/>
      <c r="E59" s="17">
        <f>C59-D59</f>
        <v/>
      </c>
    </row>
    <row r="60">
      <c r="B60" s="42" t="n"/>
      <c r="C60" s="57" t="n">
        <v>18.47919655667145</v>
      </c>
      <c r="D60" s="57" t="n"/>
      <c r="E60" s="17">
        <f>C60-D60</f>
        <v/>
      </c>
    </row>
    <row r="61">
      <c r="A61" s="59" t="inlineStr">
        <is>
          <t>Edwards, CO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/>
      <c r="E62" s="17">
        <f>D62-E62</f>
        <v/>
      </c>
    </row>
    <row r="63">
      <c r="B63" s="42" t="n"/>
      <c r="C63" s="16" t="n">
        <v>3.299492385786802</v>
      </c>
      <c r="D63" s="16" t="n"/>
      <c r="E63" s="17">
        <f>C63-D63</f>
        <v/>
      </c>
    </row>
    <row r="64">
      <c r="B64" s="42" t="n"/>
      <c r="C64" s="16" t="n">
        <v>9.390862944162437</v>
      </c>
      <c r="D64" s="16" t="n"/>
      <c r="E64" s="17">
        <f>C64-D64</f>
        <v/>
      </c>
    </row>
    <row r="65" ht="21.75" customHeight="1" s="52">
      <c r="B65" s="42" t="n"/>
      <c r="C65" s="16" t="n">
        <v>12465000</v>
      </c>
      <c r="D65" s="16" t="n"/>
      <c r="E65" s="17">
        <f>D65-E65</f>
        <v/>
      </c>
    </row>
    <row r="66">
      <c r="B66" s="42" t="n"/>
      <c r="C66" s="16" t="n">
        <v>14.46700507614213</v>
      </c>
      <c r="D66" s="16" t="n"/>
      <c r="E66" s="17">
        <f>C66-D66</f>
        <v/>
      </c>
    </row>
    <row r="67">
      <c r="B67" s="42" t="n"/>
      <c r="C67" s="16" t="n">
        <v>15.73604060913706</v>
      </c>
      <c r="D67" s="16" t="n"/>
      <c r="E67" s="17">
        <f>C67-D67</f>
        <v/>
      </c>
    </row>
    <row r="68">
      <c r="B68" s="42" t="n"/>
      <c r="C68" s="55" t="n">
        <v>1.015228426395939</v>
      </c>
      <c r="D68" s="13" t="n"/>
      <c r="E68">
        <f>C68-D68</f>
        <v/>
      </c>
    </row>
    <row r="69">
      <c r="B69" s="42" t="n"/>
      <c r="C69" s="16" t="n">
        <v>0.5076142131979695</v>
      </c>
      <c r="D69" s="16" t="n"/>
      <c r="E69" s="17">
        <f>C69-D69</f>
        <v/>
      </c>
    </row>
    <row r="70">
      <c r="B70" s="42" t="n"/>
      <c r="C70" s="16" t="n">
        <v>0.5076142131979695</v>
      </c>
      <c r="D70" s="16" t="n"/>
      <c r="E70" s="17">
        <f>C70-D70</f>
        <v/>
      </c>
    </row>
    <row r="71">
      <c r="B71" s="42" t="n"/>
      <c r="C71" s="57" t="n">
        <v>0.2538071065989848</v>
      </c>
      <c r="D71" s="57" t="n"/>
      <c r="E71" s="17">
        <f>C71-D71</f>
        <v/>
      </c>
    </row>
    <row r="72">
      <c r="B72" s="42" t="n"/>
      <c r="C72" s="16" t="n">
        <v>13.45177664974619</v>
      </c>
      <c r="D72" s="16" t="n"/>
      <c r="E72" s="17">
        <f>C72-D72</f>
        <v/>
      </c>
    </row>
    <row r="73">
      <c r="A73" s="58" t="inlineStr">
        <is>
          <t>Fort Collins, CO</t>
        </is>
      </c>
      <c r="B73" s="42" t="n"/>
      <c r="C73" s="16" t="n"/>
      <c r="D73" s="16" t="n"/>
      <c r="E73" s="17">
        <f>D73-E73</f>
        <v/>
      </c>
    </row>
    <row r="74">
      <c r="B74" s="42" t="inlineStr">
        <is>
          <t>Loans</t>
        </is>
      </c>
      <c r="C74" s="16" t="n">
        <v>461</v>
      </c>
      <c r="D74" s="16" t="n"/>
      <c r="E74" s="17">
        <f>D74-E74</f>
        <v/>
      </c>
    </row>
    <row r="75">
      <c r="B75" s="42" t="n"/>
      <c r="C75" s="16" t="n">
        <v>10.84598698481562</v>
      </c>
      <c r="D75" s="16" t="n"/>
      <c r="E75" s="17">
        <f>C75-D75</f>
        <v/>
      </c>
    </row>
    <row r="76" ht="21.75" customHeight="1" s="52">
      <c r="B76" s="42" t="n"/>
      <c r="C76" s="16" t="n">
        <v>23.42733188720173</v>
      </c>
      <c r="D76" s="16" t="n"/>
      <c r="E76" s="17">
        <f>C76-D76</f>
        <v/>
      </c>
    </row>
    <row r="77">
      <c r="B77" s="42" t="n"/>
      <c r="C77" s="16" t="n">
        <v>32900000</v>
      </c>
      <c r="D77" s="16" t="n"/>
      <c r="E77" s="17">
        <f>D77-E77</f>
        <v/>
      </c>
    </row>
    <row r="78">
      <c r="B78" s="42" t="n"/>
      <c r="C78" s="16" t="n">
        <v>0</v>
      </c>
      <c r="D78" s="16" t="n"/>
      <c r="E78" s="17">
        <f>C78-D78</f>
        <v/>
      </c>
    </row>
    <row r="79">
      <c r="B79" s="42" t="n"/>
      <c r="C79" s="55" t="n">
        <v>8.242950108459871</v>
      </c>
      <c r="D79" s="30" t="n"/>
      <c r="E79">
        <f>C79-D79</f>
        <v/>
      </c>
    </row>
    <row r="80">
      <c r="B80" s="42" t="n"/>
      <c r="C80" s="16" t="n">
        <v>3.904555314533622</v>
      </c>
      <c r="D80" s="31" t="n"/>
      <c r="E80" s="17">
        <f>C80-D80</f>
        <v/>
      </c>
    </row>
    <row r="81">
      <c r="B81" s="42" t="n"/>
      <c r="C81" s="16" t="n">
        <v>0</v>
      </c>
      <c r="D81" s="31" t="n"/>
      <c r="E81" s="17">
        <f>C81-D81</f>
        <v/>
      </c>
    </row>
    <row r="82">
      <c r="B82" s="42" t="n"/>
      <c r="C82" s="57" t="n">
        <v>0.2169197396963124</v>
      </c>
      <c r="D82" s="60" t="n"/>
      <c r="E82" s="17">
        <f>C82-D82</f>
        <v/>
      </c>
    </row>
    <row r="83">
      <c r="B83" s="42" t="n"/>
      <c r="C83" s="16" t="n">
        <v>0</v>
      </c>
      <c r="D83" s="31" t="n"/>
      <c r="E83" s="17">
        <f>C83-D83</f>
        <v/>
      </c>
    </row>
    <row r="84">
      <c r="B84" s="42" t="n"/>
      <c r="C84" s="16" t="n">
        <v>4.121475054229935</v>
      </c>
      <c r="D84" s="31" t="n"/>
      <c r="E84" s="17">
        <f>C84-D84</f>
        <v/>
      </c>
    </row>
    <row r="85">
      <c r="A85" s="59" t="inlineStr">
        <is>
          <t>Glenwood Springs, CO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/>
      <c r="E86" s="17">
        <f>D86-E86</f>
        <v/>
      </c>
    </row>
    <row r="87">
      <c r="B87" s="42" t="n"/>
      <c r="C87" s="16" t="n">
        <v>0</v>
      </c>
      <c r="D87" s="31" t="n"/>
      <c r="E87" s="17">
        <f>C87-D87</f>
        <v/>
      </c>
    </row>
    <row r="88">
      <c r="B88" s="42" t="n"/>
      <c r="C88" s="16" t="n">
        <v>7.913669064748201</v>
      </c>
      <c r="D88" s="31" t="n"/>
      <c r="E88" s="17">
        <f>C88-D88</f>
        <v/>
      </c>
    </row>
    <row r="89">
      <c r="B89" s="42" t="n"/>
      <c r="C89" s="16" t="n">
        <v>2515000</v>
      </c>
      <c r="D89" s="31" t="n"/>
      <c r="E89" s="17">
        <f>D89-E89</f>
        <v/>
      </c>
    </row>
    <row r="90">
      <c r="B90" s="42" t="n"/>
      <c r="C90" s="55" t="n">
        <v>0</v>
      </c>
      <c r="D90" s="30" t="n"/>
      <c r="E90">
        <f>C90-D90</f>
        <v/>
      </c>
    </row>
    <row r="91">
      <c r="B91" s="42" t="n"/>
      <c r="C91" s="16" t="n">
        <v>23.7410071942446</v>
      </c>
      <c r="D91" s="31" t="n"/>
      <c r="E91" s="17">
        <f>C91-D91</f>
        <v/>
      </c>
    </row>
    <row r="92">
      <c r="B92" s="42" t="n"/>
      <c r="C92" s="16" t="n">
        <v>1.43884892086331</v>
      </c>
      <c r="D92" s="31" t="n"/>
      <c r="E92" s="17">
        <f>C92-D92</f>
        <v/>
      </c>
    </row>
    <row r="93">
      <c r="B93" s="42" t="n"/>
      <c r="C93" s="57" t="n">
        <v>0.7194244604316548</v>
      </c>
      <c r="D93" s="60" t="n"/>
      <c r="E93" s="17">
        <f>C93-D93</f>
        <v/>
      </c>
    </row>
    <row r="94">
      <c r="B94" s="42" t="n"/>
      <c r="C94" s="16" t="n">
        <v>0.7194244604316548</v>
      </c>
      <c r="D94" s="31" t="n"/>
      <c r="E94" s="17">
        <f>C94-D94</f>
        <v/>
      </c>
    </row>
    <row r="95">
      <c r="B95" s="42" t="n"/>
      <c r="C95" s="16" t="n">
        <v>0</v>
      </c>
      <c r="D95" s="31" t="n"/>
      <c r="E95" s="17">
        <f>C95-D95</f>
        <v/>
      </c>
    </row>
    <row r="96">
      <c r="B96" s="42" t="n"/>
      <c r="C96" s="16" t="n">
        <v>20.86330935251799</v>
      </c>
      <c r="D96" s="31" t="n"/>
      <c r="E96" s="17">
        <f>C96-D96</f>
        <v/>
      </c>
    </row>
    <row r="97">
      <c r="A97" s="59" t="inlineStr">
        <is>
          <t>Greeley, CO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/>
      <c r="E98" s="17">
        <f>D98-E98</f>
        <v/>
      </c>
    </row>
    <row r="99">
      <c r="B99" s="42" t="n"/>
      <c r="C99" s="16" t="n">
        <v>11.13744075829384</v>
      </c>
      <c r="D99" s="31" t="n"/>
      <c r="E99" s="17">
        <f>C99-D99</f>
        <v/>
      </c>
    </row>
    <row r="100">
      <c r="B100" s="42" t="n"/>
      <c r="C100" s="16" t="n">
        <v>19.19431279620853</v>
      </c>
      <c r="D100" s="31" t="n"/>
      <c r="E100" s="17">
        <f>C100-D100</f>
        <v/>
      </c>
    </row>
    <row r="101">
      <c r="B101" s="42" t="n"/>
      <c r="C101" s="55" t="n">
        <v>20245000</v>
      </c>
      <c r="D101" s="30" t="n"/>
    </row>
    <row r="102">
      <c r="B102" s="42" t="n"/>
      <c r="C102" s="16" t="n">
        <v>8.530805687203792</v>
      </c>
      <c r="D102" s="31" t="n"/>
      <c r="E102" s="17">
        <f>C102-D102</f>
        <v/>
      </c>
    </row>
    <row r="103">
      <c r="B103" s="42" t="n"/>
      <c r="C103" s="16" t="n">
        <v>36.01895734597156</v>
      </c>
      <c r="D103" s="31" t="n"/>
      <c r="E103" s="17">
        <f>C103-D103</f>
        <v/>
      </c>
    </row>
    <row r="104">
      <c r="B104" s="42" t="n"/>
      <c r="C104" s="57" t="n">
        <v>5.450236966824645</v>
      </c>
      <c r="D104" s="60" t="n"/>
      <c r="E104" s="17">
        <f>C104-D104</f>
        <v/>
      </c>
    </row>
    <row r="105">
      <c r="B105" s="42" t="n"/>
      <c r="C105" s="16" t="n">
        <v>0.7109004739336493</v>
      </c>
      <c r="D105" s="31" t="n"/>
      <c r="E105" s="17">
        <f>C105-D105</f>
        <v/>
      </c>
    </row>
    <row r="106">
      <c r="B106" s="42" t="n"/>
      <c r="C106" s="16" t="n">
        <v>0.9478672985781991</v>
      </c>
      <c r="D106" s="31" t="n"/>
      <c r="E106" s="17">
        <f>C106-D106</f>
        <v/>
      </c>
    </row>
    <row r="107">
      <c r="B107" s="42" t="n"/>
      <c r="C107" s="16" t="n">
        <v>0.2369668246445498</v>
      </c>
      <c r="D107" s="31" t="n"/>
      <c r="E107" s="17">
        <f>C107-D107</f>
        <v/>
      </c>
    </row>
    <row r="108">
      <c r="B108" s="42" t="n"/>
      <c r="C108" s="16" t="n">
        <v>28.67298578199052</v>
      </c>
      <c r="D108" s="31" t="n"/>
      <c r="E108" s="17">
        <f>C108-D108</f>
        <v/>
      </c>
    </row>
    <row r="109">
      <c r="A109" s="59" t="inlineStr">
        <is>
          <t>Phoenix-Mesa-Chandler, AZ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/>
      <c r="E110" s="17">
        <f>D110-E110</f>
        <v/>
      </c>
    </row>
    <row r="111">
      <c r="B111" s="42" t="n"/>
      <c r="C111" s="16" t="n">
        <v>21.5130023640662</v>
      </c>
      <c r="D111" s="31" t="n"/>
      <c r="E111" s="17">
        <f>C111-D111</f>
        <v/>
      </c>
    </row>
    <row r="112">
      <c r="B112" s="42" t="n"/>
      <c r="C112" s="55" t="n">
        <v>28.36879432624114</v>
      </c>
      <c r="D112" s="30" t="n"/>
      <c r="E112">
        <f>C112-D112</f>
        <v/>
      </c>
    </row>
    <row r="113">
      <c r="B113" s="42" t="n"/>
      <c r="C113" s="16" t="n">
        <v>32510000</v>
      </c>
      <c r="D113" s="31" t="n"/>
      <c r="E113" s="17">
        <f>D113-E113</f>
        <v/>
      </c>
    </row>
    <row r="114">
      <c r="B114" s="42" t="n"/>
      <c r="C114" s="16" t="n">
        <v>20.33096926713948</v>
      </c>
      <c r="D114" s="31" t="n"/>
      <c r="E114" s="17">
        <f>C114-D114</f>
        <v/>
      </c>
    </row>
    <row r="115">
      <c r="B115" s="42" t="n"/>
      <c r="C115" s="57" t="n">
        <v>32.38770685579196</v>
      </c>
      <c r="D115" s="60" t="n"/>
      <c r="E115" s="17">
        <f>C115-D115</f>
        <v/>
      </c>
    </row>
    <row r="116">
      <c r="B116" s="42" t="n"/>
      <c r="C116" s="16" t="n">
        <v>10.40189125295508</v>
      </c>
      <c r="D116" s="31" t="n"/>
      <c r="E116" s="17">
        <f>C116-D116</f>
        <v/>
      </c>
    </row>
    <row r="117">
      <c r="B117" s="42" t="n"/>
      <c r="C117" s="16" t="n">
        <v>2.364066193853428</v>
      </c>
      <c r="D117" s="31" t="n"/>
      <c r="E117" s="17">
        <f>C117-D117</f>
        <v/>
      </c>
    </row>
    <row r="118">
      <c r="B118" s="42" t="n"/>
      <c r="C118" s="16" t="n">
        <v>0.2364066193853428</v>
      </c>
      <c r="D118" s="31" t="n"/>
      <c r="E118" s="17">
        <f>C118-D118</f>
        <v/>
      </c>
    </row>
    <row r="119">
      <c r="B119" s="42" t="n"/>
      <c r="C119" s="16" t="n">
        <v>0.4728132387706856</v>
      </c>
      <c r="D119" s="31" t="n"/>
      <c r="E119" s="17">
        <f>C119-D119</f>
        <v/>
      </c>
    </row>
    <row r="120">
      <c r="B120" s="42" t="n"/>
      <c r="C120" s="16" t="n">
        <v>18.91252955082742</v>
      </c>
      <c r="D120" s="31" t="n"/>
      <c r="E120" s="17">
        <f>C120-D120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60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60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60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60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60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60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60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60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60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60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60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60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60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60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60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60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60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60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60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60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60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60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60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60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60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60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60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60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60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60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60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60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60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60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60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60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60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60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60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60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60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60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60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60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60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60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56">
    <mergeCell ref="A585:A595"/>
    <mergeCell ref="A486:A496"/>
    <mergeCell ref="A277:A287"/>
    <mergeCell ref="A97:A108"/>
    <mergeCell ref="A222:A232"/>
    <mergeCell ref="A255:A265"/>
    <mergeCell ref="A13:A24"/>
    <mergeCell ref="A233:A243"/>
    <mergeCell ref="A178:A188"/>
    <mergeCell ref="A398:A408"/>
    <mergeCell ref="A109:A120"/>
    <mergeCell ref="A376:A386"/>
    <mergeCell ref="A354:A364"/>
    <mergeCell ref="A453:A463"/>
    <mergeCell ref="A497:A507"/>
    <mergeCell ref="A189:A199"/>
    <mergeCell ref="A519:A529"/>
    <mergeCell ref="A49:A60"/>
    <mergeCell ref="A145:A155"/>
    <mergeCell ref="A409:A419"/>
    <mergeCell ref="A607:A617"/>
    <mergeCell ref="A596:A606"/>
    <mergeCell ref="A574:A584"/>
    <mergeCell ref="A508:A518"/>
    <mergeCell ref="A2:A12"/>
    <mergeCell ref="A61:A72"/>
    <mergeCell ref="A244:A254"/>
    <mergeCell ref="A464:A474"/>
    <mergeCell ref="A73:A84"/>
    <mergeCell ref="A365:A375"/>
    <mergeCell ref="A200:A210"/>
    <mergeCell ref="A134:A144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25:A36"/>
    <mergeCell ref="A310:A320"/>
    <mergeCell ref="A530:A540"/>
    <mergeCell ref="A288:A298"/>
    <mergeCell ref="A37:A48"/>
    <mergeCell ref="A266:A276"/>
    <mergeCell ref="A442:A452"/>
    <mergeCell ref="A85:A96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70" t="n"/>
      <c r="B1" s="70" t="n"/>
      <c r="C1" s="69" t="inlineStr">
        <is>
          <t>Home Purchase</t>
        </is>
      </c>
      <c r="D1" s="69" t="inlineStr">
        <is>
          <t>Refinance and Cash-Out Refi</t>
        </is>
      </c>
      <c r="E1" s="69" t="inlineStr">
        <is>
          <t>Home Improvement and Home Equity</t>
        </is>
      </c>
      <c r="F1" s="71" t="inlineStr">
        <is>
          <t>Total</t>
        </is>
      </c>
      <c r="G1" s="71" t="inlineStr">
        <is>
          <t>HP 5 Year Goal</t>
        </is>
      </c>
      <c r="H1" s="71" t="inlineStr">
        <is>
          <t>Refi 5 Year Goal</t>
        </is>
      </c>
      <c r="I1" s="71" t="inlineStr">
        <is>
          <t>HI 5 Year Goal</t>
        </is>
      </c>
      <c r="J1" s="71" t="inlineStr">
        <is>
          <t>NCRC Proposal Over 5 Years</t>
        </is>
      </c>
      <c r="K1" s="71" t="inlineStr">
        <is>
          <t>Baseline Over 5 Years</t>
        </is>
      </c>
      <c r="L1" s="71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  <c r="G13" s="7" t="n"/>
      <c r="H13" s="7" t="n"/>
      <c r="I13" s="7" t="n"/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69" t="inlineStr">
        <is>
          <t>State</t>
        </is>
      </c>
      <c r="B1" s="72" t="n"/>
      <c r="C1" s="70" t="n"/>
      <c r="D1" s="69" t="inlineStr">
        <is>
          <t>Bank A</t>
        </is>
      </c>
      <c r="E1" s="69" t="inlineStr">
        <is>
          <t>Peers</t>
        </is>
      </c>
      <c r="F1" s="62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6">
    <mergeCell ref="A2:B6"/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A1" s="62" t="n"/>
      <c r="B1" s="62" t="n"/>
      <c r="C1" s="73" t="inlineStr">
        <is>
          <t>Atlantic Union</t>
        </is>
      </c>
      <c r="D1" s="62" t="n"/>
      <c r="E1" s="62" t="n"/>
      <c r="F1" s="62" t="n"/>
      <c r="G1" s="62" t="n"/>
      <c r="H1" s="73" t="inlineStr">
        <is>
          <t>Other Banks</t>
        </is>
      </c>
      <c r="I1" s="62" t="n"/>
      <c r="J1" s="62" t="n"/>
      <c r="K1" s="62" t="n"/>
      <c r="L1" s="62" t="n"/>
    </row>
    <row r="2">
      <c r="A2" s="74" t="inlineStr">
        <is>
          <t>Atlantic Union Assessment Areas</t>
        </is>
      </c>
      <c r="B2" s="62" t="n"/>
      <c r="C2" s="73" t="inlineStr">
        <is>
          <t>2018</t>
        </is>
      </c>
      <c r="D2" s="73" t="inlineStr">
        <is>
          <t>2019</t>
        </is>
      </c>
      <c r="E2" s="73" t="inlineStr">
        <is>
          <t>2020</t>
        </is>
      </c>
      <c r="F2" s="73" t="inlineStr">
        <is>
          <t>2021</t>
        </is>
      </c>
      <c r="G2" s="73" t="inlineStr">
        <is>
          <t>2022</t>
        </is>
      </c>
      <c r="H2" s="73" t="inlineStr">
        <is>
          <t>2018</t>
        </is>
      </c>
      <c r="I2" s="73" t="inlineStr">
        <is>
          <t>2019</t>
        </is>
      </c>
      <c r="J2" s="73" t="inlineStr">
        <is>
          <t>2020</t>
        </is>
      </c>
      <c r="K2" s="73" t="inlineStr">
        <is>
          <t>2021</t>
        </is>
      </c>
      <c r="L2" s="73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69" t="inlineStr">
        <is>
          <t>State</t>
        </is>
      </c>
      <c r="B1" s="72" t="n"/>
      <c r="C1" s="70" t="n"/>
      <c r="D1" s="69" t="inlineStr">
        <is>
          <t>Bank B</t>
        </is>
      </c>
      <c r="E1" s="69" t="inlineStr">
        <is>
          <t>Peers</t>
        </is>
      </c>
      <c r="F1" s="62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61" t="n"/>
      <c r="E34" s="61" t="n"/>
      <c r="F34" s="5" t="n"/>
    </row>
    <row r="35">
      <c r="C35" s="46" t="n"/>
      <c r="D35" s="1" t="n"/>
      <c r="E35" s="1" t="n"/>
      <c r="F35" s="5" t="n"/>
    </row>
    <row r="36">
      <c r="C36" s="46" t="n"/>
      <c r="D36" s="61" t="n"/>
      <c r="E36" s="61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61" t="n"/>
      <c r="E39" s="61" t="n"/>
      <c r="F39" s="5" t="n"/>
    </row>
    <row r="40">
      <c r="C40" s="46" t="n"/>
      <c r="D40" s="1" t="n"/>
      <c r="E40" s="1" t="n"/>
      <c r="F40" s="5" t="n"/>
    </row>
    <row r="41">
      <c r="C41" s="46" t="n"/>
      <c r="D41" s="61" t="n"/>
      <c r="E41" s="61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61" t="n"/>
      <c r="E44" s="61" t="n"/>
      <c r="F44" s="5" t="n"/>
    </row>
    <row r="45">
      <c r="C45" s="46" t="n"/>
      <c r="D45" s="1" t="n"/>
      <c r="E45" s="1" t="n"/>
      <c r="F45" s="5" t="n"/>
    </row>
    <row r="46">
      <c r="C46" s="46" t="n"/>
      <c r="D46" s="61" t="n"/>
      <c r="E46" s="61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61" t="n"/>
      <c r="E49" s="61" t="n"/>
      <c r="F49" s="5" t="n"/>
    </row>
    <row r="50">
      <c r="C50" s="46" t="n"/>
      <c r="D50" s="1" t="n"/>
      <c r="E50" s="1" t="n"/>
      <c r="F50" s="5" t="n"/>
    </row>
    <row r="51">
      <c r="C51" s="46" t="n"/>
      <c r="D51" s="61" t="n"/>
      <c r="E51" s="61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61" t="n"/>
      <c r="E54" s="61" t="n"/>
      <c r="F54" s="5" t="n"/>
    </row>
    <row r="55">
      <c r="C55" s="46" t="n"/>
      <c r="D55" s="1" t="n"/>
      <c r="E55" s="1" t="n"/>
      <c r="F55" s="5" t="n"/>
    </row>
    <row r="56">
      <c r="C56" s="46" t="n"/>
      <c r="D56" s="61" t="n"/>
      <c r="E56" s="61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61" t="n"/>
      <c r="E59" s="61" t="n"/>
      <c r="F59" s="5" t="n"/>
    </row>
    <row r="60">
      <c r="C60" s="46" t="n"/>
      <c r="D60" s="1" t="n"/>
      <c r="E60" s="1" t="n"/>
      <c r="F60" s="5" t="n"/>
    </row>
    <row r="61">
      <c r="C61" s="46" t="n"/>
      <c r="D61" s="61" t="n"/>
      <c r="E61" s="61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61" t="n"/>
      <c r="E64" s="61" t="n"/>
      <c r="F64" s="5" t="n"/>
    </row>
    <row r="65">
      <c r="C65" s="46" t="n"/>
      <c r="D65" s="1" t="n"/>
      <c r="E65" s="1" t="n"/>
      <c r="F65" s="5" t="n"/>
    </row>
    <row r="66">
      <c r="C66" s="46" t="n"/>
      <c r="D66" s="61" t="n"/>
      <c r="E66" s="61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61" t="n"/>
      <c r="E69" s="61" t="n"/>
      <c r="F69" s="5" t="n"/>
    </row>
    <row r="70">
      <c r="C70" s="46" t="n"/>
      <c r="D70" s="1" t="n"/>
      <c r="E70" s="1" t="n"/>
      <c r="F70" s="5" t="n"/>
    </row>
    <row r="71">
      <c r="C71" s="46" t="n"/>
      <c r="D71" s="61" t="n"/>
      <c r="E71" s="61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61" t="n"/>
      <c r="E74" s="61" t="n"/>
      <c r="F74" s="5" t="n"/>
    </row>
    <row r="75">
      <c r="C75" s="46" t="n"/>
      <c r="D75" s="1" t="n"/>
      <c r="E75" s="1" t="n"/>
      <c r="F75" s="5" t="n"/>
    </row>
    <row r="76">
      <c r="C76" s="46" t="n"/>
      <c r="D76" s="61" t="n"/>
      <c r="E76" s="61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61" t="n"/>
      <c r="E79" s="61" t="n"/>
      <c r="F79" s="5" t="n"/>
    </row>
    <row r="80">
      <c r="C80" s="46" t="n"/>
      <c r="D80" s="1" t="n"/>
      <c r="E80" s="1" t="n"/>
      <c r="F80" s="5" t="n"/>
    </row>
    <row r="81">
      <c r="C81" s="46" t="n"/>
      <c r="D81" s="61" t="n"/>
      <c r="E81" s="61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61" t="n"/>
      <c r="E84" s="61" t="n"/>
      <c r="F84" s="5" t="n"/>
    </row>
    <row r="85">
      <c r="C85" s="46" t="n"/>
      <c r="D85" s="1" t="n"/>
      <c r="E85" s="1" t="n"/>
      <c r="F85" s="5" t="n"/>
    </row>
    <row r="86">
      <c r="C86" s="46" t="n"/>
      <c r="D86" s="61" t="n"/>
      <c r="E86" s="61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61" t="n"/>
      <c r="E89" s="61" t="n"/>
      <c r="F89" s="5" t="n"/>
    </row>
    <row r="90">
      <c r="C90" s="46" t="n"/>
      <c r="D90" s="1" t="n"/>
      <c r="E90" s="1" t="n"/>
      <c r="F90" s="5" t="n"/>
    </row>
    <row r="91">
      <c r="C91" s="46" t="n"/>
      <c r="D91" s="61" t="n"/>
      <c r="E91" s="61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61" t="n"/>
      <c r="E94" s="61" t="n"/>
      <c r="F94" s="5" t="n"/>
    </row>
    <row r="95">
      <c r="C95" s="46" t="n"/>
      <c r="D95" s="1" t="n"/>
      <c r="E95" s="1" t="n"/>
      <c r="F95" s="5" t="n"/>
    </row>
    <row r="96">
      <c r="C96" s="46" t="n"/>
      <c r="D96" s="61" t="n"/>
      <c r="E96" s="61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61" t="n"/>
      <c r="E99" s="61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61" t="n"/>
      <c r="E101" s="61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61" t="n"/>
      <c r="E104" s="61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61" t="n"/>
      <c r="E106" s="61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61" t="n"/>
      <c r="E109" s="61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61" t="n"/>
      <c r="E111" s="61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61" t="n"/>
      <c r="E114" s="61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61" t="n"/>
      <c r="E116" s="61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61" t="n"/>
      <c r="E119" s="61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61" t="n"/>
      <c r="E121" s="61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61" t="n"/>
      <c r="E124" s="61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61" t="n"/>
      <c r="E126" s="61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61" t="n"/>
      <c r="E129" s="61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61" t="n"/>
      <c r="E131" s="61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61" t="n"/>
      <c r="E134" s="61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61" t="n"/>
      <c r="E136" s="61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61" t="n"/>
      <c r="E139" s="61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61" t="n"/>
      <c r="E141" s="61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61" t="n"/>
      <c r="E144" s="61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61" t="n"/>
      <c r="E146" s="61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61" t="n"/>
      <c r="E149" s="61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61" t="n"/>
      <c r="E151" s="61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61" t="n"/>
      <c r="E154" s="61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61" t="n"/>
      <c r="E156" s="61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61" t="n"/>
      <c r="E159" s="61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61" t="n"/>
      <c r="E161" s="61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61" t="n"/>
      <c r="E164" s="61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61" t="n"/>
      <c r="E166" s="61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61" t="n"/>
      <c r="E169" s="61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61" t="n"/>
      <c r="E171" s="61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61" t="n"/>
      <c r="E174" s="61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61" t="n"/>
      <c r="E176" s="61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61" t="n"/>
      <c r="E179" s="61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61" t="n"/>
      <c r="E181" s="61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61" t="n"/>
      <c r="E184" s="61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61" t="n"/>
      <c r="E186" s="61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61" t="n"/>
      <c r="E189" s="61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61" t="n"/>
      <c r="E191" s="61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61" t="n"/>
      <c r="E194" s="61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61" t="n"/>
      <c r="E196" s="61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61" t="n"/>
      <c r="E199" s="61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61" t="n"/>
      <c r="E201" s="61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61" t="n"/>
      <c r="E204" s="61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61" t="n"/>
      <c r="E206" s="61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61" t="n"/>
      <c r="E209" s="61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61" t="n"/>
      <c r="E211" s="61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61" t="n"/>
      <c r="E214" s="61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61" t="n"/>
      <c r="E216" s="61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61" t="n"/>
      <c r="E219" s="61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61" t="n"/>
      <c r="E221" s="61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61" t="n"/>
      <c r="E224" s="61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61" t="n"/>
      <c r="E226" s="61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61" t="n"/>
      <c r="E229" s="61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61" t="n"/>
      <c r="E231" s="61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61" t="n"/>
      <c r="E234" s="61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61" t="n"/>
      <c r="E236" s="61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61" t="n"/>
      <c r="E239" s="61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61" t="n"/>
      <c r="E241" s="61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61" t="n"/>
      <c r="E244" s="61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61" t="n"/>
      <c r="E246" s="61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61" t="n"/>
      <c r="E249" s="61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61" t="n"/>
      <c r="E251" s="61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61" t="n"/>
      <c r="E254" s="61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61" t="n"/>
      <c r="E256" s="61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61" t="n"/>
      <c r="E259" s="61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61" t="n"/>
      <c r="E261" s="61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61" t="n"/>
      <c r="E264" s="61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61" t="n"/>
      <c r="E266" s="61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61" t="n"/>
      <c r="E269" s="61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61" t="n"/>
      <c r="E271" s="61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61" t="n"/>
      <c r="E274" s="61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61" t="n"/>
      <c r="E276" s="61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61" t="n"/>
      <c r="E279" s="61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61" t="n"/>
      <c r="E281" s="61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75" t="n"/>
      <c r="B1" s="70" t="n"/>
      <c r="C1" s="69" t="inlineStr">
        <is>
          <t>Bank A</t>
        </is>
      </c>
      <c r="D1" s="69" t="inlineStr">
        <is>
          <t>Peers</t>
        </is>
      </c>
      <c r="E1" s="62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s="59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IFERROR((C5/C5)-(D5/D5),"")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s="59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IFERROR((C8/C8)-(D8/D8),"")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s="59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IFERROR((C11/C11)-(D11/D11),"")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s="59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IFERROR((C14/C14)-(D14/D14),"")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s="59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IFERROR((C17/C17)-(D17/D17),"")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s="59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IFERROR((C20/C20)-(D20/D20),"")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s="59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IFERROR((C23/C23)-(D23/D23),"")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s="59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IFERROR((C26/C26)-(D26/D26),"")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s="5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IFERROR((C29/C29)-(D29/D29),"")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s="59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IFERROR((C32/C32)-(D32/D32),"")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s="59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IFERROR((C35/C35)-(D35/D35),"")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s="59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IFERROR((C38/C38)-(D38/D38),"")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mergeCells count="12">
    <mergeCell ref="A35:A37"/>
    <mergeCell ref="A8:A10"/>
    <mergeCell ref="A26:A28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62" t="n"/>
      <c r="B1" s="62" t="n"/>
      <c r="C1" s="73" t="inlineStr">
        <is>
          <t>Sandy Spring Bank</t>
        </is>
      </c>
      <c r="D1" s="62" t="n"/>
      <c r="E1" s="62" t="n"/>
      <c r="F1" s="62" t="n"/>
      <c r="G1" s="62" t="n"/>
      <c r="H1" s="73" t="inlineStr">
        <is>
          <t>Other Banks</t>
        </is>
      </c>
      <c r="I1" s="62" t="n"/>
      <c r="J1" s="62" t="n"/>
      <c r="K1" s="62" t="n"/>
      <c r="L1" s="62" t="n"/>
    </row>
    <row r="2">
      <c r="A2" s="74" t="inlineStr">
        <is>
          <t>Sandy Spring Assessment Area</t>
        </is>
      </c>
      <c r="B2" s="62" t="n"/>
      <c r="C2" s="73" t="inlineStr">
        <is>
          <t>2018</t>
        </is>
      </c>
      <c r="D2" s="73" t="inlineStr">
        <is>
          <t>2019</t>
        </is>
      </c>
      <c r="E2" s="73" t="inlineStr">
        <is>
          <t>2020</t>
        </is>
      </c>
      <c r="F2" s="73" t="inlineStr">
        <is>
          <t>2021</t>
        </is>
      </c>
      <c r="G2" s="73" t="inlineStr">
        <is>
          <t>2022</t>
        </is>
      </c>
      <c r="H2" s="73" t="inlineStr">
        <is>
          <t>2018</t>
        </is>
      </c>
      <c r="I2" s="73" t="inlineStr">
        <is>
          <t>2019</t>
        </is>
      </c>
      <c r="J2" s="73" t="inlineStr">
        <is>
          <t>2020</t>
        </is>
      </c>
      <c r="K2" s="73" t="inlineStr">
        <is>
          <t>2021</t>
        </is>
      </c>
      <c r="L2" s="73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75" t="n"/>
      <c r="B1" s="70" t="n"/>
      <c r="C1" s="69" t="inlineStr">
        <is>
          <t>Bank B</t>
        </is>
      </c>
      <c r="D1" s="69" t="inlineStr">
        <is>
          <t>Peers</t>
        </is>
      </c>
      <c r="E1" s="62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s="59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IFERROR((C5/C5)-(D5/D5),"")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s="59" t="inlineStr">
        <is>
          <t>Breckenridge, CO</t>
        </is>
      </c>
      <c r="B8" t="inlineStr">
        <is>
          <t>Branches</t>
        </is>
      </c>
      <c r="C8" t="n">
        <v>2</v>
      </c>
      <c r="E8">
        <f>IFERROR((C8/C8)-(D8/D8),"")</f>
        <v/>
      </c>
    </row>
    <row r="9" ht="15" customHeight="1" s="52"/>
    <row r="10" ht="15" customHeight="1" s="52"/>
    <row r="11" ht="15" customHeight="1" s="52">
      <c r="A11" s="59" t="inlineStr">
        <is>
          <t>Colorado Springs, CO</t>
        </is>
      </c>
      <c r="B11" t="inlineStr">
        <is>
          <t>Branches</t>
        </is>
      </c>
      <c r="C11" t="n">
        <v>6</v>
      </c>
      <c r="E11">
        <f>IFERROR((C11/C11)-(D11/D11),"")</f>
        <v/>
      </c>
    </row>
    <row r="12" ht="15" customHeight="1" s="52"/>
    <row r="13" ht="15" customHeight="1" s="52"/>
    <row r="14" ht="15" customHeight="1" s="52">
      <c r="A14" s="59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IFERROR((C14/C14)-(D14/D14),"")</f>
        <v/>
      </c>
    </row>
    <row r="15" ht="15" customHeight="1" s="52"/>
    <row r="16" ht="15" customHeight="1" s="52"/>
    <row r="17" ht="15" customHeight="1" s="52">
      <c r="A17" s="59" t="inlineStr">
        <is>
          <t>Edwards, CO</t>
        </is>
      </c>
      <c r="B17" t="inlineStr">
        <is>
          <t>Branches</t>
        </is>
      </c>
      <c r="C17" t="n">
        <v>5</v>
      </c>
      <c r="E17">
        <f>IFERROR((C17/C17)-(D17/D17),"")</f>
        <v/>
      </c>
    </row>
    <row r="18" ht="15" customHeight="1" s="52"/>
    <row r="19" ht="15" customHeight="1" s="52"/>
    <row r="20" ht="15" customHeight="1" s="52">
      <c r="A20" s="59" t="inlineStr">
        <is>
          <t>Fort Collins, CO</t>
        </is>
      </c>
      <c r="B20" t="inlineStr">
        <is>
          <t>Branches</t>
        </is>
      </c>
      <c r="C20" t="n">
        <v>4</v>
      </c>
      <c r="E20">
        <f>IFERROR((C20/C20)-(D20/D20),"")</f>
        <v/>
      </c>
    </row>
    <row r="21" ht="15" customHeight="1" s="52"/>
    <row r="22" ht="15" customHeight="1" s="52"/>
    <row r="23" ht="15" customHeight="1" s="52">
      <c r="A23" s="59" t="inlineStr">
        <is>
          <t>Glenwood Springs, CO</t>
        </is>
      </c>
      <c r="B23" t="inlineStr">
        <is>
          <t>Branches</t>
        </is>
      </c>
      <c r="C23" t="n">
        <v>3</v>
      </c>
      <c r="E23">
        <f>IFERROR((C23/C23)-(D23/D23),"")</f>
        <v/>
      </c>
    </row>
    <row r="24" ht="15" customHeight="1" s="52"/>
    <row r="25" ht="15" customHeight="1" s="52"/>
    <row r="26" ht="15" customHeight="1" s="52">
      <c r="A26" s="59" t="inlineStr">
        <is>
          <t>Greeley, CO</t>
        </is>
      </c>
      <c r="B26" t="inlineStr">
        <is>
          <t>Branches</t>
        </is>
      </c>
      <c r="C26" t="n">
        <v>5</v>
      </c>
      <c r="E26">
        <f>IFERROR((C26/C26)-(D26/D26),"")</f>
        <v/>
      </c>
    </row>
    <row r="27" ht="15" customHeight="1" s="52"/>
    <row r="28" ht="15" customHeight="1" s="52"/>
    <row r="29" ht="15" customHeight="1" s="52">
      <c r="A29" s="5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IFERROR((C29/C29)-(D29/D29),"")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mergeCells count="9">
    <mergeCell ref="A8:A10"/>
    <mergeCell ref="A26:A28"/>
    <mergeCell ref="A17:A19"/>
    <mergeCell ref="A20:A22"/>
    <mergeCell ref="A11:A13"/>
    <mergeCell ref="A29:A31"/>
    <mergeCell ref="A5:A7"/>
    <mergeCell ref="A23:A25"/>
    <mergeCell ref="A14:A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County, State</t>
        </is>
      </c>
      <c r="B1" s="62" t="inlineStr">
        <is>
          <t>GEOID5</t>
        </is>
      </c>
      <c r="C1" s="62" t="inlineStr">
        <is>
          <t>Pre-Merger HHI</t>
        </is>
      </c>
      <c r="D1" s="62" t="inlineStr">
        <is>
          <t>Post-Merger HHI</t>
        </is>
      </c>
      <c r="E1" s="62" t="inlineStr">
        <is>
          <t>HHI Change</t>
        </is>
      </c>
      <c r="F1" s="62" t="inlineStr">
        <is>
          <t>Pre-Merger Concentration</t>
        </is>
      </c>
      <c r="G1" s="62" t="inlineStr">
        <is>
          <t>Post-Merger Concentration</t>
        </is>
      </c>
    </row>
    <row r="2">
      <c r="A2" s="62" t="inlineStr">
        <is>
          <t>Maricopa County, Arizona</t>
        </is>
      </c>
      <c r="B2" s="62" t="inlineStr">
        <is>
          <t>04013</t>
        </is>
      </c>
      <c r="C2" s="62" t="n">
        <v>1608.63</v>
      </c>
      <c r="D2" s="62" t="n">
        <v>1611.32</v>
      </c>
      <c r="E2" s="62" t="n">
        <v>2.68</v>
      </c>
      <c r="F2" s="62" t="inlineStr">
        <is>
          <t>Moderate Concentration</t>
        </is>
      </c>
      <c r="G2" s="6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2025-11-19T20:17:33Z</dcterms:modified>
  <cp:lastModifiedBy>Jason Richardson</cp:lastModifiedBy>
</cp:coreProperties>
</file>