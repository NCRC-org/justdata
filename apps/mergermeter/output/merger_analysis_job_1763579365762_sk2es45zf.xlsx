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Atlantic Union SB Goals" sheetId="7" state="hidden" r:id="rId7"/>
    <sheet name="FIRSTBANK SB Lending" sheetId="8" state="visible" r:id="rId8"/>
    <sheet name="PNC BANK Branches" sheetId="9" state="visible" r:id="rId9"/>
    <sheet name="Sandy Spring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89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  <xf numFmtId="0" fontId="3" fillId="3" borderId="0" pivotButton="0" quotePrefix="0" xfId="0"/>
    <xf numFmtId="0" fontId="4" fillId="3" borderId="0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wrapText="1"/>
    </xf>
    <xf numFmtId="0" fontId="1" fillId="3" borderId="0" pivotButton="0" quotePrefix="0" xfId="0"/>
    <xf numFmtId="0" fontId="1" fillId="3" borderId="0" applyAlignment="1" pivotButton="0" quotePrefix="1" xfId="0">
      <alignment wrapText="1"/>
    </xf>
    <xf numFmtId="0" fontId="2" fillId="3" borderId="0" pivotButton="0" quotePrefix="0" xfId="0"/>
    <xf numFmtId="0" fontId="1" fillId="3" borderId="0" pivotButton="0" quotePrefix="1" xfId="0"/>
    <xf numFmtId="0" fontId="2" fillId="3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3" fontId="1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3" borderId="0" pivotButton="0" quotePrefix="0" xfId="0"/>
    <xf numFmtId="1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164" fontId="0" fillId="3" borderId="0" pivotButton="0" quotePrefix="0" xfId="0"/>
    <xf numFmtId="3" fontId="2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/>
    </xf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68" t="inlineStr">
        <is>
          <t>Data Sources and Timeframes:</t>
        </is>
      </c>
      <c r="B1" s="69" t="n"/>
      <c r="C1" s="69" t="n"/>
      <c r="D1" s="70" t="n"/>
      <c r="E1" s="70" t="n"/>
      <c r="F1" s="70" t="n"/>
      <c r="G1" s="70" t="n"/>
      <c r="H1" s="70" t="n"/>
      <c r="I1" s="70" t="n"/>
      <c r="J1" s="70" t="n"/>
    </row>
    <row r="2" ht="25.5" customHeight="1" s="47">
      <c r="A2" s="71" t="n">
        <v>1</v>
      </c>
      <c r="B2" s="72" t="inlineStr">
        <is>
          <t>Mortgage Data:</t>
        </is>
      </c>
      <c r="C2" s="69" t="n"/>
      <c r="D2" s="70" t="n"/>
      <c r="E2" s="73" t="inlineStr">
        <is>
          <t>Respondent Name</t>
        </is>
      </c>
      <c r="F2" s="73" t="inlineStr">
        <is>
          <t>Lei (Lenders18)</t>
        </is>
      </c>
      <c r="G2" s="73" t="inlineStr">
        <is>
          <t>Respondent City</t>
        </is>
      </c>
      <c r="H2" s="73" t="inlineStr">
        <is>
          <t>Respondent State</t>
        </is>
      </c>
      <c r="I2" s="73" t="inlineStr">
        <is>
          <t>Type Name</t>
        </is>
      </c>
      <c r="J2" s="73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73" t="inlineStr">
        <is>
          <t>State</t>
        </is>
      </c>
      <c r="B1" s="74" t="inlineStr">
        <is>
          <t>@PNC AA</t>
        </is>
      </c>
      <c r="C1" s="73" t="inlineStr">
        <is>
          <t>County State</t>
        </is>
      </c>
      <c r="D1" s="75" t="n"/>
      <c r="E1" s="73" t="inlineStr">
        <is>
          <t>State</t>
        </is>
      </c>
      <c r="F1" s="76" t="inlineStr">
        <is>
          <t>@FirstBank AA</t>
        </is>
      </c>
      <c r="G1" s="73" t="inlineStr">
        <is>
          <t>County State</t>
        </is>
      </c>
      <c r="H1" s="75" t="n"/>
    </row>
    <row r="2">
      <c r="A2" s="70" t="inlineStr">
        <is>
          <t>Alabama</t>
        </is>
      </c>
      <c r="B2" s="70" t="inlineStr">
        <is>
          <t>@PNC Bank AA</t>
        </is>
      </c>
      <c r="C2" s="70" t="inlineStr">
        <is>
          <t>Dallas County, Alabama</t>
        </is>
      </c>
      <c r="D2" s="70" t="n"/>
      <c r="E2" s="70" t="inlineStr">
        <is>
          <t>Arizona</t>
        </is>
      </c>
      <c r="F2" s="70" t="inlineStr">
        <is>
          <t>@FirstBank AA</t>
        </is>
      </c>
      <c r="G2" s="70" t="inlineStr">
        <is>
          <t>Maricopa County, Arizona</t>
        </is>
      </c>
      <c r="H2" s="70" t="n"/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74" t="inlineStr">
        <is>
          <t>@PNC AA</t>
        </is>
      </c>
      <c r="B1" s="77" t="n"/>
      <c r="C1" s="73" t="inlineStr">
        <is>
          <t>PNC</t>
        </is>
      </c>
      <c r="D1" s="73" t="inlineStr">
        <is>
          <t>Other</t>
        </is>
      </c>
      <c r="E1" s="70" t="inlineStr">
        <is>
          <t>Difference</t>
        </is>
      </c>
    </row>
    <row r="2">
      <c r="A2" s="70" t="n"/>
      <c r="B2" s="78" t="inlineStr">
        <is>
          <t>Loans</t>
        </is>
      </c>
      <c r="C2" s="79" t="n">
        <v>49287</v>
      </c>
      <c r="D2" s="79" t="n">
        <v>8253687</v>
      </c>
      <c r="E2" s="70" t="n"/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76" t="inlineStr">
        <is>
          <t>@FirstBank AA</t>
        </is>
      </c>
      <c r="B1" s="77" t="n"/>
      <c r="C1" s="73" t="inlineStr">
        <is>
          <t>FirstBank</t>
        </is>
      </c>
      <c r="D1" s="73" t="inlineStr">
        <is>
          <t>Other</t>
        </is>
      </c>
      <c r="E1" s="70" t="inlineStr">
        <is>
          <t>Difference</t>
        </is>
      </c>
    </row>
    <row r="2">
      <c r="A2" s="70" t="n"/>
      <c r="B2" s="78" t="inlineStr">
        <is>
          <t>Loans</t>
        </is>
      </c>
      <c r="C2" s="79" t="n">
        <v>6446</v>
      </c>
      <c r="D2" s="79" t="n">
        <v>785804</v>
      </c>
      <c r="E2" s="70" t="n"/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75" t="n"/>
      <c r="B1" s="73" t="inlineStr">
        <is>
          <t>Home Purchase</t>
        </is>
      </c>
      <c r="C1" s="73" t="inlineStr">
        <is>
          <t>Refinance and Cash-Out Refi</t>
        </is>
      </c>
      <c r="D1" s="73" t="inlineStr">
        <is>
          <t>Home Improvement and Home Equity</t>
        </is>
      </c>
      <c r="E1" s="80" t="inlineStr">
        <is>
          <t>Total</t>
        </is>
      </c>
      <c r="F1" s="80" t="inlineStr">
        <is>
          <t>HP 5 Year Goal</t>
        </is>
      </c>
      <c r="G1" s="80" t="inlineStr">
        <is>
          <t>Refi 5 Year Goal</t>
        </is>
      </c>
      <c r="H1" s="80" t="inlineStr">
        <is>
          <t>HI 5 Year Goal</t>
        </is>
      </c>
      <c r="I1" s="80" t="inlineStr">
        <is>
          <t>NCRC Proposal Over 5 Years</t>
        </is>
      </c>
      <c r="J1" s="80" t="inlineStr">
        <is>
          <t>Baseline Over 5 Years</t>
        </is>
      </c>
      <c r="K1" s="80" t="inlineStr">
        <is>
          <t>Total Increase in LMIB Lending</t>
        </is>
      </c>
    </row>
    <row r="2" ht="15" customHeight="1" s="47">
      <c r="A2" s="73" t="inlineStr">
        <is>
          <t>Loans</t>
        </is>
      </c>
      <c r="B2" s="79" t="n">
        <v>73941</v>
      </c>
      <c r="C2" s="79" t="n">
        <v>172002</v>
      </c>
      <c r="D2" s="79" t="n">
        <v>162903</v>
      </c>
      <c r="E2" s="81">
        <f>SUM(C2:E2)</f>
        <v/>
      </c>
      <c r="F2" s="70" t="n">
        <v>1.1</v>
      </c>
      <c r="G2" s="70" t="n">
        <v>1.5</v>
      </c>
      <c r="H2" s="70" t="n">
        <v>1</v>
      </c>
      <c r="I2" s="70" t="n"/>
      <c r="J2" s="70" t="n"/>
      <c r="K2" s="70" t="n"/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  <c r="F13" s="17" t="n"/>
      <c r="G13" s="17" t="n"/>
      <c r="H13" s="17" t="n"/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  <c r="F24" s="17" t="n"/>
      <c r="G24" s="17" t="n"/>
      <c r="H24" s="17" t="n"/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  <c r="F35" s="17" t="n"/>
      <c r="G35" s="17" t="n"/>
      <c r="H35" s="17" t="n"/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  <c r="F46" s="17" t="n"/>
      <c r="G46" s="17" t="n"/>
      <c r="H46" s="17" t="n"/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  <c r="F57" s="17" t="n"/>
      <c r="G57" s="17" t="n"/>
      <c r="H57" s="17" t="n"/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  <c r="F68" s="17" t="n"/>
      <c r="G68" s="17" t="n"/>
      <c r="H68" s="17" t="n"/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  <c r="F79" s="17" t="n"/>
      <c r="G79" s="17" t="n"/>
      <c r="H79" s="17" t="n"/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  <c r="F90" s="17" t="n"/>
      <c r="G90" s="17" t="n"/>
      <c r="H90" s="17" t="n"/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  <c r="F101" s="17" t="n"/>
      <c r="G101" s="17" t="n"/>
      <c r="H101" s="17" t="n"/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  <c r="F112" s="17" t="n"/>
      <c r="G112" s="17" t="n"/>
      <c r="H112" s="17" t="n"/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  <c r="F123" s="17" t="n"/>
      <c r="G123" s="17" t="n"/>
      <c r="H123" s="17" t="n"/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  <c r="F134" s="17" t="n"/>
      <c r="G134" s="17" t="n"/>
      <c r="H134" s="17" t="n"/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  <c r="F145" s="17" t="n"/>
      <c r="G145" s="17" t="n"/>
      <c r="H145" s="17" t="n"/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  <c r="F156" s="17" t="n"/>
      <c r="G156" s="17" t="n"/>
      <c r="H156" s="17" t="n"/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73" t="inlineStr">
        <is>
          <t>State</t>
        </is>
      </c>
      <c r="B1" s="74" t="inlineStr">
        <is>
          <t>@PNC AA</t>
        </is>
      </c>
      <c r="C1" s="75" t="n"/>
      <c r="D1" s="73" t="inlineStr">
        <is>
          <t>PNC</t>
        </is>
      </c>
      <c r="E1" s="73" t="inlineStr">
        <is>
          <t>Other</t>
        </is>
      </c>
      <c r="F1" s="82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A1" s="70" t="n"/>
      <c r="B1" s="70" t="n"/>
      <c r="C1" s="83" t="inlineStr">
        <is>
          <t>Atlantic Union</t>
        </is>
      </c>
      <c r="D1" s="70" t="n"/>
      <c r="E1" s="70" t="n"/>
      <c r="F1" s="70" t="n"/>
      <c r="G1" s="70" t="n"/>
      <c r="H1" s="83" t="inlineStr">
        <is>
          <t>Other Banks</t>
        </is>
      </c>
      <c r="I1" s="70" t="n"/>
      <c r="J1" s="70" t="n"/>
      <c r="K1" s="70" t="n"/>
      <c r="L1" s="70" t="n"/>
    </row>
    <row r="2">
      <c r="A2" s="84" t="inlineStr">
        <is>
          <t>Atlantic Union Assessment Areas</t>
        </is>
      </c>
      <c r="B2" s="70" t="n"/>
      <c r="C2" s="83" t="inlineStr">
        <is>
          <t>2018</t>
        </is>
      </c>
      <c r="D2" s="83" t="inlineStr">
        <is>
          <t>2019</t>
        </is>
      </c>
      <c r="E2" s="83" t="inlineStr">
        <is>
          <t>2020</t>
        </is>
      </c>
      <c r="F2" s="83" t="inlineStr">
        <is>
          <t>2021</t>
        </is>
      </c>
      <c r="G2" s="83" t="inlineStr">
        <is>
          <t>2022</t>
        </is>
      </c>
      <c r="H2" s="83" t="inlineStr">
        <is>
          <t>2018</t>
        </is>
      </c>
      <c r="I2" s="83" t="inlineStr">
        <is>
          <t>2019</t>
        </is>
      </c>
      <c r="J2" s="83" t="inlineStr">
        <is>
          <t>2020</t>
        </is>
      </c>
      <c r="K2" s="83" t="inlineStr">
        <is>
          <t>2021</t>
        </is>
      </c>
      <c r="L2" s="83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73" t="inlineStr">
        <is>
          <t>State</t>
        </is>
      </c>
      <c r="B1" s="76" t="inlineStr">
        <is>
          <t>@FirstBank AA</t>
        </is>
      </c>
      <c r="C1" s="75" t="n"/>
      <c r="D1" s="73" t="inlineStr">
        <is>
          <t>FirstBank</t>
        </is>
      </c>
      <c r="E1" s="73" t="inlineStr">
        <is>
          <t>Other</t>
        </is>
      </c>
      <c r="F1" s="70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74" t="inlineStr">
        <is>
          <t>@PNC AA</t>
        </is>
      </c>
      <c r="B1" s="75" t="n"/>
      <c r="C1" s="73" t="inlineStr">
        <is>
          <t>PNC</t>
        </is>
      </c>
      <c r="D1" s="73" t="inlineStr">
        <is>
          <t>Other</t>
        </is>
      </c>
      <c r="E1" s="70" t="inlineStr">
        <is>
          <t>Difference</t>
        </is>
      </c>
    </row>
    <row r="2">
      <c r="A2" s="70" t="n"/>
      <c r="B2" s="73" t="inlineStr">
        <is>
          <t>Branches</t>
        </is>
      </c>
      <c r="C2" s="79" t="n">
        <v>1985</v>
      </c>
      <c r="D2" s="79" t="n">
        <v>28428</v>
      </c>
      <c r="E2" s="85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86" t="n">
        <v>2</v>
      </c>
      <c r="D86" s="25" t="n">
        <v>30</v>
      </c>
    </row>
    <row r="87">
      <c r="B87" s="46" t="inlineStr">
        <is>
          <t>LMICT</t>
        </is>
      </c>
      <c r="C87" s="86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86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86" t="n">
        <v>1</v>
      </c>
      <c r="D113" s="25" t="n">
        <v>23</v>
      </c>
    </row>
    <row r="114">
      <c r="B114" s="46" t="inlineStr">
        <is>
          <t>LMICT</t>
        </is>
      </c>
      <c r="C114" s="86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86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86" t="n">
        <v>18</v>
      </c>
      <c r="D131" s="25" t="n">
        <v>260</v>
      </c>
    </row>
    <row r="132">
      <c r="B132" s="46" t="inlineStr">
        <is>
          <t>LMICT</t>
        </is>
      </c>
      <c r="C132" s="86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86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86" t="n">
        <v>1</v>
      </c>
      <c r="D155" s="25" t="n">
        <v>13</v>
      </c>
    </row>
    <row r="156">
      <c r="B156" s="46" t="inlineStr">
        <is>
          <t>LMICT</t>
        </is>
      </c>
      <c r="C156" s="86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86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86" t="n">
        <v>9</v>
      </c>
      <c r="D197" s="25" t="n">
        <v>79</v>
      </c>
    </row>
    <row r="198">
      <c r="B198" s="46" t="inlineStr">
        <is>
          <t>LMICT</t>
        </is>
      </c>
      <c r="C198" s="86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86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86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86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86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86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86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86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86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86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86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86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86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86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86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86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86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86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86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86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86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86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86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86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86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86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86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86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86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86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86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86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A1" s="70" t="n"/>
      <c r="B1" s="70" t="n"/>
      <c r="C1" s="83" t="inlineStr">
        <is>
          <t>Sandy Spring Bank</t>
        </is>
      </c>
      <c r="D1" s="70" t="n"/>
      <c r="E1" s="70" t="n"/>
      <c r="F1" s="70" t="n"/>
      <c r="G1" s="70" t="n"/>
      <c r="H1" s="83" t="inlineStr">
        <is>
          <t>Other Banks</t>
        </is>
      </c>
      <c r="I1" s="70" t="n"/>
      <c r="J1" s="70" t="n"/>
      <c r="K1" s="70" t="n"/>
      <c r="L1" s="70" t="n"/>
    </row>
    <row r="2">
      <c r="A2" s="84" t="inlineStr">
        <is>
          <t>Sandy Spring Assessment Area</t>
        </is>
      </c>
      <c r="B2" s="70" t="n"/>
      <c r="C2" s="83" t="inlineStr">
        <is>
          <t>2018</t>
        </is>
      </c>
      <c r="D2" s="83" t="inlineStr">
        <is>
          <t>2019</t>
        </is>
      </c>
      <c r="E2" s="83" t="inlineStr">
        <is>
          <t>2020</t>
        </is>
      </c>
      <c r="F2" s="83" t="inlineStr">
        <is>
          <t>2021</t>
        </is>
      </c>
      <c r="G2" s="83" t="inlineStr">
        <is>
          <t>2022</t>
        </is>
      </c>
      <c r="H2" s="83" t="inlineStr">
        <is>
          <t>2018</t>
        </is>
      </c>
      <c r="I2" s="83" t="inlineStr">
        <is>
          <t>2019</t>
        </is>
      </c>
      <c r="J2" s="83" t="inlineStr">
        <is>
          <t>2020</t>
        </is>
      </c>
      <c r="K2" s="83" t="inlineStr">
        <is>
          <t>2021</t>
        </is>
      </c>
      <c r="L2" s="83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76" t="inlineStr">
        <is>
          <t>@FirstBank AA</t>
        </is>
      </c>
      <c r="B1" s="75" t="n"/>
      <c r="C1" s="73" t="inlineStr">
        <is>
          <t>FirstBank</t>
        </is>
      </c>
      <c r="D1" s="73" t="inlineStr">
        <is>
          <t>Other</t>
        </is>
      </c>
      <c r="E1" s="87" t="inlineStr">
        <is>
          <t>Difference</t>
        </is>
      </c>
    </row>
    <row r="2" ht="15" customHeight="1" s="47">
      <c r="A2" s="70" t="n"/>
      <c r="B2" s="73" t="inlineStr">
        <is>
          <t>Branches</t>
        </is>
      </c>
      <c r="C2" s="79" t="n">
        <v>97</v>
      </c>
      <c r="D2" s="79" t="n">
        <v>1635</v>
      </c>
      <c r="E2" s="70" t="n"/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88" t="inlineStr">
        <is>
          <t>HHI Analysis - Counties with PNC BANK and FIRSTBANK Branches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</row>
    <row r="2">
      <c r="A2" s="70" t="n"/>
      <c r="B2" s="70" t="n"/>
      <c r="C2" s="70" t="n"/>
      <c r="D2" s="70" t="n"/>
      <c r="E2" s="70" t="n"/>
      <c r="F2" s="70" t="n"/>
      <c r="G2" s="70" t="n"/>
      <c r="H2" s="70" t="n"/>
      <c r="I2" s="70" t="n"/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2025-11-19T19:09:50Z</dcterms:modified>
</cp:coreProperties>
</file>