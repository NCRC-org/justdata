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935" yWindow="30" windowWidth="25830" windowHeight="15420" tabRatio="924" firstSheet="0" activeTab="0" autoFilterDateGrouping="1"/>
  </bookViews>
  <sheets>
    <sheet name="Notes" sheetId="1" state="visible" r:id="rId1"/>
    <sheet name="Assessment Areas" sheetId="2" state="visible" r:id="rId2"/>
    <sheet name="PNC BANK Mortgage Data (%)" sheetId="3" state="visible" r:id="rId3"/>
    <sheet name="FIRSTBANK Mortgage Data (%)" sheetId="4" state="visible" r:id="rId4"/>
    <sheet name="Mortgage Goals" sheetId="5" state="visible" r:id="rId5"/>
    <sheet name="Banks A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 (%)'!$A$1:$E$628</definedName>
    <definedName name="_xlnm._FilterDatabase" localSheetId="3" hidden="1">'FIRSTBANK Mortgage Data (%)'!$A$1:$E$628</definedName>
    <definedName name="_xlnm._FilterDatabase" localSheetId="7" hidden="1">'FIRSTBANK SB Lending'!$B$1:$F$281</definedName>
    <definedName name="_xlnm._FilterDatabase" localSheetId="8" hidden="1">'PNC BANK Branches'!$B$1:$E$1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(&quot;$&quot;* #,##0_);_(&quot;$&quot;* \(#,##0\);_(&quot;$&quot;* &quot;-&quot;??_);_(@_)"/>
    <numFmt numFmtId="166" formatCode="_([$$-409]* #,##0_);_([$$-409]* \(#,##0\);_([$$-409]* &quot;-&quot;??_);_(@_)"/>
    <numFmt numFmtId="167" formatCode="&quot;$&quot;#,##0_);[Red]\(&quot;$&quot;#,##0\)"/>
    <numFmt numFmtId="168" formatCode="&quot;$&quot;#,##0;\(&quot;$&quot;#,##0\)"/>
    <numFmt numFmtId="169" formatCode="\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family val="2"/>
      <color theme="1"/>
      <sz val="11"/>
      <scheme val="minor"/>
    </font>
    <font>
      <name val="Aptos Narrow"/>
      <b val="1"/>
      <sz val="12"/>
    </font>
    <font>
      <name val="Aptos Narrow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34EA0"/>
        <bgColor rgb="FF034EA0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7" fillId="0" borderId="0"/>
    <xf numFmtId="44" fontId="7" fillId="0" borderId="0"/>
  </cellStyleXfs>
  <cellXfs count="74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5" fontId="0" fillId="0" borderId="0" pivotButton="0" quotePrefix="0" xfId="1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  <xf numFmtId="167" fontId="1" fillId="0" borderId="0" pivotButton="0" quotePrefix="0" xfId="0"/>
    <xf numFmtId="0" fontId="1" fillId="0" borderId="0" applyAlignment="1" pivotButton="0" quotePrefix="0" xfId="0">
      <alignment wrapText="1"/>
    </xf>
    <xf numFmtId="10" fontId="1" fillId="0" borderId="0" pivotButton="0" quotePrefix="0" xfId="0"/>
    <xf numFmtId="1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1" xfId="0">
      <alignment horizontal="center"/>
    </xf>
    <xf numFmtId="0" fontId="1" fillId="3" borderId="0" applyAlignment="1" pivotButton="0" quotePrefix="1" xfId="0">
      <alignment horizontal="left"/>
    </xf>
    <xf numFmtId="0" fontId="1" fillId="0" borderId="0" applyAlignment="1" pivotButton="0" quotePrefix="1" xfId="0">
      <alignment wrapText="1"/>
    </xf>
    <xf numFmtId="0" fontId="2" fillId="0" borderId="0" pivotButton="0" quotePrefix="0" xfId="0"/>
    <xf numFmtId="0" fontId="1" fillId="0" borderId="0" pivotButton="0" quotePrefix="1" xfId="0"/>
    <xf numFmtId="9" fontId="0" fillId="0" borderId="0" pivotButton="0" quotePrefix="0" xfId="0"/>
    <xf numFmtId="168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applyAlignment="1" pivotButton="0" quotePrefix="0" xfId="0">
      <alignment wrapText="1"/>
    </xf>
    <xf numFmtId="167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9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pivotButton="0" quotePrefix="0" xfId="0"/>
    <xf numFmtId="0" fontId="1" fillId="0" borderId="0" applyAlignment="1" pivotButton="0" quotePrefix="1" xfId="0">
      <alignment horizontal="left" vertical="top"/>
    </xf>
    <xf numFmtId="0" fontId="1" fillId="3" borderId="0" applyAlignment="1" pivotButton="0" quotePrefix="1" xfId="0">
      <alignment horizontal="center"/>
    </xf>
    <xf numFmtId="0" fontId="0" fillId="3" borderId="0" pivotButton="0" quotePrefix="0" xfId="0"/>
    <xf numFmtId="0" fontId="8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0" borderId="0" pivotButton="0" quotePrefix="0" xfId="0"/>
    <xf numFmtId="0" fontId="6" fillId="0" borderId="0" applyAlignment="1" pivotButton="0" quotePrefix="0" xfId="0">
      <alignment wrapText="1"/>
    </xf>
    <xf numFmtId="167" fontId="1" fillId="0" borderId="0" pivotButton="0" quotePrefix="0" xfId="0"/>
    <xf numFmtId="167" fontId="1" fillId="0" borderId="0" applyAlignment="1" pivotButton="0" quotePrefix="0" xfId="0">
      <alignment wrapText="1"/>
    </xf>
    <xf numFmtId="168" fontId="1" fillId="0" borderId="0" applyAlignment="1" pivotButton="0" quotePrefix="0" xfId="0">
      <alignment vertical="center"/>
    </xf>
    <xf numFmtId="0" fontId="0" fillId="4" borderId="0" pivotButton="0" quotePrefix="0" xfId="0"/>
    <xf numFmtId="0" fontId="1" fillId="4" borderId="0" applyAlignment="1" pivotButton="0" quotePrefix="1" xfId="0">
      <alignment horizontal="center" vertical="center" wrapText="1"/>
    </xf>
    <xf numFmtId="0" fontId="1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1" fillId="4" borderId="0" applyAlignment="1" pivotButton="0" quotePrefix="1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wrapText="1"/>
    </xf>
    <xf numFmtId="0" fontId="1" fillId="4" borderId="0" pivotButton="0" quotePrefix="0" xfId="0"/>
    <xf numFmtId="0" fontId="2" fillId="4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4" borderId="0" pivotButton="0" quotePrefix="1" xfId="0"/>
    <xf numFmtId="0" fontId="1" fillId="4" borderId="0" applyAlignment="1" pivotButton="0" quotePrefix="1" xfId="0">
      <alignment horizontal="center"/>
    </xf>
    <xf numFmtId="0" fontId="1" fillId="4" borderId="0" applyAlignment="1" pivotButton="0" quotePrefix="1" xfId="0">
      <alignment horizontal="left"/>
    </xf>
    <xf numFmtId="0" fontId="1" fillId="4" borderId="0" applyAlignment="1" pivotButton="0" quotePrefix="1" xfId="0">
      <alignment wrapText="1"/>
    </xf>
  </cellXfs>
  <cellStyles count="2">
    <cellStyle name="Normal" xfId="0" builtinId="0"/>
    <cellStyle name="Currency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s="60" t="inlineStr">
        <is>
          <t>Data Sources and Timeframes:</t>
        </is>
      </c>
      <c r="B1" s="60" t="n"/>
      <c r="C1" s="60" t="n"/>
      <c r="D1" s="60" t="n"/>
      <c r="E1" s="60" t="n"/>
      <c r="F1" s="60" t="n"/>
      <c r="G1" s="60" t="n"/>
      <c r="H1" s="60" t="n"/>
      <c r="I1" s="60" t="n"/>
    </row>
    <row r="2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</row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D2" sqref="D2:E7"/>
    </sheetView>
  </sheetViews>
  <sheetFormatPr baseColWidth="8" defaultRowHeight="15"/>
  <cols>
    <col width="36.5703125" bestFit="1" customWidth="1" style="52" min="1" max="1"/>
    <col width="31.5703125" bestFit="1" customWidth="1" style="52" min="2" max="2"/>
    <col width="30.42578125" bestFit="1" customWidth="1" style="52" min="3" max="3"/>
    <col width="30" bestFit="1" customWidth="1" style="52" min="4" max="4"/>
    <col width="26.85546875" bestFit="1" customWidth="1" style="52" min="5" max="5"/>
  </cols>
  <sheetData>
    <row r="1" customFormat="1" s="41">
      <c r="A1" s="61" t="inlineStr">
        <is>
          <t>@PNC AA</t>
        </is>
      </c>
      <c r="B1" s="62" t="inlineStr">
        <is>
          <t>County State</t>
        </is>
      </c>
      <c r="C1" s="63" t="n"/>
      <c r="D1" s="64" t="inlineStr">
        <is>
          <t>@FirstBank AA</t>
        </is>
      </c>
      <c r="E1" s="62" t="inlineStr">
        <is>
          <t>County State</t>
        </is>
      </c>
      <c r="F1" s="63" t="n"/>
    </row>
    <row r="2">
      <c r="A2" s="65" t="inlineStr">
        <is>
          <t>CBSA Name</t>
        </is>
      </c>
      <c r="B2" s="65" t="inlineStr">
        <is>
          <t>County A</t>
        </is>
      </c>
      <c r="C2" s="60" t="n"/>
      <c r="D2" s="65" t="inlineStr">
        <is>
          <t>CBSA Name</t>
        </is>
      </c>
      <c r="E2" s="65" t="inlineStr">
        <is>
          <t>County A</t>
        </is>
      </c>
      <c r="F2" s="60" t="inlineStr">
        <is>
          <t>County A</t>
        </is>
      </c>
    </row>
    <row r="3">
      <c r="B3" s="41" t="inlineStr">
        <is>
          <t>County B</t>
        </is>
      </c>
      <c r="E3" s="41" t="inlineStr">
        <is>
          <t>County B</t>
        </is>
      </c>
      <c r="F3" t="inlineStr">
        <is>
          <t>County B</t>
        </is>
      </c>
    </row>
    <row r="4">
      <c r="B4" s="41" t="inlineStr">
        <is>
          <t>County C</t>
        </is>
      </c>
      <c r="E4" s="41" t="inlineStr">
        <is>
          <t>County C</t>
        </is>
      </c>
      <c r="F4" t="inlineStr">
        <is>
          <t>County C</t>
        </is>
      </c>
    </row>
    <row r="5">
      <c r="B5" s="41" t="inlineStr">
        <is>
          <t>County D</t>
        </is>
      </c>
      <c r="E5" s="41" t="inlineStr">
        <is>
          <t>County D</t>
        </is>
      </c>
      <c r="F5" t="inlineStr">
        <is>
          <t>County D</t>
        </is>
      </c>
    </row>
    <row r="6">
      <c r="B6" s="41" t="inlineStr">
        <is>
          <t>County E</t>
        </is>
      </c>
      <c r="E6" s="41" t="inlineStr">
        <is>
          <t>County E</t>
        </is>
      </c>
      <c r="F6" t="inlineStr">
        <is>
          <t>County E</t>
        </is>
      </c>
    </row>
    <row r="7">
      <c r="B7" s="41" t="inlineStr">
        <is>
          <t>County F</t>
        </is>
      </c>
      <c r="E7" s="41" t="inlineStr">
        <is>
          <t>County F</t>
        </is>
      </c>
      <c r="F7" t="inlineStr">
        <is>
          <t>County F</t>
        </is>
      </c>
    </row>
    <row r="22" ht="21.75" customHeight="1" s="52"/>
    <row r="24" ht="21.75" customHeight="1" s="52"/>
    <row r="153" ht="21.75" customHeight="1" s="52"/>
    <row r="246" ht="14.45" customHeight="1" s="52"/>
    <row r="256" ht="21.75" customHeight="1" s="52"/>
    <row r="406" ht="21.75" customHeight="1" s="52"/>
  </sheetData>
  <mergeCells count="2">
    <mergeCell ref="A2:A7"/>
    <mergeCell ref="D2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D23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66" t="n"/>
      <c r="B1" s="66" t="n"/>
      <c r="C1" s="67" t="inlineStr">
        <is>
          <t>Bank B</t>
        </is>
      </c>
      <c r="D1" s="67" t="inlineStr">
        <is>
          <t>Peers</t>
        </is>
      </c>
      <c r="E1" s="60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10973</v>
      </c>
      <c r="D2" s="13" t="n">
        <v>333313</v>
      </c>
    </row>
    <row r="3">
      <c r="B3" s="42" t="inlineStr">
        <is>
          <t xml:space="preserve">LMICT% </t>
        </is>
      </c>
      <c r="C3" s="16" t="n">
        <v>21.44354324250433</v>
      </c>
      <c r="D3" s="16" t="n">
        <v>25.41095006795415</v>
      </c>
      <c r="E3" s="17">
        <f>C3-D3</f>
        <v/>
      </c>
    </row>
    <row r="4">
      <c r="B4" s="42" t="inlineStr">
        <is>
          <t>LMIB%</t>
        </is>
      </c>
      <c r="C4" s="16" t="n">
        <v>33.40016403900484</v>
      </c>
      <c r="D4" s="16" t="n">
        <v>32.64319123466532</v>
      </c>
      <c r="E4" s="17">
        <f>C4-D4</f>
        <v/>
      </c>
    </row>
    <row r="5">
      <c r="B5" s="42" t="inlineStr">
        <is>
          <t>LMIB$</t>
        </is>
      </c>
      <c r="C5" s="57" t="n">
        <v>600465000</v>
      </c>
      <c r="D5" s="57" t="n">
        <v>20133010000</v>
      </c>
      <c r="E5" s="17" t="n"/>
    </row>
    <row r="6">
      <c r="B6" s="42" t="inlineStr">
        <is>
          <t>MMCT%</t>
        </is>
      </c>
      <c r="C6" s="16" t="n">
        <v>19.47507518454388</v>
      </c>
      <c r="D6" s="16" t="n">
        <v>32.07675668215761</v>
      </c>
      <c r="E6" s="17">
        <f>C6-D6</f>
        <v/>
      </c>
    </row>
    <row r="7">
      <c r="B7" s="42" t="inlineStr">
        <is>
          <t>MINB%</t>
        </is>
      </c>
      <c r="C7" s="16" t="n">
        <v>21.68960174974939</v>
      </c>
      <c r="D7" s="16" t="n">
        <v>35.77928253623471</v>
      </c>
      <c r="E7" s="17">
        <f>C7-D7</f>
        <v/>
      </c>
    </row>
    <row r="8">
      <c r="B8" s="42" t="inlineStr">
        <is>
          <t>Asian%</t>
        </is>
      </c>
      <c r="C8" s="16" t="n">
        <v>6.078556456757496</v>
      </c>
      <c r="D8" s="16" t="n">
        <v>7.423652842823413</v>
      </c>
      <c r="E8" s="17">
        <f>C8-D8</f>
        <v/>
      </c>
    </row>
    <row r="9">
      <c r="B9" s="42" t="inlineStr">
        <is>
          <t>Black%</t>
        </is>
      </c>
      <c r="C9" s="16" t="n">
        <v>7.965005012302925</v>
      </c>
      <c r="D9" s="16" t="n">
        <v>12.78978017659077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0.1822655609222638</v>
      </c>
      <c r="D10" s="16" t="n">
        <v>0.3582218515329435</v>
      </c>
      <c r="E10" s="17">
        <f>C10-D10</f>
        <v/>
      </c>
    </row>
    <row r="11">
      <c r="B11" s="42" t="inlineStr">
        <is>
          <t>HoPI%</t>
        </is>
      </c>
      <c r="C11" s="16" t="n">
        <v>0.04556639023056594</v>
      </c>
      <c r="D11" s="16" t="n">
        <v>0.1020062223795652</v>
      </c>
      <c r="E11" s="17">
        <f>C11-D11</f>
        <v/>
      </c>
    </row>
    <row r="12">
      <c r="B12" s="42" t="inlineStr">
        <is>
          <t>Hispanic%</t>
        </is>
      </c>
      <c r="C12" s="16" t="n">
        <v>7.418208329536134</v>
      </c>
      <c r="D12" s="16" t="n">
        <v>15.10562144290802</v>
      </c>
      <c r="E12" s="17">
        <f>C12-D12</f>
        <v/>
      </c>
    </row>
    <row r="13">
      <c r="A13" s="43" t="inlineStr">
        <is>
          <t>Chicago-Naperville-Elgin, IL-IN-WI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1635</v>
      </c>
      <c r="D14" s="16" t="n"/>
      <c r="E14" s="17">
        <f>C14-D14</f>
        <v/>
      </c>
    </row>
    <row r="15">
      <c r="B15" s="42" t="inlineStr">
        <is>
          <t>LMIB%</t>
        </is>
      </c>
      <c r="C15" s="16" t="n">
        <v>21.52905198776758</v>
      </c>
      <c r="D15" s="16" t="n"/>
      <c r="E15" s="17">
        <f>C15-D15</f>
        <v/>
      </c>
    </row>
    <row r="16">
      <c r="B16" s="42" t="inlineStr">
        <is>
          <t>LMIB$</t>
        </is>
      </c>
      <c r="C16" s="57" t="n">
        <v>34.67889908256881</v>
      </c>
      <c r="D16" s="57" t="n"/>
      <c r="E16" s="17">
        <f>C16-D16</f>
        <v/>
      </c>
    </row>
    <row r="17">
      <c r="B17" s="42" t="inlineStr">
        <is>
          <t>MMCT%</t>
        </is>
      </c>
      <c r="C17" s="16" t="n">
        <v>105705000</v>
      </c>
      <c r="D17" s="16" t="n"/>
      <c r="E17" s="17">
        <f>C17-D17</f>
        <v/>
      </c>
    </row>
    <row r="18">
      <c r="B18" s="42" t="inlineStr">
        <is>
          <t>MINB%</t>
        </is>
      </c>
      <c r="C18" s="16" t="n">
        <v>29.23547400611621</v>
      </c>
      <c r="D18" s="16" t="n"/>
      <c r="E18" s="17">
        <f>C18-D18</f>
        <v/>
      </c>
    </row>
    <row r="19">
      <c r="B19" s="42" t="inlineStr">
        <is>
          <t>Asian%</t>
        </is>
      </c>
      <c r="C19" s="16" t="n">
        <v>28.56269113149847</v>
      </c>
      <c r="D19" s="16" t="n"/>
      <c r="E19" s="17">
        <f>C19-D19</f>
        <v/>
      </c>
    </row>
    <row r="20">
      <c r="B20" s="42" t="inlineStr">
        <is>
          <t>Black%</t>
        </is>
      </c>
      <c r="C20" s="16" t="n">
        <v>5.565749235474006</v>
      </c>
      <c r="D20" s="16" t="n"/>
      <c r="E20" s="17">
        <f>C20-D20</f>
        <v/>
      </c>
    </row>
    <row r="21" ht="21.75" customHeight="1" s="52">
      <c r="B21" s="42" t="inlineStr">
        <is>
          <t>Native American%</t>
        </is>
      </c>
      <c r="C21" s="16" t="n">
        <v>4.587155963302752</v>
      </c>
      <c r="D21" s="16" t="n"/>
      <c r="E21" s="17">
        <f>C21-D21</f>
        <v/>
      </c>
    </row>
    <row r="22">
      <c r="B22" s="42" t="inlineStr">
        <is>
          <t>HoPI%</t>
        </is>
      </c>
      <c r="C22" s="16" t="n">
        <v>0.1834862385321101</v>
      </c>
      <c r="D22" s="16" t="n"/>
      <c r="E22" s="17">
        <f>C22-D22</f>
        <v/>
      </c>
    </row>
    <row r="23">
      <c r="B23" s="42" t="inlineStr">
        <is>
          <t>Hispanic%</t>
        </is>
      </c>
      <c r="C23" s="16" t="n">
        <v>0</v>
      </c>
      <c r="D23" s="16" t="n"/>
      <c r="E23" s="17">
        <f>C23-D23</f>
        <v/>
      </c>
    </row>
    <row r="24">
      <c r="A24" s="42" t="inlineStr">
        <is>
          <t>Loans</t>
        </is>
      </c>
      <c r="B24" s="42" t="n"/>
      <c r="C24" s="55" t="n">
        <v>18.2262996941896</v>
      </c>
      <c r="D24" s="13" t="n"/>
      <c r="E24">
        <f>C24-D24</f>
        <v/>
      </c>
    </row>
    <row r="25">
      <c r="A25" t="inlineStr">
        <is>
          <t>Cincinnati, OH-KY-IN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592</v>
      </c>
      <c r="D26" s="16" t="n"/>
      <c r="E26" s="17">
        <f>D26-E26</f>
        <v/>
      </c>
    </row>
    <row r="27">
      <c r="B27" s="42" t="n"/>
      <c r="C27" s="57" t="n">
        <v>29.72972972972973</v>
      </c>
      <c r="D27" s="57" t="n"/>
      <c r="E27" s="17">
        <f>C27-D27</f>
        <v/>
      </c>
    </row>
    <row r="28">
      <c r="B28" s="42" t="n"/>
      <c r="C28" s="16" t="n">
        <v>41.55405405405405</v>
      </c>
      <c r="D28" s="16" t="n"/>
      <c r="E28" s="17">
        <f>C28-D28</f>
        <v/>
      </c>
    </row>
    <row r="29">
      <c r="B29" s="42" t="n"/>
      <c r="C29" s="16" t="n">
        <v>36820000</v>
      </c>
      <c r="D29" s="16" t="n"/>
      <c r="E29" s="17">
        <f>D29-E29</f>
        <v/>
      </c>
    </row>
    <row r="30">
      <c r="B30" s="42" t="n"/>
      <c r="C30" s="16" t="n">
        <v>15.87837837837838</v>
      </c>
      <c r="D30" s="16" t="n"/>
      <c r="E30" s="17">
        <f>C30-D30</f>
        <v/>
      </c>
    </row>
    <row r="31">
      <c r="B31" s="42" t="n"/>
      <c r="C31" s="16" t="n">
        <v>16.89189189189189</v>
      </c>
      <c r="D31" s="16" t="n"/>
      <c r="E31" s="17">
        <f>C31-D31</f>
        <v/>
      </c>
    </row>
    <row r="32" ht="21.75" customHeight="1" s="52">
      <c r="B32" s="42" t="n"/>
      <c r="C32" s="16" t="n">
        <v>3.547297297297297</v>
      </c>
      <c r="D32" s="16" t="n"/>
      <c r="E32" s="17">
        <f>C32-D32</f>
        <v/>
      </c>
    </row>
    <row r="33">
      <c r="B33" s="42" t="n"/>
      <c r="C33" s="16" t="n">
        <v>9.797297297297296</v>
      </c>
      <c r="D33" s="16" t="n"/>
      <c r="E33" s="17">
        <f>C33-D33</f>
        <v/>
      </c>
    </row>
    <row r="34">
      <c r="B34" s="42" t="n"/>
      <c r="C34" s="16" t="n">
        <v>0.3378378378378378</v>
      </c>
      <c r="D34" s="16" t="n"/>
      <c r="E34" s="17">
        <f>C34-D34</f>
        <v/>
      </c>
    </row>
    <row r="35">
      <c r="A35" s="42" t="inlineStr">
        <is>
          <t>Loans</t>
        </is>
      </c>
      <c r="B35" s="42" t="n"/>
      <c r="C35" s="55" t="n">
        <v>0.1689189189189189</v>
      </c>
      <c r="D35" s="13" t="n"/>
      <c r="E35">
        <f>C35-D35</f>
        <v/>
      </c>
    </row>
    <row r="36">
      <c r="B36" s="42" t="n"/>
      <c r="C36" s="16" t="n">
        <v>3.040540540540541</v>
      </c>
      <c r="D36" s="16" t="n"/>
      <c r="E36" s="17">
        <f>C36-D36</f>
        <v/>
      </c>
    </row>
    <row r="37">
      <c r="A37" t="inlineStr">
        <is>
          <t>Cleveland-Elyria, OH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1153</v>
      </c>
      <c r="D38" s="57" t="n"/>
      <c r="E38" s="17" t="n"/>
    </row>
    <row r="39">
      <c r="B39" s="42" t="n"/>
      <c r="C39" s="16" t="n">
        <v>30.52905464006939</v>
      </c>
      <c r="D39" s="16" t="n"/>
      <c r="E39" s="17">
        <f>C39-D39</f>
        <v/>
      </c>
    </row>
    <row r="40">
      <c r="B40" s="42" t="n"/>
      <c r="C40" s="16" t="n">
        <v>45.09973980919341</v>
      </c>
      <c r="D40" s="16" t="n"/>
      <c r="E40" s="17">
        <f>C40-D40</f>
        <v/>
      </c>
    </row>
    <row r="41">
      <c r="B41" s="42" t="n"/>
      <c r="C41" s="16" t="n">
        <v>67880000</v>
      </c>
      <c r="D41" s="16" t="n"/>
      <c r="E41" s="17">
        <f>D41-E41</f>
        <v/>
      </c>
    </row>
    <row r="42">
      <c r="B42" s="42" t="n"/>
      <c r="C42" s="16" t="n">
        <v>25.32523850823938</v>
      </c>
      <c r="D42" s="16" t="n"/>
      <c r="E42" s="17">
        <f>C42-D42</f>
        <v/>
      </c>
    </row>
    <row r="43" ht="21.75" customHeight="1" s="52">
      <c r="B43" s="42" t="n"/>
      <c r="C43" s="16" t="n">
        <v>25.32523850823938</v>
      </c>
      <c r="D43" s="16" t="n"/>
      <c r="E43" s="17">
        <f>C43-D43</f>
        <v/>
      </c>
    </row>
    <row r="44">
      <c r="B44" s="42" t="n"/>
      <c r="C44" s="16" t="n">
        <v>4.683434518647007</v>
      </c>
      <c r="D44" s="16" t="n"/>
      <c r="E44" s="17">
        <f>C44-D44</f>
        <v/>
      </c>
    </row>
    <row r="45">
      <c r="B45" s="42" t="n"/>
      <c r="C45" s="16" t="n">
        <v>14.31049436253253</v>
      </c>
      <c r="D45" s="16" t="n"/>
      <c r="E45" s="17">
        <f>C45-D45</f>
        <v/>
      </c>
    </row>
    <row r="46">
      <c r="A46" s="42" t="inlineStr">
        <is>
          <t>Loans</t>
        </is>
      </c>
      <c r="B46" s="42" t="n"/>
      <c r="C46" s="13" t="n">
        <v>0.08673026886383348</v>
      </c>
      <c r="D46" s="13" t="n"/>
      <c r="E46">
        <f>C46-D46</f>
        <v/>
      </c>
    </row>
    <row r="47">
      <c r="B47" s="42" t="n"/>
      <c r="C47" s="16" t="n">
        <v>0.08673026886383348</v>
      </c>
      <c r="D47" s="16" t="n"/>
      <c r="E47" s="17">
        <f>C47-D47</f>
        <v/>
      </c>
    </row>
    <row r="48">
      <c r="B48" s="42" t="n"/>
      <c r="C48" s="16" t="n">
        <v>6.157849089332177</v>
      </c>
      <c r="D48" s="16" t="n"/>
      <c r="E48" s="17">
        <f>C48-D48</f>
        <v/>
      </c>
    </row>
    <row r="49">
      <c r="A49" t="inlineStr">
        <is>
          <t>Columbus, OH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837</v>
      </c>
      <c r="D50" s="16" t="n"/>
      <c r="E50" s="17">
        <f>D50-E50</f>
        <v/>
      </c>
    </row>
    <row r="51">
      <c r="B51" s="42" t="n"/>
      <c r="C51" s="16" t="n">
        <v>28.55436081242533</v>
      </c>
      <c r="D51" s="16" t="n"/>
      <c r="E51" s="17">
        <f>C51-D51</f>
        <v/>
      </c>
    </row>
    <row r="52">
      <c r="B52" s="42" t="n"/>
      <c r="C52" s="16" t="n">
        <v>43.96654719235364</v>
      </c>
      <c r="D52" s="16" t="n"/>
      <c r="E52" s="17">
        <f>C52-D52</f>
        <v/>
      </c>
    </row>
    <row r="53">
      <c r="B53" s="42" t="n"/>
      <c r="C53" s="16" t="n">
        <v>67820000</v>
      </c>
      <c r="D53" s="16" t="n"/>
      <c r="E53" s="17">
        <f>D53-E53</f>
        <v/>
      </c>
    </row>
    <row r="54" ht="21.75" customHeight="1" s="52">
      <c r="B54" s="42" t="n"/>
      <c r="C54" s="16" t="n">
        <v>19.11589008363202</v>
      </c>
      <c r="D54" s="16" t="n"/>
      <c r="E54" s="17">
        <f>C54-D54</f>
        <v/>
      </c>
    </row>
    <row r="55">
      <c r="B55" s="42" t="n"/>
      <c r="C55" s="16" t="n">
        <v>22.81959378733572</v>
      </c>
      <c r="D55" s="16" t="n"/>
      <c r="E55" s="17">
        <f>C55-D55</f>
        <v/>
      </c>
    </row>
    <row r="56">
      <c r="B56" s="42" t="n"/>
      <c r="C56" s="16" t="n">
        <v>8.124253285543608</v>
      </c>
      <c r="D56" s="16" t="n"/>
      <c r="E56" s="17">
        <f>C56-D56</f>
        <v/>
      </c>
    </row>
    <row r="57">
      <c r="A57" s="42" t="inlineStr">
        <is>
          <t>Loans</t>
        </is>
      </c>
      <c r="B57" s="42" t="n"/>
      <c r="C57" s="55" t="n">
        <v>10.03584229390681</v>
      </c>
      <c r="D57" s="13" t="n"/>
      <c r="E57">
        <f>C57-D57</f>
        <v/>
      </c>
    </row>
    <row r="58">
      <c r="B58" s="42" t="n"/>
      <c r="C58" s="16" t="n">
        <v>0.1194743130227001</v>
      </c>
      <c r="D58" s="16" t="n"/>
      <c r="E58" s="17">
        <f>C58-D58</f>
        <v/>
      </c>
    </row>
    <row r="59">
      <c r="B59" s="42" t="n"/>
      <c r="C59" s="16" t="n">
        <v>0.1194743130227001</v>
      </c>
      <c r="D59" s="16" t="n"/>
      <c r="E59" s="17">
        <f>C59-D59</f>
        <v/>
      </c>
    </row>
    <row r="60">
      <c r="B60" s="42" t="n"/>
      <c r="C60" s="57" t="n">
        <v>4.420549581839905</v>
      </c>
      <c r="D60" s="57" t="n"/>
      <c r="E60" s="17">
        <f>C60-D60</f>
        <v/>
      </c>
    </row>
    <row r="61">
      <c r="A61" t="inlineStr">
        <is>
          <t>Dallas-Fort Worth-Arlington, TX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321</v>
      </c>
      <c r="D62" s="16" t="n"/>
      <c r="E62" s="17">
        <f>D62-E62</f>
        <v/>
      </c>
    </row>
    <row r="63">
      <c r="B63" s="42" t="n"/>
      <c r="C63" s="16" t="n">
        <v>19.00311526479751</v>
      </c>
      <c r="D63" s="16" t="n"/>
      <c r="E63" s="17">
        <f>C63-D63</f>
        <v/>
      </c>
    </row>
    <row r="64">
      <c r="B64" s="42" t="n"/>
      <c r="C64" s="16" t="n">
        <v>16.51090342679128</v>
      </c>
      <c r="D64" s="16" t="n"/>
      <c r="E64" s="17">
        <f>C64-D64</f>
        <v/>
      </c>
    </row>
    <row r="65" ht="21.75" customHeight="1" s="52">
      <c r="B65" s="42" t="n"/>
      <c r="C65" s="16" t="n">
        <v>19935000</v>
      </c>
      <c r="D65" s="16" t="n"/>
      <c r="E65" s="17">
        <f>D65-E65</f>
        <v/>
      </c>
    </row>
    <row r="66">
      <c r="B66" s="42" t="n"/>
      <c r="C66" s="16" t="n">
        <v>47.0404984423676</v>
      </c>
      <c r="D66" s="16" t="n"/>
      <c r="E66" s="17">
        <f>C66-D66</f>
        <v/>
      </c>
    </row>
    <row r="67">
      <c r="B67" s="42" t="n"/>
      <c r="C67" s="16" t="n">
        <v>30.8411214953271</v>
      </c>
      <c r="D67" s="16" t="n"/>
      <c r="E67" s="17">
        <f>C67-D67</f>
        <v/>
      </c>
    </row>
    <row r="68">
      <c r="A68" s="42" t="n"/>
      <c r="B68" s="42" t="n"/>
      <c r="C68" s="55" t="n">
        <v>11.21495327102804</v>
      </c>
      <c r="D68" s="13" t="n"/>
      <c r="E68">
        <f>C68-D68</f>
        <v/>
      </c>
    </row>
    <row r="69">
      <c r="A69" s="42" t="n"/>
      <c r="B69" s="42" t="n"/>
      <c r="C69" s="16" t="n">
        <v>6.542056074766355</v>
      </c>
      <c r="D69" s="16" t="n"/>
      <c r="E69" s="17">
        <f>C69-D69</f>
        <v/>
      </c>
    </row>
    <row r="70">
      <c r="A70" s="42" t="n"/>
      <c r="B70" s="42" t="n"/>
      <c r="C70" s="16" t="n">
        <v>0.6230529595015576</v>
      </c>
      <c r="D70" s="16" t="n"/>
      <c r="E70" s="17">
        <f>C70-D70</f>
        <v/>
      </c>
    </row>
    <row r="71">
      <c r="A71" s="42" t="n"/>
      <c r="B71" s="42" t="n"/>
      <c r="C71" s="57" t="n">
        <v>0</v>
      </c>
      <c r="D71" s="57" t="n"/>
      <c r="E71" s="17">
        <f>C71-D71</f>
        <v/>
      </c>
    </row>
    <row r="72">
      <c r="A72" s="42" t="n"/>
      <c r="B72" s="42" t="n"/>
      <c r="C72" s="16" t="n">
        <v>12.46105919003115</v>
      </c>
      <c r="D72" s="16" t="n"/>
      <c r="E72" s="17">
        <f>C72-D72</f>
        <v/>
      </c>
    </row>
    <row r="73">
      <c r="A73" s="42" t="inlineStr">
        <is>
          <t>Detroit-Warren-Dearborn, MI</t>
        </is>
      </c>
      <c r="B73" s="42" t="n"/>
      <c r="C73" s="16" t="n"/>
      <c r="D73" s="16" t="n"/>
      <c r="E73" s="17">
        <f>D73-E73</f>
        <v/>
      </c>
    </row>
    <row r="74">
      <c r="A74" s="42" t="n"/>
      <c r="B74" s="42" t="inlineStr">
        <is>
          <t>Loans</t>
        </is>
      </c>
      <c r="C74" s="16" t="n">
        <v>410</v>
      </c>
      <c r="D74" s="16" t="n"/>
      <c r="E74" s="17">
        <f>D74-E74</f>
        <v/>
      </c>
    </row>
    <row r="75">
      <c r="A75" s="42" t="n"/>
      <c r="B75" s="42" t="n"/>
      <c r="C75" s="16" t="n">
        <v>22.4390243902439</v>
      </c>
      <c r="D75" s="16" t="n"/>
      <c r="E75" s="17">
        <f>C75-D75</f>
        <v/>
      </c>
    </row>
    <row r="76" ht="21.75" customHeight="1" s="52">
      <c r="A76" s="42" t="n"/>
      <c r="B76" s="42" t="n"/>
      <c r="C76" s="16" t="n">
        <v>35.12195121951219</v>
      </c>
      <c r="D76" s="16" t="n"/>
      <c r="E76" s="17">
        <f>C76-D76</f>
        <v/>
      </c>
    </row>
    <row r="77">
      <c r="A77" s="42" t="n"/>
      <c r="B77" s="42" t="n"/>
      <c r="C77" s="16" t="n">
        <v>16420000</v>
      </c>
      <c r="D77" s="16" t="n"/>
      <c r="E77" s="17">
        <f>D77-E77</f>
        <v/>
      </c>
    </row>
    <row r="78">
      <c r="A78" s="42" t="n"/>
      <c r="B78" s="42" t="n"/>
      <c r="C78" s="16" t="n">
        <v>25.36585365853659</v>
      </c>
      <c r="D78" s="16" t="n"/>
      <c r="E78" s="17">
        <f>C78-D78</f>
        <v/>
      </c>
    </row>
    <row r="79">
      <c r="A79" s="42" t="n"/>
      <c r="B79" s="42" t="n"/>
      <c r="C79" s="55" t="n">
        <v>24.87804878048781</v>
      </c>
      <c r="D79" s="30" t="n"/>
      <c r="E79">
        <f>C79-D79</f>
        <v/>
      </c>
    </row>
    <row r="80">
      <c r="B80" s="42" t="n"/>
      <c r="C80" s="16" t="n">
        <v>4.878048780487805</v>
      </c>
      <c r="D80" s="31" t="n"/>
      <c r="E80" s="17">
        <f>C80-D80</f>
        <v/>
      </c>
    </row>
    <row r="81">
      <c r="B81" s="42" t="n"/>
      <c r="C81" s="16" t="n">
        <v>13.90243902439025</v>
      </c>
      <c r="D81" s="31" t="n"/>
      <c r="E81" s="17">
        <f>C81-D81</f>
        <v/>
      </c>
    </row>
    <row r="82">
      <c r="B82" s="42" t="n"/>
      <c r="C82" s="57" t="n">
        <v>0.7317073170731708</v>
      </c>
      <c r="D82" s="58" t="n"/>
      <c r="E82" s="17">
        <f>C82-D82</f>
        <v/>
      </c>
    </row>
    <row r="83">
      <c r="B83" s="42" t="n"/>
      <c r="C83" s="16" t="n">
        <v>0.2439024390243902</v>
      </c>
      <c r="D83" s="31" t="n"/>
      <c r="E83" s="17">
        <f>C83-D83</f>
        <v/>
      </c>
    </row>
    <row r="84">
      <c r="B84" s="42" t="n"/>
      <c r="C84" s="16" t="n">
        <v>5.121951219512195</v>
      </c>
      <c r="D84" s="31" t="n"/>
      <c r="E84" s="17">
        <f>C84-D84</f>
        <v/>
      </c>
    </row>
    <row r="85">
      <c r="A85" t="inlineStr">
        <is>
          <t>Houston-The Woodlands-Sugar Land, TX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442</v>
      </c>
      <c r="D86" s="31" t="n"/>
      <c r="E86" s="17">
        <f>D86-E86</f>
        <v/>
      </c>
    </row>
    <row r="87">
      <c r="B87" s="42" t="n"/>
      <c r="C87" s="16" t="n">
        <v>14.70588235294118</v>
      </c>
      <c r="D87" s="31" t="n"/>
      <c r="E87" s="17">
        <f>C87-D87</f>
        <v/>
      </c>
    </row>
    <row r="88">
      <c r="B88" s="42" t="n"/>
      <c r="C88" s="16" t="n">
        <v>7.918552036199094</v>
      </c>
      <c r="D88" s="31" t="n"/>
      <c r="E88" s="17">
        <f>C88-D88</f>
        <v/>
      </c>
    </row>
    <row r="89">
      <c r="B89" s="42" t="n"/>
      <c r="C89" s="16" t="n">
        <v>6245000</v>
      </c>
      <c r="D89" s="31" t="n"/>
      <c r="E89" s="17">
        <f>D89-E89</f>
        <v/>
      </c>
    </row>
    <row r="90">
      <c r="A90" s="42" t="n"/>
      <c r="B90" s="42" t="n"/>
      <c r="C90" s="55" t="n">
        <v>42.76018099547511</v>
      </c>
      <c r="D90" s="30" t="n"/>
      <c r="E90">
        <f>C90-D90</f>
        <v/>
      </c>
    </row>
    <row r="91">
      <c r="B91" s="42" t="n"/>
      <c r="C91" s="16" t="n">
        <v>34.38914027149321</v>
      </c>
      <c r="D91" s="31" t="n"/>
      <c r="E91" s="17">
        <f>C91-D91</f>
        <v/>
      </c>
    </row>
    <row r="92">
      <c r="B92" s="42" t="n"/>
      <c r="C92" s="16" t="n">
        <v>9.049773755656108</v>
      </c>
      <c r="D92" s="31" t="n"/>
      <c r="E92" s="17">
        <f>C92-D92</f>
        <v/>
      </c>
    </row>
    <row r="93">
      <c r="B93" s="42" t="n"/>
      <c r="C93" s="57" t="n">
        <v>5.203619909502263</v>
      </c>
      <c r="D93" s="58" t="n"/>
      <c r="E93" s="17">
        <f>C93-D93</f>
        <v/>
      </c>
    </row>
    <row r="94">
      <c r="B94" s="42" t="n"/>
      <c r="C94" s="16" t="n">
        <v>0</v>
      </c>
      <c r="D94" s="31" t="n"/>
      <c r="E94" s="17">
        <f>C94-D94</f>
        <v/>
      </c>
    </row>
    <row r="95">
      <c r="B95" s="42" t="n"/>
      <c r="C95" s="16" t="n">
        <v>0</v>
      </c>
      <c r="D95" s="31" t="n"/>
      <c r="E95" s="17">
        <f>C95-D95</f>
        <v/>
      </c>
    </row>
    <row r="96">
      <c r="B96" s="42" t="n"/>
      <c r="C96" s="16" t="n">
        <v>20.13574660633484</v>
      </c>
      <c r="D96" s="31" t="n"/>
      <c r="E96" s="17">
        <f>C96-D96</f>
        <v/>
      </c>
    </row>
    <row r="97">
      <c r="A97" t="inlineStr">
        <is>
          <t>Louisville/Jefferson County, KY-IN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902</v>
      </c>
      <c r="D98" s="31" t="n"/>
      <c r="E98" s="17">
        <f>D98-E98</f>
        <v/>
      </c>
    </row>
    <row r="99">
      <c r="B99" s="42" t="n"/>
      <c r="C99" s="16" t="n">
        <v>16.85144124168514</v>
      </c>
      <c r="D99" s="31" t="n"/>
      <c r="E99" s="17">
        <f>C99-D99</f>
        <v/>
      </c>
    </row>
    <row r="100">
      <c r="B100" s="42" t="n"/>
      <c r="C100" s="16" t="n">
        <v>41.7960088691796</v>
      </c>
      <c r="D100" s="31" t="n"/>
      <c r="E100" s="17">
        <f>C100-D100</f>
        <v/>
      </c>
    </row>
    <row r="101">
      <c r="A101" s="42" t="n"/>
      <c r="B101" s="42" t="n"/>
      <c r="C101" s="55" t="n">
        <v>58855000</v>
      </c>
      <c r="D101" s="30" t="n"/>
    </row>
    <row r="102">
      <c r="B102" s="42" t="n"/>
      <c r="C102" s="16" t="n">
        <v>8.093126385809313</v>
      </c>
      <c r="D102" s="31" t="n"/>
      <c r="E102" s="17">
        <f>C102-D102</f>
        <v/>
      </c>
    </row>
    <row r="103">
      <c r="B103" s="42" t="n"/>
      <c r="C103" s="16" t="n">
        <v>21.84035476718404</v>
      </c>
      <c r="D103" s="31" t="n"/>
      <c r="E103" s="17">
        <f>C103-D103</f>
        <v/>
      </c>
    </row>
    <row r="104">
      <c r="B104" s="42" t="n"/>
      <c r="C104" s="57" t="n">
        <v>7.87139689578714</v>
      </c>
      <c r="D104" s="58" t="n"/>
      <c r="E104" s="17">
        <f>C104-D104</f>
        <v/>
      </c>
    </row>
    <row r="105">
      <c r="B105" s="42" t="n"/>
      <c r="C105" s="16" t="n">
        <v>11.08647450110865</v>
      </c>
      <c r="D105" s="31" t="n"/>
      <c r="E105" s="17">
        <f>C105-D105</f>
        <v/>
      </c>
    </row>
    <row r="106">
      <c r="B106" s="42" t="n"/>
      <c r="C106" s="16" t="n">
        <v>0</v>
      </c>
      <c r="D106" s="31" t="n"/>
      <c r="E106" s="17">
        <f>C106-D106</f>
        <v/>
      </c>
    </row>
    <row r="107">
      <c r="B107" s="42" t="n"/>
      <c r="C107" s="16" t="n">
        <v>0</v>
      </c>
      <c r="D107" s="31" t="n"/>
      <c r="E107" s="17">
        <f>C107-D107</f>
        <v/>
      </c>
    </row>
    <row r="108">
      <c r="B108" s="42" t="n"/>
      <c r="C108" s="16" t="n">
        <v>2.882483370288248</v>
      </c>
      <c r="D108" s="31" t="n"/>
      <c r="E108" s="17">
        <f>C108-D108</f>
        <v/>
      </c>
    </row>
    <row r="109">
      <c r="A109" t="inlineStr">
        <is>
          <t>Miami-Fort Lauderdale-Pompano Beach, FL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478</v>
      </c>
      <c r="D110" s="31" t="n"/>
      <c r="E110" s="17">
        <f>D110-E110</f>
        <v/>
      </c>
    </row>
    <row r="111">
      <c r="B111" s="42" t="n"/>
      <c r="C111" s="16" t="n">
        <v>21.54811715481172</v>
      </c>
      <c r="D111" s="31" t="n"/>
      <c r="E111" s="17">
        <f>C111-D111</f>
        <v/>
      </c>
    </row>
    <row r="112">
      <c r="A112" s="42" t="n"/>
      <c r="B112" s="42" t="n"/>
      <c r="C112" s="55" t="n">
        <v>18.82845188284519</v>
      </c>
      <c r="D112" s="30" t="n"/>
      <c r="E112">
        <f>C112-D112</f>
        <v/>
      </c>
    </row>
    <row r="113">
      <c r="B113" s="42" t="n"/>
      <c r="C113" s="16" t="n">
        <v>21940000</v>
      </c>
      <c r="D113" s="31" t="n"/>
      <c r="E113" s="17">
        <f>D113-E113</f>
        <v/>
      </c>
    </row>
    <row r="114">
      <c r="B114" s="42" t="n"/>
      <c r="C114" s="16" t="n">
        <v>23.22175732217573</v>
      </c>
      <c r="D114" s="31" t="n"/>
      <c r="E114" s="17">
        <f>C114-D114</f>
        <v/>
      </c>
    </row>
    <row r="115">
      <c r="B115" s="42" t="n"/>
      <c r="C115" s="57" t="n">
        <v>25.10460251046025</v>
      </c>
      <c r="D115" s="58" t="n"/>
      <c r="E115" s="17">
        <f>C115-D115</f>
        <v/>
      </c>
    </row>
    <row r="116">
      <c r="B116" s="42" t="n"/>
      <c r="C116" s="16" t="n">
        <v>2.510460251046025</v>
      </c>
      <c r="D116" s="31" t="n"/>
      <c r="E116" s="17">
        <f>C116-D116</f>
        <v/>
      </c>
    </row>
    <row r="117">
      <c r="B117" s="42" t="n"/>
      <c r="C117" s="16" t="n">
        <v>5.857740585774058</v>
      </c>
      <c r="D117" s="31" t="n"/>
      <c r="E117" s="17">
        <f>C117-D117</f>
        <v/>
      </c>
    </row>
    <row r="118">
      <c r="B118" s="42" t="n"/>
      <c r="C118" s="16" t="n">
        <v>0</v>
      </c>
      <c r="D118" s="31" t="n"/>
      <c r="E118" s="17">
        <f>C118-D118</f>
        <v/>
      </c>
    </row>
    <row r="119">
      <c r="B119" s="42" t="n"/>
      <c r="C119" s="16" t="n">
        <v>0</v>
      </c>
      <c r="D119" s="31" t="n"/>
      <c r="E119" s="17">
        <f>C119-D119</f>
        <v/>
      </c>
    </row>
    <row r="120">
      <c r="B120" s="42" t="n"/>
      <c r="C120" s="16" t="n">
        <v>16.73640167364017</v>
      </c>
      <c r="D120" s="31" t="n"/>
      <c r="E120" s="17">
        <f>C120-D120</f>
        <v/>
      </c>
    </row>
    <row r="121">
      <c r="A121" t="inlineStr">
        <is>
          <t>Philadelphia-Camden-Wilmington, PA-NJ-DE-MD</t>
        </is>
      </c>
      <c r="B121" s="42" t="n"/>
      <c r="C121" s="16" t="n"/>
      <c r="D121" s="31" t="n"/>
      <c r="E121" s="17">
        <f>D121-E121</f>
        <v/>
      </c>
    </row>
    <row r="122">
      <c r="B122" s="42" t="inlineStr">
        <is>
          <t>Loans</t>
        </is>
      </c>
      <c r="C122" s="16" t="n">
        <v>801</v>
      </c>
      <c r="D122" s="31" t="n"/>
      <c r="E122" s="17">
        <f>D122-E122</f>
        <v/>
      </c>
    </row>
    <row r="123">
      <c r="A123" s="42" t="n"/>
      <c r="B123" s="42" t="n"/>
      <c r="C123" s="55" t="n">
        <v>25.0936329588015</v>
      </c>
      <c r="D123" s="30" t="n"/>
      <c r="E123">
        <f>C123-D123</f>
        <v/>
      </c>
    </row>
    <row r="124">
      <c r="B124" s="42" t="n"/>
      <c r="C124" s="16" t="n">
        <v>27.84019975031211</v>
      </c>
      <c r="D124" s="31" t="n"/>
      <c r="E124" s="17">
        <f>C124-D124</f>
        <v/>
      </c>
    </row>
    <row r="125">
      <c r="B125" s="42" t="n"/>
      <c r="C125" s="16" t="n">
        <v>40935000</v>
      </c>
      <c r="D125" s="31" t="n"/>
      <c r="E125" s="17">
        <f>D125-E125</f>
        <v/>
      </c>
    </row>
    <row r="126">
      <c r="B126" s="42" t="n"/>
      <c r="C126" s="57" t="n">
        <v>34.95630461922597</v>
      </c>
      <c r="D126" s="58" t="n"/>
      <c r="E126" s="17">
        <f>C126-D126</f>
        <v/>
      </c>
    </row>
    <row r="127">
      <c r="B127" s="42" t="n"/>
      <c r="C127" s="16" t="n">
        <v>28.46441947565543</v>
      </c>
      <c r="D127" s="31" t="n"/>
      <c r="E127" s="17">
        <f>C127-D127</f>
        <v/>
      </c>
    </row>
    <row r="128">
      <c r="B128" s="42" t="n"/>
      <c r="C128" s="16" t="n">
        <v>8.364544319600499</v>
      </c>
      <c r="D128" s="31" t="n"/>
      <c r="E128" s="17">
        <f>C128-D128</f>
        <v/>
      </c>
    </row>
    <row r="129">
      <c r="B129" s="42" t="n"/>
      <c r="C129" s="16" t="n">
        <v>14.60674157303371</v>
      </c>
      <c r="D129" s="31" t="n"/>
      <c r="E129" s="17">
        <f>C129-D129</f>
        <v/>
      </c>
    </row>
    <row r="130">
      <c r="B130" s="42" t="n"/>
      <c r="C130" s="16" t="n">
        <v>0</v>
      </c>
      <c r="D130" s="31" t="n"/>
      <c r="E130" s="17">
        <f>C130-D130</f>
        <v/>
      </c>
    </row>
    <row r="131">
      <c r="B131" s="42" t="n"/>
      <c r="C131" s="16" t="n">
        <v>0</v>
      </c>
      <c r="D131" s="31" t="n"/>
      <c r="E131" s="17">
        <f>C131-D131</f>
        <v/>
      </c>
    </row>
    <row r="132">
      <c r="B132" s="42" t="n"/>
      <c r="C132" s="16" t="n">
        <v>5.493133583021224</v>
      </c>
      <c r="D132" s="31" t="n"/>
      <c r="E132" s="17">
        <f>C132-D132</f>
        <v/>
      </c>
    </row>
    <row r="133">
      <c r="A133" t="inlineStr">
        <is>
          <t>Phoenix-Mesa-Chandler, AZ</t>
        </is>
      </c>
      <c r="B133" s="42" t="n"/>
      <c r="C133" s="16" t="n"/>
      <c r="D133" s="31" t="n"/>
      <c r="E133" s="17">
        <f>D133-E133</f>
        <v/>
      </c>
    </row>
    <row r="134">
      <c r="A134" s="42" t="n"/>
      <c r="B134" s="42" t="inlineStr">
        <is>
          <t>Loans</t>
        </is>
      </c>
      <c r="C134" s="55" t="n">
        <v>446</v>
      </c>
      <c r="D134" s="30" t="n"/>
    </row>
    <row r="135">
      <c r="B135" s="42" t="n"/>
      <c r="C135" s="16" t="n">
        <v>10.08968609865471</v>
      </c>
      <c r="D135" s="31" t="n"/>
      <c r="E135" s="17">
        <f>C135-D135</f>
        <v/>
      </c>
    </row>
    <row r="136">
      <c r="B136" s="42" t="n"/>
      <c r="C136" s="16" t="n">
        <v>7.847533632286996</v>
      </c>
      <c r="D136" s="31" t="n"/>
      <c r="E136" s="17">
        <f>C136-D136</f>
        <v/>
      </c>
    </row>
    <row r="137">
      <c r="B137" s="42" t="n"/>
      <c r="C137" s="57" t="n">
        <v>11185000</v>
      </c>
      <c r="D137" s="58" t="n"/>
      <c r="E137" s="17">
        <f>D137-E137</f>
        <v/>
      </c>
    </row>
    <row r="138">
      <c r="B138" s="42" t="n"/>
      <c r="C138" s="16" t="n">
        <v>10.31390134529148</v>
      </c>
      <c r="D138" s="31" t="n"/>
      <c r="E138" s="17">
        <f>C138-D138</f>
        <v/>
      </c>
    </row>
    <row r="139">
      <c r="B139" s="42" t="n"/>
      <c r="C139" s="16" t="n">
        <v>20.40358744394619</v>
      </c>
      <c r="D139" s="31" t="n"/>
      <c r="E139" s="17">
        <f>C139-D139</f>
        <v/>
      </c>
    </row>
    <row r="140">
      <c r="B140" s="42" t="n"/>
      <c r="C140" s="16" t="n">
        <v>8.968609865470851</v>
      </c>
      <c r="D140" s="31" t="n"/>
      <c r="E140" s="17">
        <f>C140-D140</f>
        <v/>
      </c>
    </row>
    <row r="141">
      <c r="B141" s="42" t="n"/>
      <c r="C141" s="16" t="n">
        <v>2.017937219730942</v>
      </c>
      <c r="D141" s="31" t="n"/>
      <c r="E141" s="17">
        <f>C141-D141</f>
        <v/>
      </c>
    </row>
    <row r="142">
      <c r="B142" s="42" t="n"/>
      <c r="C142" s="16" t="n">
        <v>0.4484304932735426</v>
      </c>
      <c r="D142" s="31" t="n"/>
      <c r="E142" s="17">
        <f>C142-D142</f>
        <v/>
      </c>
    </row>
    <row r="143">
      <c r="B143" s="42" t="n"/>
      <c r="C143" s="16" t="n">
        <v>0</v>
      </c>
      <c r="D143" s="31" t="n"/>
      <c r="E143" s="17">
        <f>C143-D143</f>
        <v/>
      </c>
    </row>
    <row r="144">
      <c r="B144" s="42" t="n"/>
      <c r="C144" s="16" t="n">
        <v>8.968609865470851</v>
      </c>
      <c r="D144" s="31" t="n"/>
      <c r="E144" s="17">
        <f>C144-D144</f>
        <v/>
      </c>
    </row>
    <row r="145">
      <c r="A145" s="42" t="inlineStr">
        <is>
          <t>Pittsburgh, PA</t>
        </is>
      </c>
      <c r="B145" s="42" t="n"/>
      <c r="C145" s="13" t="n"/>
      <c r="D145" s="30" t="n"/>
    </row>
    <row r="146">
      <c r="B146" s="42" t="inlineStr">
        <is>
          <t>Loans</t>
        </is>
      </c>
      <c r="C146" s="16" t="n">
        <v>2956</v>
      </c>
      <c r="D146" s="31" t="n"/>
      <c r="E146" s="17">
        <f>D146-E146</f>
        <v/>
      </c>
    </row>
    <row r="147">
      <c r="B147" s="42" t="n"/>
      <c r="C147" s="16" t="n">
        <v>17.42219215155616</v>
      </c>
      <c r="D147" s="31" t="n"/>
      <c r="E147" s="17">
        <f>C147-D147</f>
        <v/>
      </c>
    </row>
    <row r="148">
      <c r="B148" s="42" t="n"/>
      <c r="C148" s="57" t="n">
        <v>34.06630581867388</v>
      </c>
      <c r="D148" s="58" t="n"/>
      <c r="E148" s="17">
        <f>C148-D148</f>
        <v/>
      </c>
    </row>
    <row r="149">
      <c r="B149" s="42" t="n"/>
      <c r="C149" s="16" t="n">
        <v>146725000</v>
      </c>
      <c r="D149" s="31" t="n"/>
      <c r="E149" s="17">
        <f>D149-E149</f>
        <v/>
      </c>
    </row>
    <row r="150">
      <c r="B150" s="42" t="n"/>
      <c r="C150" s="16" t="n">
        <v>5.378890392422192</v>
      </c>
      <c r="D150" s="31" t="n"/>
      <c r="E150" s="17">
        <f>C150-D150</f>
        <v/>
      </c>
    </row>
    <row r="151">
      <c r="B151" s="42" t="n"/>
      <c r="C151" s="16" t="n">
        <v>11.53585926928282</v>
      </c>
      <c r="D151" s="31" t="n"/>
      <c r="E151" s="17">
        <f>C151-D151</f>
        <v/>
      </c>
    </row>
    <row r="152">
      <c r="B152" s="42" t="n"/>
      <c r="C152" s="16" t="n">
        <v>4.972936400541272</v>
      </c>
      <c r="D152" s="31" t="n"/>
      <c r="E152" s="17">
        <f>C152-D152</f>
        <v/>
      </c>
    </row>
    <row r="153">
      <c r="B153" s="42" t="n"/>
      <c r="C153" s="16" t="n">
        <v>4.634641407307171</v>
      </c>
      <c r="D153" s="31" t="n"/>
      <c r="E153" s="17">
        <f>C153-D153</f>
        <v/>
      </c>
    </row>
    <row r="154">
      <c r="B154" s="42" t="n"/>
      <c r="C154" s="16" t="n">
        <v>0.2029769959404601</v>
      </c>
      <c r="D154" s="31" t="n"/>
      <c r="E154" s="17">
        <f>C154-D154</f>
        <v/>
      </c>
    </row>
    <row r="155">
      <c r="B155" s="42" t="n"/>
      <c r="C155" s="16" t="n">
        <v>0.03382949932341001</v>
      </c>
      <c r="D155" s="31" t="n"/>
      <c r="E155" s="17">
        <f>C155-D155</f>
        <v/>
      </c>
    </row>
    <row r="156">
      <c r="A156" s="42" t="n"/>
      <c r="B156" s="42" t="n"/>
      <c r="C156" s="55" t="n">
        <v>1.691474966170501</v>
      </c>
      <c r="D156" s="30" t="n"/>
      <c r="E156">
        <f>C156-D156</f>
        <v/>
      </c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58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58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58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58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58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58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58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58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58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58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58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58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58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58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58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58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58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58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58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58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58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58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58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58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58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58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58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58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58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58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58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58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58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58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58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58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58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58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58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58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58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58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58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45">
    <mergeCell ref="A585:A595"/>
    <mergeCell ref="A277:A287"/>
    <mergeCell ref="A486:A496"/>
    <mergeCell ref="A222:A232"/>
    <mergeCell ref="A255:A265"/>
    <mergeCell ref="A233:A243"/>
    <mergeCell ref="A178:A188"/>
    <mergeCell ref="A398:A408"/>
    <mergeCell ref="A376:A386"/>
    <mergeCell ref="A354:A364"/>
    <mergeCell ref="A453:A463"/>
    <mergeCell ref="A497:A507"/>
    <mergeCell ref="A519:A529"/>
    <mergeCell ref="A189:A199"/>
    <mergeCell ref="A409:A419"/>
    <mergeCell ref="A607:A617"/>
    <mergeCell ref="A596:A606"/>
    <mergeCell ref="A574:A584"/>
    <mergeCell ref="A508:A518"/>
    <mergeCell ref="A2:A12"/>
    <mergeCell ref="A244:A254"/>
    <mergeCell ref="A464:A474"/>
    <mergeCell ref="A365:A375"/>
    <mergeCell ref="A200:A210"/>
    <mergeCell ref="A134:A144"/>
    <mergeCell ref="A156:A166"/>
    <mergeCell ref="A321:A331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618:A628"/>
    <mergeCell ref="A310:A320"/>
    <mergeCell ref="A530:A540"/>
    <mergeCell ref="A288:A298"/>
    <mergeCell ref="A266:A276"/>
    <mergeCell ref="A442:A452"/>
    <mergeCell ref="A343:A353"/>
    <mergeCell ref="A552:A5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C2" sqref="C2:D23"/>
    </sheetView>
  </sheetViews>
  <sheetFormatPr baseColWidth="8" defaultColWidth="9.140625" defaultRowHeight="15"/>
  <cols>
    <col width="35" bestFit="1" customWidth="1" style="33" min="1" max="1"/>
    <col width="35" customWidth="1" style="33" min="2" max="2"/>
    <col width="11.5703125" customWidth="1" style="52" min="3" max="3"/>
    <col width="16.28515625" customWidth="1" style="52" min="4" max="4"/>
    <col width="20.7109375" customWidth="1" style="52" min="5" max="5"/>
  </cols>
  <sheetData>
    <row r="1">
      <c r="A1" s="66" t="n"/>
      <c r="B1" s="66" t="n"/>
      <c r="C1" s="67" t="inlineStr">
        <is>
          <t>Bank B</t>
        </is>
      </c>
      <c r="D1" s="67" t="inlineStr">
        <is>
          <t>Peers</t>
        </is>
      </c>
      <c r="E1" s="60" t="inlineStr">
        <is>
          <t>Difference</t>
        </is>
      </c>
    </row>
    <row r="2">
      <c r="A2" s="41" t="inlineStr">
        <is>
          <t>Grand Total</t>
        </is>
      </c>
      <c r="B2" s="42" t="inlineStr">
        <is>
          <t>Loans</t>
        </is>
      </c>
      <c r="C2" s="13" t="n">
        <v>6276</v>
      </c>
      <c r="D2" s="13" t="n">
        <v>172783</v>
      </c>
    </row>
    <row r="3">
      <c r="B3" s="42" t="inlineStr">
        <is>
          <t xml:space="preserve">LMICT% </t>
        </is>
      </c>
      <c r="C3" s="16" t="n">
        <v>18.13256851497769</v>
      </c>
      <c r="D3" s="16" t="n">
        <v>21.8800460693471</v>
      </c>
      <c r="E3" s="17">
        <f>C3-D3</f>
        <v/>
      </c>
    </row>
    <row r="4">
      <c r="B4" s="42" t="inlineStr">
        <is>
          <t>LMIB%</t>
        </is>
      </c>
      <c r="C4" s="16" t="n">
        <v>23.96430847673678</v>
      </c>
      <c r="D4" s="16" t="n">
        <v>26.99686890492699</v>
      </c>
      <c r="E4" s="17">
        <f>C4-D4</f>
        <v/>
      </c>
    </row>
    <row r="5">
      <c r="B5" s="42" t="inlineStr">
        <is>
          <t>LMIB$</t>
        </is>
      </c>
      <c r="C5" s="57" t="n">
        <v>443310000</v>
      </c>
      <c r="D5" s="57" t="n">
        <v>13869070000</v>
      </c>
      <c r="E5" s="17" t="n"/>
    </row>
    <row r="6">
      <c r="B6" s="42" t="inlineStr">
        <is>
          <t>MMCT%</t>
        </is>
      </c>
      <c r="C6" s="16" t="n">
        <v>12.95411089866157</v>
      </c>
      <c r="D6" s="16" t="n">
        <v>17.89007020366587</v>
      </c>
      <c r="E6" s="17">
        <f>C6-D6</f>
        <v/>
      </c>
    </row>
    <row r="7">
      <c r="B7" s="42" t="inlineStr">
        <is>
          <t>MINB%</t>
        </is>
      </c>
      <c r="C7" s="16" t="n">
        <v>29.90758444869343</v>
      </c>
      <c r="D7" s="16" t="n">
        <v>25.21428612768618</v>
      </c>
      <c r="E7" s="17">
        <f>C7-D7</f>
        <v/>
      </c>
    </row>
    <row r="8">
      <c r="B8" s="42" t="inlineStr">
        <is>
          <t>Asian%</t>
        </is>
      </c>
      <c r="C8" s="16" t="n">
        <v>7.966857871255577</v>
      </c>
      <c r="D8" s="16" t="n">
        <v>5.649282626184289</v>
      </c>
      <c r="E8" s="17">
        <f>C8-D8</f>
        <v/>
      </c>
    </row>
    <row r="9">
      <c r="B9" s="42" t="inlineStr">
        <is>
          <t>Black%</t>
        </is>
      </c>
      <c r="C9" s="16" t="n">
        <v>4.461440407903123</v>
      </c>
      <c r="D9" s="16" t="n">
        <v>3.19533750426836</v>
      </c>
      <c r="E9" s="17">
        <f>C9-D9</f>
        <v/>
      </c>
    </row>
    <row r="10" ht="21.75" customHeight="1" s="52">
      <c r="B10" s="42" t="inlineStr">
        <is>
          <t>Native American%</t>
        </is>
      </c>
      <c r="C10" s="16" t="n">
        <v>0.3186743148502231</v>
      </c>
      <c r="D10" s="16" t="n">
        <v>0.5961234612201433</v>
      </c>
      <c r="E10" s="17">
        <f>C10-D10</f>
        <v/>
      </c>
    </row>
    <row r="11">
      <c r="B11" s="42" t="inlineStr">
        <is>
          <t>HoPI%</t>
        </is>
      </c>
      <c r="C11" s="16" t="n">
        <v>0.1115360101975781</v>
      </c>
      <c r="D11" s="16" t="n">
        <v>0.1898334905633078</v>
      </c>
      <c r="E11" s="17">
        <f>C11-D11</f>
        <v/>
      </c>
    </row>
    <row r="12">
      <c r="B12" s="42" t="inlineStr">
        <is>
          <t>Hispanic%</t>
        </is>
      </c>
      <c r="C12" s="16" t="n">
        <v>17.04907584448694</v>
      </c>
      <c r="D12" s="16" t="n">
        <v>15.58370904545007</v>
      </c>
      <c r="E12" s="17">
        <f>C12-D12</f>
        <v/>
      </c>
    </row>
    <row r="13">
      <c r="A13" s="43" t="inlineStr">
        <is>
          <t>Boulder, CO</t>
        </is>
      </c>
      <c r="B13" s="42" t="inlineStr">
        <is>
          <t>Loans</t>
        </is>
      </c>
      <c r="C13" s="55" t="n"/>
      <c r="D13" s="13" t="n"/>
    </row>
    <row r="14">
      <c r="B14" s="42" t="inlineStr">
        <is>
          <t>Loans</t>
        </is>
      </c>
      <c r="C14" s="16" t="n">
        <v>420</v>
      </c>
      <c r="D14" s="16" t="n"/>
      <c r="E14" s="17">
        <f>C14-D14</f>
        <v/>
      </c>
    </row>
    <row r="15">
      <c r="B15" s="42" t="inlineStr">
        <is>
          <t>LMIB%</t>
        </is>
      </c>
      <c r="C15" s="16" t="n">
        <v>19.52380952380953</v>
      </c>
      <c r="D15" s="16" t="n"/>
      <c r="E15" s="17">
        <f>C15-D15</f>
        <v/>
      </c>
    </row>
    <row r="16">
      <c r="B16" s="42" t="inlineStr">
        <is>
          <t>LMIB$</t>
        </is>
      </c>
      <c r="C16" s="57" t="n">
        <v>30.47619047619048</v>
      </c>
      <c r="D16" s="57" t="n"/>
      <c r="E16" s="17">
        <f>C16-D16</f>
        <v/>
      </c>
    </row>
    <row r="17">
      <c r="B17" s="42" t="inlineStr">
        <is>
          <t>MMCT%</t>
        </is>
      </c>
      <c r="C17" s="16" t="n">
        <v>45020000</v>
      </c>
      <c r="D17" s="16" t="n"/>
      <c r="E17" s="17">
        <f>C17-D17</f>
        <v/>
      </c>
    </row>
    <row r="18">
      <c r="B18" s="42" t="inlineStr">
        <is>
          <t>MINB%</t>
        </is>
      </c>
      <c r="C18" s="16" t="n">
        <v>1.19047619047619</v>
      </c>
      <c r="D18" s="16" t="n"/>
      <c r="E18" s="17">
        <f>C18-D18</f>
        <v/>
      </c>
    </row>
    <row r="19">
      <c r="B19" s="42" t="inlineStr">
        <is>
          <t>Asian%</t>
        </is>
      </c>
      <c r="C19" s="16" t="n">
        <v>18.09523809523809</v>
      </c>
      <c r="D19" s="16" t="n"/>
      <c r="E19" s="17">
        <f>C19-D19</f>
        <v/>
      </c>
    </row>
    <row r="20">
      <c r="B20" s="42" t="inlineStr">
        <is>
          <t>Black%</t>
        </is>
      </c>
      <c r="C20" s="16" t="n">
        <v>6.190476190476191</v>
      </c>
      <c r="D20" s="16" t="n"/>
      <c r="E20" s="17">
        <f>C20-D20</f>
        <v/>
      </c>
    </row>
    <row r="21" ht="21.75" customHeight="1" s="52">
      <c r="B21" s="42" t="inlineStr">
        <is>
          <t>Native American%</t>
        </is>
      </c>
      <c r="C21" s="16" t="n">
        <v>0.9523809523809524</v>
      </c>
      <c r="D21" s="16" t="n"/>
      <c r="E21" s="17">
        <f>C21-D21</f>
        <v/>
      </c>
    </row>
    <row r="22">
      <c r="B22" s="42" t="inlineStr">
        <is>
          <t>HoPI%</t>
        </is>
      </c>
      <c r="C22" s="16" t="n">
        <v>0.2380952380952381</v>
      </c>
      <c r="D22" s="16" t="n"/>
      <c r="E22" s="17">
        <f>C22-D22</f>
        <v/>
      </c>
    </row>
    <row r="23">
      <c r="B23" s="42" t="inlineStr">
        <is>
          <t>Hispanic%</t>
        </is>
      </c>
      <c r="C23" s="16" t="n">
        <v>0.2380952380952381</v>
      </c>
      <c r="D23" s="16" t="n"/>
      <c r="E23" s="17">
        <f>C23-D23</f>
        <v/>
      </c>
    </row>
    <row r="24">
      <c r="A24" s="42" t="inlineStr">
        <is>
          <t>Loans</t>
        </is>
      </c>
      <c r="B24" s="42" t="n"/>
      <c r="C24" s="55" t="n">
        <v>10.47619047619048</v>
      </c>
      <c r="D24" s="13" t="n"/>
      <c r="E24">
        <f>C24-D24</f>
        <v/>
      </c>
    </row>
    <row r="25">
      <c r="A25" t="inlineStr">
        <is>
          <t>Breckenridge, CO</t>
        </is>
      </c>
      <c r="B25" s="42" t="n"/>
      <c r="C25" s="16" t="n"/>
      <c r="D25" s="16" t="n"/>
      <c r="E25" s="17">
        <f>D25-E25</f>
        <v/>
      </c>
    </row>
    <row r="26">
      <c r="B26" s="42" t="inlineStr">
        <is>
          <t>Loans</t>
        </is>
      </c>
      <c r="C26" s="16" t="n">
        <v>193</v>
      </c>
      <c r="D26" s="16" t="n"/>
      <c r="E26" s="17">
        <f>D26-E26</f>
        <v/>
      </c>
    </row>
    <row r="27">
      <c r="B27" s="42" t="n"/>
      <c r="C27" s="57" t="n">
        <v>0</v>
      </c>
      <c r="D27" s="57" t="n"/>
      <c r="E27" s="17">
        <f>C27-D27</f>
        <v/>
      </c>
    </row>
    <row r="28">
      <c r="B28" s="42" t="n"/>
      <c r="C28" s="16" t="n">
        <v>10.88082901554404</v>
      </c>
      <c r="D28" s="16" t="n"/>
      <c r="E28" s="17">
        <f>C28-D28</f>
        <v/>
      </c>
    </row>
    <row r="29">
      <c r="B29" s="42" t="n"/>
      <c r="C29" s="16" t="n">
        <v>9405000</v>
      </c>
      <c r="D29" s="16" t="n"/>
      <c r="E29" s="17">
        <f>D29-E29</f>
        <v/>
      </c>
    </row>
    <row r="30">
      <c r="B30" s="42" t="n"/>
      <c r="C30" s="16" t="n">
        <v>0</v>
      </c>
      <c r="D30" s="16" t="n"/>
      <c r="E30" s="17">
        <f>C30-D30</f>
        <v/>
      </c>
    </row>
    <row r="31">
      <c r="B31" s="42" t="n"/>
      <c r="C31" s="16" t="n">
        <v>10.36269430051813</v>
      </c>
      <c r="D31" s="16" t="n"/>
      <c r="E31" s="17">
        <f>C31-D31</f>
        <v/>
      </c>
    </row>
    <row r="32" ht="21.75" customHeight="1" s="52">
      <c r="B32" s="42" t="n"/>
      <c r="C32" s="16" t="n">
        <v>2.072538860103627</v>
      </c>
      <c r="D32" s="16" t="n"/>
      <c r="E32" s="17">
        <f>C32-D32</f>
        <v/>
      </c>
    </row>
    <row r="33">
      <c r="B33" s="42" t="n"/>
      <c r="C33" s="16" t="n">
        <v>0.5181347150259068</v>
      </c>
      <c r="D33" s="16" t="n"/>
      <c r="E33" s="17">
        <f>C33-D33</f>
        <v/>
      </c>
    </row>
    <row r="34">
      <c r="B34" s="42" t="n"/>
      <c r="C34" s="16" t="n">
        <v>1.036269430051814</v>
      </c>
      <c r="D34" s="16" t="n"/>
      <c r="E34" s="17">
        <f>C34-D34</f>
        <v/>
      </c>
    </row>
    <row r="35">
      <c r="A35" s="42" t="inlineStr">
        <is>
          <t>Loans</t>
        </is>
      </c>
      <c r="B35" s="42" t="n"/>
      <c r="C35" s="55" t="n">
        <v>0</v>
      </c>
      <c r="D35" s="13" t="n"/>
      <c r="E35">
        <f>C35-D35</f>
        <v/>
      </c>
    </row>
    <row r="36">
      <c r="B36" s="42" t="n"/>
      <c r="C36" s="16" t="n">
        <v>6.735751295336788</v>
      </c>
      <c r="D36" s="16" t="n"/>
      <c r="E36" s="17">
        <f>C36-D36</f>
        <v/>
      </c>
    </row>
    <row r="37">
      <c r="A37" t="inlineStr">
        <is>
          <t>Colorado Springs, CO</t>
        </is>
      </c>
      <c r="B37" s="42" t="n"/>
      <c r="C37" s="16" t="n"/>
      <c r="D37" s="16" t="n"/>
      <c r="E37" s="17">
        <f>D37-E37</f>
        <v/>
      </c>
    </row>
    <row r="38">
      <c r="B38" s="42" t="inlineStr">
        <is>
          <t>Loans</t>
        </is>
      </c>
      <c r="C38" s="57" t="n">
        <v>339</v>
      </c>
      <c r="D38" s="57" t="n"/>
      <c r="E38" s="17" t="n"/>
    </row>
    <row r="39">
      <c r="B39" s="42" t="n"/>
      <c r="C39" s="16" t="n">
        <v>18.58407079646018</v>
      </c>
      <c r="D39" s="16" t="n"/>
      <c r="E39" s="17">
        <f>C39-D39</f>
        <v/>
      </c>
    </row>
    <row r="40">
      <c r="B40" s="42" t="n"/>
      <c r="C40" s="16" t="n">
        <v>23.30383480825959</v>
      </c>
      <c r="D40" s="16" t="n"/>
      <c r="E40" s="17">
        <f>C40-D40</f>
        <v/>
      </c>
    </row>
    <row r="41">
      <c r="B41" s="42" t="n"/>
      <c r="C41" s="16" t="n">
        <v>21925000</v>
      </c>
      <c r="D41" s="16" t="n"/>
      <c r="E41" s="17">
        <f>D41-E41</f>
        <v/>
      </c>
    </row>
    <row r="42">
      <c r="B42" s="42" t="n"/>
      <c r="C42" s="16" t="n">
        <v>7.374631268436578</v>
      </c>
      <c r="D42" s="16" t="n"/>
      <c r="E42" s="17">
        <f>C42-D42</f>
        <v/>
      </c>
    </row>
    <row r="43" ht="21.75" customHeight="1" s="52">
      <c r="B43" s="42" t="n"/>
      <c r="C43" s="16" t="n">
        <v>33.03834808259587</v>
      </c>
      <c r="D43" s="16" t="n"/>
      <c r="E43" s="17">
        <f>C43-D43</f>
        <v/>
      </c>
    </row>
    <row r="44">
      <c r="B44" s="42" t="n"/>
      <c r="C44" s="16" t="n">
        <v>7.964601769911504</v>
      </c>
      <c r="D44" s="16" t="n"/>
      <c r="E44" s="17">
        <f>C44-D44</f>
        <v/>
      </c>
    </row>
    <row r="45">
      <c r="B45" s="42" t="n"/>
      <c r="C45" s="16" t="n">
        <v>5.309734513274337</v>
      </c>
      <c r="D45" s="16" t="n"/>
      <c r="E45" s="17">
        <f>C45-D45</f>
        <v/>
      </c>
    </row>
    <row r="46">
      <c r="A46" s="42" t="inlineStr">
        <is>
          <t>Loans</t>
        </is>
      </c>
      <c r="B46" s="42" t="n"/>
      <c r="C46" s="13" t="n">
        <v>0</v>
      </c>
      <c r="D46" s="13" t="n"/>
      <c r="E46">
        <f>C46-D46</f>
        <v/>
      </c>
    </row>
    <row r="47">
      <c r="B47" s="42" t="n"/>
      <c r="C47" s="16" t="n">
        <v>0</v>
      </c>
      <c r="D47" s="16" t="n"/>
      <c r="E47" s="17">
        <f>C47-D47</f>
        <v/>
      </c>
    </row>
    <row r="48">
      <c r="B48" s="42" t="n"/>
      <c r="C48" s="16" t="n">
        <v>19.76401179941003</v>
      </c>
      <c r="D48" s="16" t="n"/>
      <c r="E48" s="17">
        <f>C48-D48</f>
        <v/>
      </c>
    </row>
    <row r="49">
      <c r="A49" t="inlineStr">
        <is>
          <t>Denver-Aurora-Lakewood, CO</t>
        </is>
      </c>
      <c r="B49" s="42" t="n"/>
      <c r="C49" s="57" t="n"/>
      <c r="D49" s="57" t="n"/>
      <c r="E49" s="17" t="n"/>
    </row>
    <row r="50">
      <c r="B50" s="42" t="inlineStr">
        <is>
          <t>Loans</t>
        </is>
      </c>
      <c r="C50" s="16" t="n">
        <v>3485</v>
      </c>
      <c r="D50" s="16" t="n"/>
      <c r="E50" s="17">
        <f>D50-E50</f>
        <v/>
      </c>
    </row>
    <row r="51">
      <c r="B51" s="42" t="n"/>
      <c r="C51" s="16" t="n">
        <v>22.72596843615495</v>
      </c>
      <c r="D51" s="16" t="n"/>
      <c r="E51" s="17">
        <f>C51-D51</f>
        <v/>
      </c>
    </row>
    <row r="52">
      <c r="B52" s="42" t="n"/>
      <c r="C52" s="16" t="n">
        <v>26.37015781922525</v>
      </c>
      <c r="D52" s="16" t="n"/>
      <c r="E52" s="17">
        <f>C52-D52</f>
        <v/>
      </c>
    </row>
    <row r="53">
      <c r="B53" s="42" t="n"/>
      <c r="C53" s="16" t="n">
        <v>266325000</v>
      </c>
      <c r="D53" s="16" t="n"/>
      <c r="E53" s="17">
        <f>D53-E53</f>
        <v/>
      </c>
    </row>
    <row r="54" ht="21.75" customHeight="1" s="52">
      <c r="B54" s="42" t="n"/>
      <c r="C54" s="16" t="n">
        <v>17.33142037302726</v>
      </c>
      <c r="D54" s="16" t="n"/>
      <c r="E54" s="17">
        <f>C54-D54</f>
        <v/>
      </c>
    </row>
    <row r="55">
      <c r="B55" s="42" t="n"/>
      <c r="C55" s="16" t="n">
        <v>35.7819225251076</v>
      </c>
      <c r="D55" s="16" t="n"/>
      <c r="E55" s="17">
        <f>C55-D55</f>
        <v/>
      </c>
    </row>
    <row r="56">
      <c r="B56" s="42" t="n"/>
      <c r="C56" s="16" t="n">
        <v>10.10043041606887</v>
      </c>
      <c r="D56" s="16" t="n"/>
      <c r="E56" s="17">
        <f>C56-D56</f>
        <v/>
      </c>
    </row>
    <row r="57">
      <c r="A57" s="42" t="inlineStr">
        <is>
          <t>Loans</t>
        </is>
      </c>
      <c r="B57" s="42" t="n"/>
      <c r="C57" s="55" t="n">
        <v>6.915351506456241</v>
      </c>
      <c r="D57" s="13" t="n"/>
      <c r="E57">
        <f>C57-D57</f>
        <v/>
      </c>
    </row>
    <row r="58">
      <c r="B58" s="42" t="n"/>
      <c r="C58" s="16" t="n">
        <v>0.2295552367288379</v>
      </c>
      <c r="D58" s="16" t="n"/>
      <c r="E58" s="17">
        <f>C58-D58</f>
        <v/>
      </c>
    </row>
    <row r="59">
      <c r="B59" s="42" t="n"/>
      <c r="C59" s="16" t="n">
        <v>0.05738880918220947</v>
      </c>
      <c r="D59" s="16" t="n"/>
      <c r="E59" s="17">
        <f>C59-D59</f>
        <v/>
      </c>
    </row>
    <row r="60">
      <c r="B60" s="42" t="n"/>
      <c r="C60" s="57" t="n">
        <v>18.47919655667145</v>
      </c>
      <c r="D60" s="57" t="n"/>
      <c r="E60" s="17">
        <f>C60-D60</f>
        <v/>
      </c>
    </row>
    <row r="61">
      <c r="A61" t="inlineStr">
        <is>
          <t>Edwards, CO</t>
        </is>
      </c>
      <c r="B61" s="42" t="n"/>
      <c r="C61" s="16" t="n"/>
      <c r="D61" s="16" t="n"/>
      <c r="E61" s="17">
        <f>D61-E61</f>
        <v/>
      </c>
    </row>
    <row r="62">
      <c r="B62" s="42" t="inlineStr">
        <is>
          <t>Loans</t>
        </is>
      </c>
      <c r="C62" s="16" t="n">
        <v>394</v>
      </c>
      <c r="D62" s="16" t="n"/>
      <c r="E62" s="17">
        <f>D62-E62</f>
        <v/>
      </c>
    </row>
    <row r="63">
      <c r="B63" s="42" t="n"/>
      <c r="C63" s="16" t="n">
        <v>3.299492385786802</v>
      </c>
      <c r="D63" s="16" t="n"/>
      <c r="E63" s="17">
        <f>C63-D63</f>
        <v/>
      </c>
    </row>
    <row r="64">
      <c r="B64" s="42" t="n"/>
      <c r="C64" s="16" t="n">
        <v>9.390862944162437</v>
      </c>
      <c r="D64" s="16" t="n"/>
      <c r="E64" s="17">
        <f>C64-D64</f>
        <v/>
      </c>
    </row>
    <row r="65" ht="21.75" customHeight="1" s="52">
      <c r="B65" s="42" t="n"/>
      <c r="C65" s="16" t="n">
        <v>12465000</v>
      </c>
      <c r="D65" s="16" t="n"/>
      <c r="E65" s="17">
        <f>D65-E65</f>
        <v/>
      </c>
    </row>
    <row r="66">
      <c r="B66" s="42" t="n"/>
      <c r="C66" s="16" t="n">
        <v>14.46700507614213</v>
      </c>
      <c r="D66" s="16" t="n"/>
      <c r="E66" s="17">
        <f>C66-D66</f>
        <v/>
      </c>
    </row>
    <row r="67">
      <c r="B67" s="42" t="n"/>
      <c r="C67" s="16" t="n">
        <v>15.73604060913706</v>
      </c>
      <c r="D67" s="16" t="n"/>
      <c r="E67" s="17">
        <f>C67-D67</f>
        <v/>
      </c>
    </row>
    <row r="68">
      <c r="A68" s="42" t="n"/>
      <c r="B68" s="42" t="n"/>
      <c r="C68" s="55" t="n">
        <v>1.015228426395939</v>
      </c>
      <c r="D68" s="13" t="n"/>
      <c r="E68">
        <f>C68-D68</f>
        <v/>
      </c>
    </row>
    <row r="69">
      <c r="A69" s="42" t="n"/>
      <c r="B69" s="42" t="n"/>
      <c r="C69" s="16" t="n">
        <v>0.5076142131979695</v>
      </c>
      <c r="D69" s="16" t="n"/>
      <c r="E69" s="17">
        <f>C69-D69</f>
        <v/>
      </c>
    </row>
    <row r="70">
      <c r="A70" s="42" t="n"/>
      <c r="B70" s="42" t="n"/>
      <c r="C70" s="16" t="n">
        <v>0.5076142131979695</v>
      </c>
      <c r="D70" s="16" t="n"/>
      <c r="E70" s="17">
        <f>C70-D70</f>
        <v/>
      </c>
    </row>
    <row r="71">
      <c r="A71" s="42" t="n"/>
      <c r="B71" s="42" t="n"/>
      <c r="C71" s="57" t="n">
        <v>0.2538071065989848</v>
      </c>
      <c r="D71" s="57" t="n"/>
      <c r="E71" s="17">
        <f>C71-D71</f>
        <v/>
      </c>
    </row>
    <row r="72">
      <c r="A72" s="42" t="n"/>
      <c r="B72" s="42" t="n"/>
      <c r="C72" s="16" t="n">
        <v>13.45177664974619</v>
      </c>
      <c r="D72" s="16" t="n"/>
      <c r="E72" s="17">
        <f>C72-D72</f>
        <v/>
      </c>
    </row>
    <row r="73">
      <c r="A73" s="42" t="inlineStr">
        <is>
          <t>Fort Collins, CO</t>
        </is>
      </c>
      <c r="B73" s="42" t="n"/>
      <c r="C73" s="16" t="n"/>
      <c r="D73" s="16" t="n"/>
      <c r="E73" s="17">
        <f>D73-E73</f>
        <v/>
      </c>
    </row>
    <row r="74">
      <c r="A74" s="42" t="n"/>
      <c r="B74" s="42" t="inlineStr">
        <is>
          <t>Loans</t>
        </is>
      </c>
      <c r="C74" s="16" t="n">
        <v>461</v>
      </c>
      <c r="D74" s="16" t="n"/>
      <c r="E74" s="17">
        <f>D74-E74</f>
        <v/>
      </c>
    </row>
    <row r="75">
      <c r="A75" s="42" t="n"/>
      <c r="B75" s="42" t="n"/>
      <c r="C75" s="16" t="n">
        <v>10.84598698481562</v>
      </c>
      <c r="D75" s="16" t="n"/>
      <c r="E75" s="17">
        <f>C75-D75</f>
        <v/>
      </c>
    </row>
    <row r="76" ht="21.75" customHeight="1" s="52">
      <c r="A76" s="42" t="n"/>
      <c r="B76" s="42" t="n"/>
      <c r="C76" s="16" t="n">
        <v>23.42733188720173</v>
      </c>
      <c r="D76" s="16" t="n"/>
      <c r="E76" s="17">
        <f>C76-D76</f>
        <v/>
      </c>
    </row>
    <row r="77">
      <c r="A77" s="42" t="n"/>
      <c r="B77" s="42" t="n"/>
      <c r="C77" s="16" t="n">
        <v>32900000</v>
      </c>
      <c r="D77" s="16" t="n"/>
      <c r="E77" s="17">
        <f>D77-E77</f>
        <v/>
      </c>
    </row>
    <row r="78">
      <c r="A78" s="42" t="n"/>
      <c r="B78" s="42" t="n"/>
      <c r="C78" s="16" t="n">
        <v>0</v>
      </c>
      <c r="D78" s="16" t="n"/>
      <c r="E78" s="17">
        <f>C78-D78</f>
        <v/>
      </c>
    </row>
    <row r="79">
      <c r="A79" s="42" t="n"/>
      <c r="B79" s="42" t="n"/>
      <c r="C79" s="55" t="n">
        <v>8.242950108459871</v>
      </c>
      <c r="D79" s="30" t="n"/>
      <c r="E79">
        <f>C79-D79</f>
        <v/>
      </c>
    </row>
    <row r="80">
      <c r="B80" s="42" t="n"/>
      <c r="C80" s="16" t="n">
        <v>3.904555314533622</v>
      </c>
      <c r="D80" s="31" t="n"/>
      <c r="E80" s="17">
        <f>C80-D80</f>
        <v/>
      </c>
    </row>
    <row r="81">
      <c r="B81" s="42" t="n"/>
      <c r="C81" s="16" t="n">
        <v>0</v>
      </c>
      <c r="D81" s="31" t="n"/>
      <c r="E81" s="17">
        <f>C81-D81</f>
        <v/>
      </c>
    </row>
    <row r="82">
      <c r="B82" s="42" t="n"/>
      <c r="C82" s="57" t="n">
        <v>0.2169197396963124</v>
      </c>
      <c r="D82" s="58" t="n"/>
      <c r="E82" s="17">
        <f>C82-D82</f>
        <v/>
      </c>
    </row>
    <row r="83">
      <c r="B83" s="42" t="n"/>
      <c r="C83" s="16" t="n">
        <v>0</v>
      </c>
      <c r="D83" s="31" t="n"/>
      <c r="E83" s="17">
        <f>C83-D83</f>
        <v/>
      </c>
    </row>
    <row r="84">
      <c r="B84" s="42" t="n"/>
      <c r="C84" s="16" t="n">
        <v>4.121475054229935</v>
      </c>
      <c r="D84" s="31" t="n"/>
      <c r="E84" s="17">
        <f>C84-D84</f>
        <v/>
      </c>
    </row>
    <row r="85">
      <c r="A85" t="inlineStr">
        <is>
          <t>Glenwood Springs, CO</t>
        </is>
      </c>
      <c r="B85" s="42" t="n"/>
      <c r="C85" s="16" t="n"/>
      <c r="D85" s="31" t="n"/>
      <c r="E85" s="17">
        <f>D85-E85</f>
        <v/>
      </c>
    </row>
    <row r="86">
      <c r="B86" s="42" t="inlineStr">
        <is>
          <t>Loans</t>
        </is>
      </c>
      <c r="C86" s="16" t="n">
        <v>139</v>
      </c>
      <c r="D86" s="31" t="n"/>
      <c r="E86" s="17">
        <f>D86-E86</f>
        <v/>
      </c>
    </row>
    <row r="87">
      <c r="B87" s="42" t="n"/>
      <c r="C87" s="16" t="n">
        <v>0</v>
      </c>
      <c r="D87" s="31" t="n"/>
      <c r="E87" s="17">
        <f>C87-D87</f>
        <v/>
      </c>
    </row>
    <row r="88">
      <c r="B88" s="42" t="n"/>
      <c r="C88" s="16" t="n">
        <v>7.913669064748201</v>
      </c>
      <c r="D88" s="31" t="n"/>
      <c r="E88" s="17">
        <f>C88-D88</f>
        <v/>
      </c>
    </row>
    <row r="89">
      <c r="B89" s="42" t="n"/>
      <c r="C89" s="16" t="n">
        <v>2515000</v>
      </c>
      <c r="D89" s="31" t="n"/>
      <c r="E89" s="17">
        <f>D89-E89</f>
        <v/>
      </c>
    </row>
    <row r="90">
      <c r="A90" s="42" t="n"/>
      <c r="B90" s="42" t="n"/>
      <c r="C90" s="55" t="n">
        <v>0</v>
      </c>
      <c r="D90" s="30" t="n"/>
      <c r="E90">
        <f>C90-D90</f>
        <v/>
      </c>
    </row>
    <row r="91">
      <c r="B91" s="42" t="n"/>
      <c r="C91" s="16" t="n">
        <v>23.7410071942446</v>
      </c>
      <c r="D91" s="31" t="n"/>
      <c r="E91" s="17">
        <f>C91-D91</f>
        <v/>
      </c>
    </row>
    <row r="92">
      <c r="B92" s="42" t="n"/>
      <c r="C92" s="16" t="n">
        <v>1.43884892086331</v>
      </c>
      <c r="D92" s="31" t="n"/>
      <c r="E92" s="17">
        <f>C92-D92</f>
        <v/>
      </c>
    </row>
    <row r="93">
      <c r="B93" s="42" t="n"/>
      <c r="C93" s="57" t="n">
        <v>0.7194244604316548</v>
      </c>
      <c r="D93" s="58" t="n"/>
      <c r="E93" s="17">
        <f>C93-D93</f>
        <v/>
      </c>
    </row>
    <row r="94">
      <c r="B94" s="42" t="n"/>
      <c r="C94" s="16" t="n">
        <v>0.7194244604316548</v>
      </c>
      <c r="D94" s="31" t="n"/>
      <c r="E94" s="17">
        <f>C94-D94</f>
        <v/>
      </c>
    </row>
    <row r="95">
      <c r="B95" s="42" t="n"/>
      <c r="C95" s="16" t="n">
        <v>0</v>
      </c>
      <c r="D95" s="31" t="n"/>
      <c r="E95" s="17">
        <f>C95-D95</f>
        <v/>
      </c>
    </row>
    <row r="96">
      <c r="B96" s="42" t="n"/>
      <c r="C96" s="16" t="n">
        <v>20.86330935251799</v>
      </c>
      <c r="D96" s="31" t="n"/>
      <c r="E96" s="17">
        <f>C96-D96</f>
        <v/>
      </c>
    </row>
    <row r="97">
      <c r="A97" t="inlineStr">
        <is>
          <t>Greeley, CO</t>
        </is>
      </c>
      <c r="B97" s="42" t="n"/>
      <c r="C97" s="16" t="n"/>
      <c r="D97" s="31" t="n"/>
      <c r="E97" s="17">
        <f>D97-E97</f>
        <v/>
      </c>
    </row>
    <row r="98">
      <c r="B98" s="42" t="inlineStr">
        <is>
          <t>Loans</t>
        </is>
      </c>
      <c r="C98" s="16" t="n">
        <v>422</v>
      </c>
      <c r="D98" s="31" t="n"/>
      <c r="E98" s="17">
        <f>D98-E98</f>
        <v/>
      </c>
    </row>
    <row r="99">
      <c r="B99" s="42" t="n"/>
      <c r="C99" s="16" t="n">
        <v>11.13744075829384</v>
      </c>
      <c r="D99" s="31" t="n"/>
      <c r="E99" s="17">
        <f>C99-D99</f>
        <v/>
      </c>
    </row>
    <row r="100">
      <c r="B100" s="42" t="n"/>
      <c r="C100" s="16" t="n">
        <v>19.19431279620853</v>
      </c>
      <c r="D100" s="31" t="n"/>
      <c r="E100" s="17">
        <f>C100-D100</f>
        <v/>
      </c>
    </row>
    <row r="101">
      <c r="A101" s="42" t="n"/>
      <c r="B101" s="42" t="n"/>
      <c r="C101" s="55" t="n">
        <v>20245000</v>
      </c>
      <c r="D101" s="30" t="n"/>
    </row>
    <row r="102">
      <c r="B102" s="42" t="n"/>
      <c r="C102" s="16" t="n">
        <v>8.530805687203792</v>
      </c>
      <c r="D102" s="31" t="n"/>
      <c r="E102" s="17">
        <f>C102-D102</f>
        <v/>
      </c>
    </row>
    <row r="103">
      <c r="B103" s="42" t="n"/>
      <c r="C103" s="16" t="n">
        <v>36.01895734597156</v>
      </c>
      <c r="D103" s="31" t="n"/>
      <c r="E103" s="17">
        <f>C103-D103</f>
        <v/>
      </c>
    </row>
    <row r="104">
      <c r="B104" s="42" t="n"/>
      <c r="C104" s="57" t="n">
        <v>5.450236966824645</v>
      </c>
      <c r="D104" s="58" t="n"/>
      <c r="E104" s="17">
        <f>C104-D104</f>
        <v/>
      </c>
    </row>
    <row r="105">
      <c r="B105" s="42" t="n"/>
      <c r="C105" s="16" t="n">
        <v>0.7109004739336493</v>
      </c>
      <c r="D105" s="31" t="n"/>
      <c r="E105" s="17">
        <f>C105-D105</f>
        <v/>
      </c>
    </row>
    <row r="106">
      <c r="B106" s="42" t="n"/>
      <c r="C106" s="16" t="n">
        <v>0.9478672985781991</v>
      </c>
      <c r="D106" s="31" t="n"/>
      <c r="E106" s="17">
        <f>C106-D106</f>
        <v/>
      </c>
    </row>
    <row r="107">
      <c r="B107" s="42" t="n"/>
      <c r="C107" s="16" t="n">
        <v>0.2369668246445498</v>
      </c>
      <c r="D107" s="31" t="n"/>
      <c r="E107" s="17">
        <f>C107-D107</f>
        <v/>
      </c>
    </row>
    <row r="108">
      <c r="B108" s="42" t="n"/>
      <c r="C108" s="16" t="n">
        <v>28.67298578199052</v>
      </c>
      <c r="D108" s="31" t="n"/>
      <c r="E108" s="17">
        <f>C108-D108</f>
        <v/>
      </c>
    </row>
    <row r="109">
      <c r="A109" t="inlineStr">
        <is>
          <t>Phoenix-Mesa-Chandler, AZ</t>
        </is>
      </c>
      <c r="B109" s="42" t="n"/>
      <c r="C109" s="16" t="n"/>
      <c r="D109" s="31" t="n"/>
      <c r="E109" s="17">
        <f>D109-E109</f>
        <v/>
      </c>
    </row>
    <row r="110">
      <c r="B110" s="42" t="inlineStr">
        <is>
          <t>Loans</t>
        </is>
      </c>
      <c r="C110" s="16" t="n">
        <v>423</v>
      </c>
      <c r="D110" s="31" t="n"/>
      <c r="E110" s="17">
        <f>D110-E110</f>
        <v/>
      </c>
    </row>
    <row r="111">
      <c r="B111" s="42" t="n"/>
      <c r="C111" s="16" t="n">
        <v>21.5130023640662</v>
      </c>
      <c r="D111" s="31" t="n"/>
      <c r="E111" s="17">
        <f>C111-D111</f>
        <v/>
      </c>
    </row>
    <row r="112">
      <c r="A112" s="42" t="n"/>
      <c r="B112" s="42" t="n"/>
      <c r="C112" s="55" t="n">
        <v>28.36879432624114</v>
      </c>
      <c r="D112" s="30" t="n"/>
      <c r="E112">
        <f>C112-D112</f>
        <v/>
      </c>
    </row>
    <row r="113">
      <c r="B113" s="42" t="n"/>
      <c r="C113" s="16" t="n">
        <v>32510000</v>
      </c>
      <c r="D113" s="31" t="n"/>
      <c r="E113" s="17">
        <f>D113-E113</f>
        <v/>
      </c>
    </row>
    <row r="114">
      <c r="B114" s="42" t="n"/>
      <c r="C114" s="16" t="n">
        <v>20.33096926713948</v>
      </c>
      <c r="D114" s="31" t="n"/>
      <c r="E114" s="17">
        <f>C114-D114</f>
        <v/>
      </c>
    </row>
    <row r="115">
      <c r="B115" s="42" t="n"/>
      <c r="C115" s="57" t="n">
        <v>32.38770685579196</v>
      </c>
      <c r="D115" s="58" t="n"/>
      <c r="E115" s="17">
        <f>C115-D115</f>
        <v/>
      </c>
    </row>
    <row r="116">
      <c r="B116" s="42" t="n"/>
      <c r="C116" s="16" t="n">
        <v>10.40189125295508</v>
      </c>
      <c r="D116" s="31" t="n"/>
      <c r="E116" s="17">
        <f>C116-D116</f>
        <v/>
      </c>
    </row>
    <row r="117">
      <c r="B117" s="42" t="n"/>
      <c r="C117" s="16" t="n">
        <v>2.364066193853428</v>
      </c>
      <c r="D117" s="31" t="n"/>
      <c r="E117" s="17">
        <f>C117-D117</f>
        <v/>
      </c>
    </row>
    <row r="118">
      <c r="B118" s="42" t="n"/>
      <c r="C118" s="16" t="n">
        <v>0.2364066193853428</v>
      </c>
      <c r="D118" s="31" t="n"/>
      <c r="E118" s="17">
        <f>C118-D118</f>
        <v/>
      </c>
    </row>
    <row r="119">
      <c r="B119" s="42" t="n"/>
      <c r="C119" s="16" t="n">
        <v>0.4728132387706856</v>
      </c>
      <c r="D119" s="31" t="n"/>
      <c r="E119" s="17">
        <f>C119-D119</f>
        <v/>
      </c>
    </row>
    <row r="120">
      <c r="B120" s="42" t="n"/>
      <c r="C120" s="16" t="n">
        <v>18.91252955082742</v>
      </c>
      <c r="D120" s="31" t="n"/>
      <c r="E120" s="17">
        <f>C120-D120</f>
        <v/>
      </c>
    </row>
    <row r="121">
      <c r="B121" s="42" t="n"/>
      <c r="C121" s="16" t="n"/>
      <c r="D121" s="31" t="n"/>
      <c r="E121" s="17">
        <f>D121-E121</f>
        <v/>
      </c>
    </row>
    <row r="122">
      <c r="B122" s="42" t="n"/>
      <c r="C122" s="16" t="n"/>
      <c r="D122" s="31" t="n"/>
      <c r="E122" s="17">
        <f>D122-E122</f>
        <v/>
      </c>
    </row>
    <row r="123">
      <c r="A123" s="42" t="n"/>
      <c r="B123" s="42" t="n"/>
      <c r="C123" s="55" t="n"/>
      <c r="D123" s="30" t="n"/>
    </row>
    <row r="124">
      <c r="B124" s="42" t="n"/>
      <c r="C124" s="16" t="n"/>
      <c r="D124" s="31" t="n"/>
      <c r="E124" s="17">
        <f>D124-E124</f>
        <v/>
      </c>
    </row>
    <row r="125">
      <c r="B125" s="42" t="n"/>
      <c r="C125" s="16" t="n"/>
      <c r="D125" s="31" t="n"/>
      <c r="E125" s="17">
        <f>D125-E125</f>
        <v/>
      </c>
    </row>
    <row r="126">
      <c r="B126" s="42" t="n"/>
      <c r="C126" s="57" t="n"/>
      <c r="D126" s="58" t="n"/>
      <c r="E126" s="17">
        <f>D126-E126</f>
        <v/>
      </c>
    </row>
    <row r="127">
      <c r="B127" s="42" t="n"/>
      <c r="C127" s="16" t="n"/>
      <c r="D127" s="31" t="n"/>
      <c r="E127" s="17">
        <f>D127-E127</f>
        <v/>
      </c>
    </row>
    <row r="128">
      <c r="B128" s="42" t="n"/>
      <c r="C128" s="16" t="n"/>
      <c r="D128" s="31" t="n"/>
      <c r="E128" s="17">
        <f>D128-E128</f>
        <v/>
      </c>
    </row>
    <row r="129">
      <c r="B129" s="42" t="n"/>
      <c r="C129" s="16" t="n"/>
      <c r="D129" s="31" t="n"/>
      <c r="E129" s="17">
        <f>D129-E129</f>
        <v/>
      </c>
    </row>
    <row r="130">
      <c r="B130" s="42" t="n"/>
      <c r="C130" s="16" t="n"/>
      <c r="D130" s="31" t="n"/>
      <c r="E130" s="17">
        <f>D130-E130</f>
        <v/>
      </c>
    </row>
    <row r="131">
      <c r="B131" s="42" t="n"/>
      <c r="C131" s="16" t="n"/>
      <c r="D131" s="31" t="n"/>
      <c r="E131" s="17">
        <f>D131-E131</f>
        <v/>
      </c>
    </row>
    <row r="132">
      <c r="B132" s="42" t="n"/>
      <c r="C132" s="16" t="n"/>
      <c r="D132" s="31" t="n"/>
      <c r="E132" s="17">
        <f>D132-E132</f>
        <v/>
      </c>
    </row>
    <row r="133">
      <c r="B133" s="42" t="n"/>
      <c r="C133" s="16" t="n"/>
      <c r="D133" s="31" t="n"/>
      <c r="E133" s="17">
        <f>D133-E133</f>
        <v/>
      </c>
    </row>
    <row r="134">
      <c r="A134" s="42" t="n"/>
      <c r="B134" s="42" t="n"/>
      <c r="C134" s="55" t="n"/>
      <c r="D134" s="30" t="n"/>
    </row>
    <row r="135">
      <c r="B135" s="42" t="n"/>
      <c r="C135" s="16" t="n"/>
      <c r="D135" s="31" t="n"/>
      <c r="E135" s="17">
        <f>D135-E135</f>
        <v/>
      </c>
    </row>
    <row r="136">
      <c r="B136" s="42" t="n"/>
      <c r="C136" s="16" t="n"/>
      <c r="D136" s="31" t="n"/>
      <c r="E136" s="17">
        <f>D136-E136</f>
        <v/>
      </c>
    </row>
    <row r="137">
      <c r="B137" s="42" t="n"/>
      <c r="C137" s="57" t="n"/>
      <c r="D137" s="58" t="n"/>
      <c r="E137" s="17">
        <f>D137-E137</f>
        <v/>
      </c>
    </row>
    <row r="138">
      <c r="B138" s="42" t="n"/>
      <c r="C138" s="16" t="n"/>
      <c r="D138" s="31" t="n"/>
      <c r="E138" s="17">
        <f>D138-E138</f>
        <v/>
      </c>
    </row>
    <row r="139">
      <c r="B139" s="42" t="n"/>
      <c r="C139" s="16" t="n"/>
      <c r="D139" s="31" t="n"/>
      <c r="E139" s="17">
        <f>D139-E139</f>
        <v/>
      </c>
    </row>
    <row r="140">
      <c r="B140" s="42" t="n"/>
      <c r="C140" s="16" t="n"/>
      <c r="D140" s="31" t="n"/>
      <c r="E140" s="17">
        <f>D140-E140</f>
        <v/>
      </c>
    </row>
    <row r="141">
      <c r="B141" s="42" t="n"/>
      <c r="C141" s="16" t="n"/>
      <c r="D141" s="31" t="n"/>
      <c r="E141" s="17">
        <f>D141-E141</f>
        <v/>
      </c>
    </row>
    <row r="142">
      <c r="B142" s="42" t="n"/>
      <c r="C142" s="16" t="n"/>
      <c r="D142" s="31" t="n"/>
      <c r="E142" s="17">
        <f>D142-E142</f>
        <v/>
      </c>
    </row>
    <row r="143">
      <c r="B143" s="42" t="n"/>
      <c r="C143" s="16" t="n"/>
      <c r="D143" s="31" t="n"/>
      <c r="E143" s="17">
        <f>D143-E143</f>
        <v/>
      </c>
    </row>
    <row r="144">
      <c r="B144" s="42" t="n"/>
      <c r="C144" s="16" t="n"/>
      <c r="D144" s="31" t="n"/>
      <c r="E144" s="17">
        <f>D144-E144</f>
        <v/>
      </c>
    </row>
    <row r="145">
      <c r="A145" s="42" t="n"/>
      <c r="B145" s="42" t="n"/>
      <c r="C145" s="13" t="n"/>
      <c r="D145" s="30" t="n"/>
    </row>
    <row r="146">
      <c r="B146" s="42" t="n"/>
      <c r="C146" s="16" t="n"/>
      <c r="D146" s="31" t="n"/>
      <c r="E146" s="17">
        <f>D146-E146</f>
        <v/>
      </c>
    </row>
    <row r="147">
      <c r="B147" s="42" t="n"/>
      <c r="C147" s="16" t="n"/>
      <c r="D147" s="31" t="n"/>
      <c r="E147" s="17">
        <f>D147-E147</f>
        <v/>
      </c>
    </row>
    <row r="148">
      <c r="B148" s="42" t="n"/>
      <c r="C148" s="57" t="n"/>
      <c r="D148" s="58" t="n"/>
      <c r="E148" s="17">
        <f>D148-E148</f>
        <v/>
      </c>
    </row>
    <row r="149">
      <c r="B149" s="42" t="n"/>
      <c r="C149" s="16" t="n"/>
      <c r="D149" s="31" t="n"/>
      <c r="E149" s="17">
        <f>D149-E149</f>
        <v/>
      </c>
    </row>
    <row r="150">
      <c r="B150" s="42" t="n"/>
      <c r="C150" s="16" t="n"/>
      <c r="D150" s="31" t="n"/>
      <c r="E150" s="17">
        <f>D150-E150</f>
        <v/>
      </c>
    </row>
    <row r="151">
      <c r="B151" s="42" t="n"/>
      <c r="C151" s="16" t="n"/>
      <c r="D151" s="31" t="n"/>
      <c r="E151" s="17">
        <f>D151-E151</f>
        <v/>
      </c>
    </row>
    <row r="152">
      <c r="B152" s="42" t="n"/>
      <c r="C152" s="16" t="n"/>
      <c r="D152" s="31" t="n"/>
      <c r="E152" s="17">
        <f>D152-E152</f>
        <v/>
      </c>
    </row>
    <row r="153">
      <c r="B153" s="42" t="n"/>
      <c r="C153" s="16" t="n"/>
      <c r="D153" s="31" t="n"/>
      <c r="E153" s="17">
        <f>D153-E153</f>
        <v/>
      </c>
    </row>
    <row r="154">
      <c r="B154" s="42" t="n"/>
      <c r="C154" s="16" t="n"/>
      <c r="D154" s="31" t="n"/>
      <c r="E154" s="17">
        <f>D154-E154</f>
        <v/>
      </c>
    </row>
    <row r="155">
      <c r="B155" s="42" t="n"/>
      <c r="C155" s="16" t="n"/>
      <c r="D155" s="31" t="n"/>
      <c r="E155" s="17">
        <f>D155-E155</f>
        <v/>
      </c>
    </row>
    <row r="156">
      <c r="A156" s="42" t="n"/>
      <c r="B156" s="42" t="n"/>
      <c r="C156" s="55" t="n"/>
      <c r="D156" s="30" t="n"/>
    </row>
    <row r="157">
      <c r="B157" s="42" t="n"/>
      <c r="C157" s="16" t="n"/>
      <c r="D157" s="31" t="n"/>
      <c r="E157" s="17">
        <f>D157-E157</f>
        <v/>
      </c>
    </row>
    <row r="158">
      <c r="B158" s="42" t="n"/>
      <c r="C158" s="16" t="n"/>
      <c r="D158" s="31" t="n"/>
      <c r="E158" s="17">
        <f>D158-E158</f>
        <v/>
      </c>
    </row>
    <row r="159">
      <c r="B159" s="42" t="n"/>
      <c r="C159" s="57" t="n"/>
      <c r="D159" s="58" t="n"/>
      <c r="E159" s="17">
        <f>D159-E159</f>
        <v/>
      </c>
    </row>
    <row r="160">
      <c r="B160" s="42" t="n"/>
      <c r="C160" s="16" t="n"/>
      <c r="D160" s="31" t="n"/>
      <c r="E160" s="17">
        <f>D160-E160</f>
        <v/>
      </c>
    </row>
    <row r="161">
      <c r="B161" s="42" t="n"/>
      <c r="C161" s="16" t="n"/>
      <c r="D161" s="31" t="n"/>
      <c r="E161" s="17">
        <f>D161-E161</f>
        <v/>
      </c>
    </row>
    <row r="162">
      <c r="B162" s="42" t="n"/>
      <c r="C162" s="16" t="n"/>
      <c r="D162" s="31" t="n"/>
      <c r="E162" s="17">
        <f>D162-E162</f>
        <v/>
      </c>
    </row>
    <row r="163">
      <c r="B163" s="42" t="n"/>
      <c r="C163" s="16" t="n"/>
      <c r="D163" s="31" t="n"/>
      <c r="E163" s="17">
        <f>D163-E163</f>
        <v/>
      </c>
    </row>
    <row r="164">
      <c r="B164" s="42" t="n"/>
      <c r="C164" s="16" t="n"/>
      <c r="D164" s="31" t="n"/>
      <c r="E164" s="17">
        <f>D164-E164</f>
        <v/>
      </c>
    </row>
    <row r="165">
      <c r="B165" s="42" t="n"/>
      <c r="C165" s="16" t="n"/>
      <c r="D165" s="31" t="n"/>
      <c r="E165" s="17">
        <f>D165-E165</f>
        <v/>
      </c>
    </row>
    <row r="166">
      <c r="B166" s="42" t="n"/>
      <c r="C166" s="16" t="n"/>
      <c r="D166" s="31" t="n"/>
      <c r="E166" s="17">
        <f>D166-E166</f>
        <v/>
      </c>
    </row>
    <row r="167">
      <c r="A167" s="42" t="n"/>
      <c r="B167" s="42" t="n"/>
      <c r="C167" s="55" t="n"/>
      <c r="D167" s="30" t="n"/>
    </row>
    <row r="168">
      <c r="B168" s="42" t="n"/>
      <c r="C168" s="16" t="n"/>
      <c r="D168" s="31" t="n"/>
      <c r="E168" s="17">
        <f>D168-E168</f>
        <v/>
      </c>
    </row>
    <row r="169">
      <c r="B169" s="42" t="n"/>
      <c r="C169" s="16" t="n"/>
      <c r="D169" s="31" t="n"/>
      <c r="E169" s="17">
        <f>D169-E169</f>
        <v/>
      </c>
    </row>
    <row r="170">
      <c r="B170" s="42" t="n"/>
      <c r="C170" s="57" t="n"/>
      <c r="D170" s="58" t="n"/>
      <c r="E170" s="17">
        <f>D170-E170</f>
        <v/>
      </c>
    </row>
    <row r="171">
      <c r="B171" s="42" t="n"/>
      <c r="C171" s="16" t="n"/>
      <c r="D171" s="31" t="n"/>
      <c r="E171" s="17">
        <f>D171-E171</f>
        <v/>
      </c>
    </row>
    <row r="172">
      <c r="B172" s="42" t="n"/>
      <c r="C172" s="16" t="n"/>
      <c r="D172" s="31" t="n"/>
      <c r="E172" s="17">
        <f>D172-E172</f>
        <v/>
      </c>
    </row>
    <row r="173">
      <c r="B173" s="42" t="n"/>
      <c r="C173" s="16" t="n"/>
      <c r="D173" s="31" t="n"/>
      <c r="E173" s="17">
        <f>D173-E173</f>
        <v/>
      </c>
    </row>
    <row r="174">
      <c r="B174" s="42" t="n"/>
      <c r="C174" s="16" t="n"/>
      <c r="D174" s="31" t="n"/>
      <c r="E174" s="17">
        <f>D174-E174</f>
        <v/>
      </c>
    </row>
    <row r="175">
      <c r="B175" s="42" t="n"/>
      <c r="C175" s="16" t="n"/>
      <c r="D175" s="31" t="n"/>
      <c r="E175" s="17">
        <f>D175-E175</f>
        <v/>
      </c>
    </row>
    <row r="176">
      <c r="B176" s="42" t="n"/>
      <c r="C176" s="16" t="n"/>
      <c r="D176" s="31" t="n"/>
      <c r="E176" s="17">
        <f>D176-E176</f>
        <v/>
      </c>
    </row>
    <row r="177">
      <c r="B177" s="42" t="n"/>
      <c r="C177" s="16" t="n"/>
      <c r="D177" s="31" t="n"/>
      <c r="E177" s="17">
        <f>D177-E177</f>
        <v/>
      </c>
    </row>
    <row r="178">
      <c r="A178" s="42" t="n"/>
      <c r="B178" s="42" t="n"/>
      <c r="C178" s="55" t="n"/>
      <c r="D178" s="30" t="n"/>
    </row>
    <row r="179">
      <c r="B179" s="42" t="n"/>
      <c r="C179" s="16" t="n"/>
      <c r="D179" s="31" t="n"/>
      <c r="E179" s="17">
        <f>D179-E179</f>
        <v/>
      </c>
    </row>
    <row r="180">
      <c r="B180" s="42" t="n"/>
      <c r="C180" s="16" t="n"/>
      <c r="D180" s="31" t="n"/>
      <c r="E180" s="17">
        <f>D180-E180</f>
        <v/>
      </c>
    </row>
    <row r="181">
      <c r="B181" s="42" t="n"/>
      <c r="C181" s="57" t="n"/>
      <c r="D181" s="58" t="n"/>
      <c r="E181" s="17">
        <f>D181-E181</f>
        <v/>
      </c>
    </row>
    <row r="182">
      <c r="B182" s="42" t="n"/>
      <c r="C182" s="16" t="n"/>
      <c r="D182" s="31" t="n"/>
      <c r="E182" s="17">
        <f>D182-E182</f>
        <v/>
      </c>
    </row>
    <row r="183">
      <c r="B183" s="42" t="n"/>
      <c r="C183" s="16" t="n"/>
      <c r="D183" s="31" t="n"/>
      <c r="E183" s="17">
        <f>D183-E183</f>
        <v/>
      </c>
    </row>
    <row r="184">
      <c r="B184" s="42" t="n"/>
      <c r="C184" s="16" t="n"/>
      <c r="D184" s="31" t="n"/>
      <c r="E184" s="17">
        <f>D184-E184</f>
        <v/>
      </c>
    </row>
    <row r="185">
      <c r="B185" s="42" t="n"/>
      <c r="C185" s="16" t="n"/>
      <c r="D185" s="31" t="n"/>
      <c r="E185" s="17">
        <f>D185-E185</f>
        <v/>
      </c>
    </row>
    <row r="186">
      <c r="B186" s="42" t="n"/>
      <c r="C186" s="16" t="n"/>
      <c r="D186" s="31" t="n"/>
      <c r="E186" s="17">
        <f>D186-E186</f>
        <v/>
      </c>
    </row>
    <row r="187">
      <c r="B187" s="42" t="n"/>
      <c r="C187" s="16" t="n"/>
      <c r="D187" s="31" t="n"/>
      <c r="E187" s="17">
        <f>D187-E187</f>
        <v/>
      </c>
    </row>
    <row r="188">
      <c r="B188" s="42" t="n"/>
      <c r="C188" s="16" t="n"/>
      <c r="D188" s="31" t="n"/>
      <c r="E188" s="17">
        <f>D188-E188</f>
        <v/>
      </c>
    </row>
    <row r="189">
      <c r="A189" s="42" t="n"/>
      <c r="B189" s="42" t="n"/>
      <c r="C189" s="55" t="n"/>
      <c r="D189" s="30" t="n"/>
    </row>
    <row r="190">
      <c r="B190" s="42" t="n"/>
      <c r="C190" s="16" t="n"/>
      <c r="D190" s="31" t="n"/>
      <c r="E190" s="17">
        <f>D190-E190</f>
        <v/>
      </c>
    </row>
    <row r="191">
      <c r="B191" s="42" t="n"/>
      <c r="C191" s="16" t="n"/>
      <c r="D191" s="31" t="n"/>
      <c r="E191" s="17">
        <f>D191-E191</f>
        <v/>
      </c>
    </row>
    <row r="192">
      <c r="B192" s="42" t="n"/>
      <c r="C192" s="57" t="n"/>
      <c r="D192" s="58" t="n"/>
      <c r="E192" s="17">
        <f>D192-E192</f>
        <v/>
      </c>
    </row>
    <row r="193">
      <c r="B193" s="42" t="n"/>
      <c r="C193" s="16" t="n"/>
      <c r="D193" s="31" t="n"/>
      <c r="E193" s="17">
        <f>D193-E193</f>
        <v/>
      </c>
    </row>
    <row r="194">
      <c r="B194" s="42" t="n"/>
      <c r="C194" s="16" t="n"/>
      <c r="D194" s="31" t="n"/>
      <c r="E194" s="17">
        <f>D194-E194</f>
        <v/>
      </c>
    </row>
    <row r="195">
      <c r="B195" s="42" t="n"/>
      <c r="C195" s="16" t="n"/>
      <c r="D195" s="31" t="n"/>
      <c r="E195" s="17">
        <f>D195-E195</f>
        <v/>
      </c>
    </row>
    <row r="196">
      <c r="B196" s="42" t="n"/>
      <c r="C196" s="16" t="n"/>
      <c r="D196" s="31" t="n"/>
      <c r="E196" s="17">
        <f>D196-E196</f>
        <v/>
      </c>
    </row>
    <row r="197">
      <c r="B197" s="42" t="n"/>
      <c r="C197" s="16" t="n"/>
      <c r="D197" s="31" t="n"/>
      <c r="E197" s="17">
        <f>D197-E197</f>
        <v/>
      </c>
    </row>
    <row r="198">
      <c r="B198" s="42" t="n"/>
      <c r="C198" s="16" t="n"/>
      <c r="D198" s="31" t="n"/>
      <c r="E198" s="17">
        <f>D198-E198</f>
        <v/>
      </c>
    </row>
    <row r="199">
      <c r="B199" s="42" t="n"/>
      <c r="C199" s="16" t="n"/>
      <c r="D199" s="31" t="n"/>
      <c r="E199" s="17">
        <f>D199-E199</f>
        <v/>
      </c>
    </row>
    <row r="200">
      <c r="A200" s="42" t="n"/>
      <c r="B200" s="42" t="n"/>
      <c r="C200" s="55" t="n"/>
      <c r="D200" s="30" t="n"/>
    </row>
    <row r="201">
      <c r="B201" s="42" t="n"/>
      <c r="C201" s="16" t="n"/>
      <c r="D201" s="31" t="n"/>
      <c r="E201" s="17">
        <f>D201-E201</f>
        <v/>
      </c>
    </row>
    <row r="202">
      <c r="B202" s="42" t="n"/>
      <c r="C202" s="16" t="n"/>
      <c r="D202" s="31" t="n"/>
      <c r="E202" s="17">
        <f>D202-E202</f>
        <v/>
      </c>
    </row>
    <row r="203">
      <c r="B203" s="42" t="n"/>
      <c r="C203" s="57" t="n"/>
      <c r="D203" s="58" t="n"/>
      <c r="E203" s="17">
        <f>D203-E203</f>
        <v/>
      </c>
    </row>
    <row r="204">
      <c r="B204" s="42" t="n"/>
      <c r="C204" s="16" t="n"/>
      <c r="D204" s="31" t="n"/>
      <c r="E204" s="17">
        <f>D204-E204</f>
        <v/>
      </c>
    </row>
    <row r="205">
      <c r="B205" s="42" t="n"/>
      <c r="C205" s="16" t="n"/>
      <c r="D205" s="31" t="n"/>
      <c r="E205" s="17">
        <f>D205-E205</f>
        <v/>
      </c>
    </row>
    <row r="206">
      <c r="B206" s="42" t="n"/>
      <c r="C206" s="16" t="n"/>
      <c r="D206" s="31" t="n"/>
      <c r="E206" s="17">
        <f>D206-E206</f>
        <v/>
      </c>
    </row>
    <row r="207">
      <c r="B207" s="42" t="n"/>
      <c r="C207" s="16" t="n"/>
      <c r="D207" s="31" t="n"/>
      <c r="E207" s="17">
        <f>D207-E207</f>
        <v/>
      </c>
    </row>
    <row r="208">
      <c r="B208" s="42" t="n"/>
      <c r="C208" s="16" t="n"/>
      <c r="D208" s="31" t="n"/>
      <c r="E208" s="17">
        <f>D208-E208</f>
        <v/>
      </c>
    </row>
    <row r="209">
      <c r="B209" s="42" t="n"/>
      <c r="C209" s="16" t="n"/>
      <c r="D209" s="31" t="n"/>
      <c r="E209" s="17">
        <f>D209-E209</f>
        <v/>
      </c>
    </row>
    <row r="210">
      <c r="B210" s="42" t="n"/>
      <c r="C210" s="16" t="n"/>
      <c r="D210" s="31" t="n"/>
      <c r="E210" s="17">
        <f>D210-E210</f>
        <v/>
      </c>
    </row>
    <row r="211">
      <c r="A211" s="42" t="n"/>
      <c r="B211" s="42" t="n"/>
      <c r="C211" s="55" t="n"/>
      <c r="D211" s="30" t="n"/>
    </row>
    <row r="212">
      <c r="B212" s="42" t="n"/>
      <c r="C212" s="16" t="n"/>
      <c r="D212" s="31" t="n"/>
      <c r="E212" s="17">
        <f>D212-E212</f>
        <v/>
      </c>
    </row>
    <row r="213">
      <c r="B213" s="42" t="n"/>
      <c r="C213" s="16" t="n"/>
      <c r="D213" s="31" t="n"/>
      <c r="E213" s="17">
        <f>D213-E213</f>
        <v/>
      </c>
    </row>
    <row r="214">
      <c r="B214" s="42" t="n"/>
      <c r="C214" s="57" t="n"/>
      <c r="D214" s="58" t="n"/>
      <c r="E214" s="17">
        <f>D214-E214</f>
        <v/>
      </c>
    </row>
    <row r="215">
      <c r="B215" s="42" t="n"/>
      <c r="C215" s="16" t="n"/>
      <c r="D215" s="31" t="n"/>
      <c r="E215" s="17">
        <f>D215-E215</f>
        <v/>
      </c>
    </row>
    <row r="216">
      <c r="B216" s="42" t="n"/>
      <c r="C216" s="16" t="n"/>
      <c r="D216" s="31" t="n"/>
      <c r="E216" s="17">
        <f>D216-E216</f>
        <v/>
      </c>
    </row>
    <row r="217">
      <c r="B217" s="42" t="n"/>
      <c r="C217" s="16" t="n"/>
      <c r="D217" s="31" t="n"/>
      <c r="E217" s="17">
        <f>D217-E217</f>
        <v/>
      </c>
    </row>
    <row r="218">
      <c r="B218" s="42" t="n"/>
      <c r="C218" s="16" t="n"/>
      <c r="D218" s="31" t="n"/>
      <c r="E218" s="17">
        <f>D218-E218</f>
        <v/>
      </c>
    </row>
    <row r="219">
      <c r="B219" s="42" t="n"/>
      <c r="C219" s="16" t="n"/>
      <c r="D219" s="31" t="n"/>
      <c r="E219" s="17">
        <f>D219-E219</f>
        <v/>
      </c>
    </row>
    <row r="220">
      <c r="B220" s="42" t="n"/>
      <c r="C220" s="16" t="n"/>
      <c r="D220" s="31" t="n"/>
      <c r="E220" s="17">
        <f>D220-E220</f>
        <v/>
      </c>
    </row>
    <row r="221">
      <c r="B221" s="42" t="n"/>
      <c r="C221" s="16" t="n"/>
      <c r="D221" s="31" t="n"/>
      <c r="E221" s="17">
        <f>D221-E221</f>
        <v/>
      </c>
    </row>
    <row r="222">
      <c r="A222" s="42" t="n"/>
      <c r="B222" s="42" t="n"/>
      <c r="C222" s="55" t="n"/>
      <c r="D222" s="30" t="n"/>
    </row>
    <row r="223">
      <c r="B223" s="42" t="n"/>
      <c r="C223" s="16" t="n"/>
      <c r="D223" s="31" t="n"/>
      <c r="E223" s="17">
        <f>D223-E223</f>
        <v/>
      </c>
    </row>
    <row r="224">
      <c r="B224" s="42" t="n"/>
      <c r="C224" s="16" t="n"/>
      <c r="D224" s="31" t="n"/>
      <c r="E224" s="17">
        <f>D224-E224</f>
        <v/>
      </c>
    </row>
    <row r="225">
      <c r="B225" s="42" t="n"/>
      <c r="C225" s="57" t="n"/>
      <c r="D225" s="58" t="n"/>
      <c r="E225" s="17">
        <f>D225-E225</f>
        <v/>
      </c>
    </row>
    <row r="226">
      <c r="B226" s="42" t="n"/>
      <c r="C226" s="16" t="n"/>
      <c r="D226" s="31" t="n"/>
      <c r="E226" s="17">
        <f>D226-E226</f>
        <v/>
      </c>
    </row>
    <row r="227">
      <c r="B227" s="42" t="n"/>
      <c r="C227" s="16" t="n"/>
      <c r="D227" s="31" t="n"/>
      <c r="E227" s="17">
        <f>D227-E227</f>
        <v/>
      </c>
    </row>
    <row r="228">
      <c r="B228" s="42" t="n"/>
      <c r="C228" s="16" t="n"/>
      <c r="D228" s="31" t="n"/>
      <c r="E228" s="17">
        <f>D228-E228</f>
        <v/>
      </c>
    </row>
    <row r="229">
      <c r="B229" s="42" t="n"/>
      <c r="C229" s="16" t="n"/>
      <c r="D229" s="31" t="n"/>
      <c r="E229" s="17">
        <f>D229-E229</f>
        <v/>
      </c>
    </row>
    <row r="230">
      <c r="B230" s="42" t="n"/>
      <c r="C230" s="16" t="n"/>
      <c r="D230" s="31" t="n"/>
      <c r="E230" s="17">
        <f>D230-E230</f>
        <v/>
      </c>
    </row>
    <row r="231">
      <c r="B231" s="42" t="n"/>
      <c r="C231" s="16" t="n"/>
      <c r="D231" s="31" t="n"/>
      <c r="E231" s="17">
        <f>D231-E231</f>
        <v/>
      </c>
    </row>
    <row r="232">
      <c r="B232" s="42" t="n"/>
      <c r="C232" s="16" t="n"/>
      <c r="D232" s="31" t="n"/>
      <c r="E232" s="17">
        <f>D232-E232</f>
        <v/>
      </c>
    </row>
    <row r="233">
      <c r="A233" s="42" t="n"/>
      <c r="B233" s="42" t="n"/>
      <c r="C233" s="55" t="n"/>
      <c r="D233" s="30" t="n"/>
    </row>
    <row r="234">
      <c r="B234" s="42" t="n"/>
      <c r="C234" s="16" t="n"/>
      <c r="D234" s="31" t="n"/>
      <c r="E234" s="17">
        <f>D234-E234</f>
        <v/>
      </c>
    </row>
    <row r="235">
      <c r="B235" s="42" t="n"/>
      <c r="C235" s="16" t="n"/>
      <c r="D235" s="31" t="n"/>
      <c r="E235" s="17">
        <f>D235-E235</f>
        <v/>
      </c>
    </row>
    <row r="236">
      <c r="B236" s="42" t="n"/>
      <c r="C236" s="57" t="n"/>
      <c r="D236" s="58" t="n"/>
      <c r="E236" s="17">
        <f>D236-E236</f>
        <v/>
      </c>
    </row>
    <row r="237">
      <c r="B237" s="42" t="n"/>
      <c r="C237" s="16" t="n"/>
      <c r="D237" s="31" t="n"/>
      <c r="E237" s="17">
        <f>D237-E237</f>
        <v/>
      </c>
    </row>
    <row r="238">
      <c r="B238" s="42" t="n"/>
      <c r="C238" s="16" t="n"/>
      <c r="D238" s="31" t="n"/>
      <c r="E238" s="17">
        <f>D238-E238</f>
        <v/>
      </c>
    </row>
    <row r="239">
      <c r="B239" s="42" t="n"/>
      <c r="C239" s="16" t="n"/>
      <c r="D239" s="31" t="n"/>
      <c r="E239" s="17">
        <f>D239-E239</f>
        <v/>
      </c>
    </row>
    <row r="240">
      <c r="B240" s="42" t="n"/>
      <c r="C240" s="16" t="n"/>
      <c r="D240" s="31" t="n"/>
      <c r="E240" s="17">
        <f>D240-E240</f>
        <v/>
      </c>
    </row>
    <row r="241">
      <c r="B241" s="42" t="n"/>
      <c r="C241" s="16" t="n"/>
      <c r="D241" s="31" t="n"/>
      <c r="E241" s="17">
        <f>D241-E241</f>
        <v/>
      </c>
    </row>
    <row r="242">
      <c r="B242" s="42" t="n"/>
      <c r="C242" s="16" t="n"/>
      <c r="D242" s="31" t="n"/>
      <c r="E242" s="17">
        <f>D242-E242</f>
        <v/>
      </c>
    </row>
    <row r="243">
      <c r="B243" s="42" t="n"/>
      <c r="C243" s="16" t="n"/>
      <c r="D243" s="31" t="n"/>
      <c r="E243" s="17">
        <f>D243-E243</f>
        <v/>
      </c>
    </row>
    <row r="244">
      <c r="A244" s="42" t="n"/>
      <c r="B244" s="42" t="n"/>
      <c r="C244" s="55" t="n"/>
      <c r="D244" s="30" t="n"/>
    </row>
    <row r="245">
      <c r="B245" s="42" t="n"/>
      <c r="C245" s="16" t="n"/>
      <c r="D245" s="31" t="n"/>
      <c r="E245" s="17">
        <f>D245-E245</f>
        <v/>
      </c>
    </row>
    <row r="246">
      <c r="B246" s="42" t="n"/>
      <c r="C246" s="16" t="n"/>
      <c r="D246" s="31" t="n"/>
      <c r="E246" s="17">
        <f>D246-E246</f>
        <v/>
      </c>
    </row>
    <row r="247">
      <c r="B247" s="42" t="n"/>
      <c r="C247" s="57" t="n"/>
      <c r="D247" s="58" t="n"/>
      <c r="E247" s="17">
        <f>D247-E247</f>
        <v/>
      </c>
    </row>
    <row r="248">
      <c r="B248" s="42" t="n"/>
      <c r="C248" s="16" t="n"/>
      <c r="D248" s="31" t="n"/>
      <c r="E248" s="17">
        <f>D248-E248</f>
        <v/>
      </c>
    </row>
    <row r="249">
      <c r="B249" s="42" t="n"/>
      <c r="C249" s="16" t="n"/>
      <c r="D249" s="31" t="n"/>
      <c r="E249" s="17">
        <f>D249-E249</f>
        <v/>
      </c>
    </row>
    <row r="250">
      <c r="B250" s="42" t="n"/>
      <c r="C250" s="16" t="n"/>
      <c r="D250" s="31" t="n"/>
      <c r="E250" s="17">
        <f>D250-E250</f>
        <v/>
      </c>
    </row>
    <row r="251">
      <c r="B251" s="42" t="n"/>
      <c r="C251" s="16" t="n"/>
      <c r="D251" s="31" t="n"/>
      <c r="E251" s="17">
        <f>D251-E251</f>
        <v/>
      </c>
    </row>
    <row r="252">
      <c r="B252" s="42" t="n"/>
      <c r="C252" s="16" t="n"/>
      <c r="D252" s="31" t="n"/>
      <c r="E252" s="17">
        <f>D252-E252</f>
        <v/>
      </c>
    </row>
    <row r="253">
      <c r="B253" s="42" t="n"/>
      <c r="C253" s="16" t="n"/>
      <c r="D253" s="31" t="n"/>
      <c r="E253" s="17">
        <f>D253-E253</f>
        <v/>
      </c>
    </row>
    <row r="254">
      <c r="B254" s="42" t="n"/>
      <c r="C254" s="16" t="n"/>
      <c r="D254" s="31" t="n"/>
      <c r="E254" s="17">
        <f>D254-E254</f>
        <v/>
      </c>
    </row>
    <row r="255">
      <c r="A255" s="42" t="n"/>
      <c r="B255" s="42" t="n"/>
      <c r="C255" s="55" t="n"/>
      <c r="D255" s="30" t="n"/>
    </row>
    <row r="256">
      <c r="B256" s="42" t="n"/>
      <c r="C256" s="16" t="n"/>
      <c r="D256" s="31" t="n"/>
      <c r="E256" s="17">
        <f>D256-E256</f>
        <v/>
      </c>
    </row>
    <row r="257">
      <c r="B257" s="42" t="n"/>
      <c r="C257" s="16" t="n"/>
      <c r="D257" s="31" t="n"/>
      <c r="E257" s="17">
        <f>D257-E257</f>
        <v/>
      </c>
    </row>
    <row r="258">
      <c r="B258" s="42" t="n"/>
      <c r="C258" s="57" t="n"/>
      <c r="D258" s="58" t="n"/>
      <c r="E258" s="17">
        <f>D258-E258</f>
        <v/>
      </c>
    </row>
    <row r="259">
      <c r="B259" s="42" t="n"/>
      <c r="C259" s="16" t="n"/>
      <c r="D259" s="31" t="n"/>
      <c r="E259" s="17">
        <f>D259-E259</f>
        <v/>
      </c>
    </row>
    <row r="260">
      <c r="B260" s="42" t="n"/>
      <c r="C260" s="16" t="n"/>
      <c r="D260" s="31" t="n"/>
      <c r="E260" s="17">
        <f>D260-E260</f>
        <v/>
      </c>
    </row>
    <row r="261">
      <c r="B261" s="42" t="n"/>
      <c r="C261" s="16" t="n"/>
      <c r="D261" s="31" t="n"/>
      <c r="E261" s="17">
        <f>D261-E261</f>
        <v/>
      </c>
    </row>
    <row r="262">
      <c r="B262" s="42" t="n"/>
      <c r="C262" s="16" t="n"/>
      <c r="D262" s="31" t="n"/>
      <c r="E262" s="17">
        <f>D262-E262</f>
        <v/>
      </c>
    </row>
    <row r="263">
      <c r="B263" s="42" t="n"/>
      <c r="C263" s="16" t="n"/>
      <c r="D263" s="31" t="n"/>
      <c r="E263" s="17">
        <f>D263-E263</f>
        <v/>
      </c>
    </row>
    <row r="264">
      <c r="B264" s="42" t="n"/>
      <c r="C264" s="16" t="n"/>
      <c r="D264" s="31" t="n"/>
      <c r="E264" s="17">
        <f>D264-E264</f>
        <v/>
      </c>
    </row>
    <row r="265">
      <c r="B265" s="42" t="n"/>
      <c r="C265" s="16" t="n"/>
      <c r="D265" s="31" t="n"/>
      <c r="E265" s="17">
        <f>D265-E265</f>
        <v/>
      </c>
    </row>
    <row r="266">
      <c r="A266" s="42" t="n"/>
      <c r="B266" s="42" t="n"/>
      <c r="C266" s="55" t="n"/>
      <c r="D266" s="30" t="n"/>
    </row>
    <row r="267">
      <c r="B267" s="42" t="n"/>
      <c r="C267" s="16" t="n"/>
      <c r="D267" s="31" t="n"/>
      <c r="E267" s="17">
        <f>D267-E267</f>
        <v/>
      </c>
    </row>
    <row r="268">
      <c r="B268" s="42" t="n"/>
      <c r="C268" s="16" t="n"/>
      <c r="D268" s="31" t="n"/>
      <c r="E268" s="17">
        <f>D268-E268</f>
        <v/>
      </c>
    </row>
    <row r="269">
      <c r="B269" s="42" t="n"/>
      <c r="C269" s="57" t="n"/>
      <c r="D269" s="58" t="n"/>
      <c r="E269" s="17">
        <f>D269-E269</f>
        <v/>
      </c>
    </row>
    <row r="270">
      <c r="B270" s="42" t="n"/>
      <c r="C270" s="16" t="n"/>
      <c r="D270" s="31" t="n"/>
      <c r="E270" s="17">
        <f>D270-E270</f>
        <v/>
      </c>
    </row>
    <row r="271">
      <c r="B271" s="42" t="n"/>
      <c r="C271" s="16" t="n"/>
      <c r="D271" s="31" t="n"/>
      <c r="E271" s="17">
        <f>D271-E271</f>
        <v/>
      </c>
    </row>
    <row r="272">
      <c r="B272" s="42" t="n"/>
      <c r="C272" s="16" t="n"/>
      <c r="D272" s="31" t="n"/>
      <c r="E272" s="17">
        <f>D272-E272</f>
        <v/>
      </c>
    </row>
    <row r="273">
      <c r="B273" s="42" t="n"/>
      <c r="C273" s="16" t="n"/>
      <c r="D273" s="31" t="n"/>
      <c r="E273" s="17">
        <f>D273-E273</f>
        <v/>
      </c>
    </row>
    <row r="274">
      <c r="B274" s="42" t="n"/>
      <c r="C274" s="16" t="n"/>
      <c r="D274" s="31" t="n"/>
      <c r="E274" s="17">
        <f>D274-E274</f>
        <v/>
      </c>
    </row>
    <row r="275">
      <c r="B275" s="42" t="n"/>
      <c r="C275" s="16" t="n"/>
      <c r="D275" s="31" t="n"/>
      <c r="E275" s="17">
        <f>D275-E275</f>
        <v/>
      </c>
    </row>
    <row r="276">
      <c r="B276" s="42" t="n"/>
      <c r="C276" s="16" t="n"/>
      <c r="D276" s="31" t="n"/>
      <c r="E276" s="17">
        <f>D276-E276</f>
        <v/>
      </c>
    </row>
    <row r="277">
      <c r="A277" s="42" t="n"/>
      <c r="B277" s="42" t="n"/>
      <c r="C277" s="55" t="n"/>
      <c r="D277" s="30" t="n"/>
    </row>
    <row r="278">
      <c r="B278" s="42" t="n"/>
      <c r="C278" s="16" t="n"/>
      <c r="D278" s="31" t="n"/>
      <c r="E278" s="17">
        <f>D278-E278</f>
        <v/>
      </c>
    </row>
    <row r="279">
      <c r="B279" s="42" t="n"/>
      <c r="C279" s="16" t="n"/>
      <c r="D279" s="31" t="n"/>
      <c r="E279" s="17">
        <f>D279-E279</f>
        <v/>
      </c>
    </row>
    <row r="280">
      <c r="B280" s="42" t="n"/>
      <c r="C280" s="57" t="n"/>
      <c r="D280" s="58" t="n"/>
      <c r="E280" s="17">
        <f>D280-E280</f>
        <v/>
      </c>
    </row>
    <row r="281">
      <c r="B281" s="42" t="n"/>
      <c r="C281" s="16" t="n"/>
      <c r="D281" s="31" t="n"/>
      <c r="E281" s="17">
        <f>D281-E281</f>
        <v/>
      </c>
    </row>
    <row r="282">
      <c r="B282" s="42" t="n"/>
      <c r="C282" s="16" t="n"/>
      <c r="D282" s="31" t="n"/>
      <c r="E282" s="17">
        <f>D282-E282</f>
        <v/>
      </c>
    </row>
    <row r="283">
      <c r="B283" s="42" t="n"/>
      <c r="C283" s="16" t="n"/>
      <c r="D283" s="31" t="n"/>
      <c r="E283" s="17">
        <f>D283-E283</f>
        <v/>
      </c>
    </row>
    <row r="284">
      <c r="B284" s="42" t="n"/>
      <c r="C284" s="16" t="n"/>
      <c r="D284" s="31" t="n"/>
      <c r="E284" s="17">
        <f>D284-E284</f>
        <v/>
      </c>
    </row>
    <row r="285">
      <c r="B285" s="42" t="n"/>
      <c r="C285" s="16" t="n"/>
      <c r="D285" s="31" t="n"/>
      <c r="E285" s="17">
        <f>D285-E285</f>
        <v/>
      </c>
    </row>
    <row r="286">
      <c r="B286" s="42" t="n"/>
      <c r="C286" s="16" t="n"/>
      <c r="D286" s="31" t="n"/>
      <c r="E286" s="17">
        <f>D286-E286</f>
        <v/>
      </c>
    </row>
    <row r="287">
      <c r="B287" s="42" t="n"/>
      <c r="C287" s="16" t="n"/>
      <c r="D287" s="31" t="n"/>
      <c r="E287" s="17">
        <f>D287-E287</f>
        <v/>
      </c>
    </row>
    <row r="288">
      <c r="A288" s="42" t="n"/>
      <c r="B288" s="42" t="n"/>
      <c r="C288" s="55" t="n"/>
      <c r="D288" s="30" t="n"/>
    </row>
    <row r="289">
      <c r="B289" s="42" t="n"/>
      <c r="C289" s="16" t="n"/>
      <c r="D289" s="31" t="n"/>
      <c r="E289" s="17">
        <f>D289-E289</f>
        <v/>
      </c>
    </row>
    <row r="290">
      <c r="B290" s="42" t="n"/>
      <c r="C290" s="16" t="n"/>
      <c r="D290" s="31" t="n"/>
      <c r="E290" s="17">
        <f>D290-E290</f>
        <v/>
      </c>
    </row>
    <row r="291">
      <c r="B291" s="42" t="n"/>
      <c r="C291" s="57" t="n"/>
      <c r="D291" s="58" t="n"/>
      <c r="E291" s="17">
        <f>D291-E291</f>
        <v/>
      </c>
    </row>
    <row r="292">
      <c r="B292" s="42" t="n"/>
      <c r="C292" s="16" t="n"/>
      <c r="D292" s="31" t="n"/>
      <c r="E292" s="17">
        <f>D292-E292</f>
        <v/>
      </c>
    </row>
    <row r="293">
      <c r="B293" s="42" t="n"/>
      <c r="C293" s="16" t="n"/>
      <c r="D293" s="31" t="n"/>
      <c r="E293" s="17">
        <f>D293-E293</f>
        <v/>
      </c>
    </row>
    <row r="294">
      <c r="B294" s="42" t="n"/>
      <c r="C294" s="16" t="n"/>
      <c r="D294" s="31" t="n"/>
      <c r="E294" s="17">
        <f>D294-E294</f>
        <v/>
      </c>
    </row>
    <row r="295">
      <c r="B295" s="42" t="n"/>
      <c r="C295" s="16" t="n"/>
      <c r="D295" s="31" t="n"/>
      <c r="E295" s="17">
        <f>D295-E295</f>
        <v/>
      </c>
    </row>
    <row r="296">
      <c r="B296" s="42" t="n"/>
      <c r="C296" s="16" t="n"/>
      <c r="D296" s="31" t="n"/>
      <c r="E296" s="17">
        <f>D296-E296</f>
        <v/>
      </c>
    </row>
    <row r="297">
      <c r="B297" s="42" t="n"/>
      <c r="C297" s="16" t="n"/>
      <c r="D297" s="31" t="n"/>
      <c r="E297" s="17">
        <f>D297-E297</f>
        <v/>
      </c>
    </row>
    <row r="298">
      <c r="B298" s="42" t="n"/>
      <c r="C298" s="16" t="n"/>
      <c r="D298" s="31" t="n"/>
      <c r="E298" s="17">
        <f>D298-E298</f>
        <v/>
      </c>
    </row>
    <row r="299">
      <c r="A299" s="42" t="n"/>
      <c r="B299" s="42" t="n"/>
      <c r="C299" s="55" t="n"/>
      <c r="D299" s="30" t="n"/>
    </row>
    <row r="300">
      <c r="B300" s="42" t="n"/>
      <c r="C300" s="16" t="n"/>
      <c r="D300" s="31" t="n"/>
      <c r="E300" s="17">
        <f>D300-E300</f>
        <v/>
      </c>
    </row>
    <row r="301">
      <c r="B301" s="42" t="n"/>
      <c r="C301" s="16" t="n"/>
      <c r="D301" s="31" t="n"/>
      <c r="E301" s="17">
        <f>D301-E301</f>
        <v/>
      </c>
    </row>
    <row r="302">
      <c r="B302" s="42" t="n"/>
      <c r="C302" s="57" t="n"/>
      <c r="D302" s="58" t="n"/>
      <c r="E302" s="17">
        <f>D302-E302</f>
        <v/>
      </c>
    </row>
    <row r="303">
      <c r="B303" s="42" t="n"/>
      <c r="C303" s="16" t="n"/>
      <c r="D303" s="31" t="n"/>
      <c r="E303" s="17">
        <f>D303-E303</f>
        <v/>
      </c>
    </row>
    <row r="304">
      <c r="B304" s="42" t="n"/>
      <c r="C304" s="16" t="n"/>
      <c r="D304" s="31" t="n"/>
      <c r="E304" s="17">
        <f>D304-E304</f>
        <v/>
      </c>
    </row>
    <row r="305">
      <c r="B305" s="42" t="n"/>
      <c r="C305" s="16" t="n"/>
      <c r="D305" s="31" t="n"/>
      <c r="E305" s="17">
        <f>D305-E305</f>
        <v/>
      </c>
    </row>
    <row r="306">
      <c r="B306" s="42" t="n"/>
      <c r="C306" s="16" t="n"/>
      <c r="D306" s="31" t="n"/>
      <c r="E306" s="17">
        <f>D306-E306</f>
        <v/>
      </c>
    </row>
    <row r="307">
      <c r="B307" s="42" t="n"/>
      <c r="C307" s="16" t="n"/>
      <c r="D307" s="31" t="n"/>
      <c r="E307" s="17">
        <f>D307-E307</f>
        <v/>
      </c>
    </row>
    <row r="308">
      <c r="B308" s="42" t="n"/>
      <c r="C308" s="16" t="n"/>
      <c r="D308" s="31" t="n"/>
      <c r="E308" s="17">
        <f>D308-E308</f>
        <v/>
      </c>
    </row>
    <row r="309">
      <c r="B309" s="42" t="n"/>
      <c r="C309" s="16" t="n"/>
      <c r="D309" s="31" t="n"/>
      <c r="E309" s="17">
        <f>D309-E309</f>
        <v/>
      </c>
    </row>
    <row r="310">
      <c r="A310" s="42" t="n"/>
      <c r="B310" s="42" t="n"/>
      <c r="C310" s="55" t="n"/>
      <c r="D310" s="42" t="n"/>
    </row>
    <row r="311">
      <c r="B311" s="42" t="n"/>
      <c r="C311" s="16" t="n"/>
      <c r="D311" s="31" t="n"/>
      <c r="E311" s="17">
        <f>D311-E311</f>
        <v/>
      </c>
    </row>
    <row r="312">
      <c r="B312" s="42" t="n"/>
      <c r="C312" s="16" t="n"/>
      <c r="D312" s="31" t="n"/>
      <c r="E312" s="17">
        <f>D312-E312</f>
        <v/>
      </c>
    </row>
    <row r="313">
      <c r="B313" s="42" t="n"/>
      <c r="C313" s="57" t="n"/>
      <c r="D313" s="58" t="n"/>
      <c r="E313" s="17">
        <f>D313-E313</f>
        <v/>
      </c>
    </row>
    <row r="314">
      <c r="B314" s="42" t="n"/>
      <c r="C314" s="16" t="n"/>
      <c r="D314" s="31" t="n"/>
      <c r="E314" s="17">
        <f>D314-E314</f>
        <v/>
      </c>
    </row>
    <row r="315">
      <c r="B315" s="42" t="n"/>
      <c r="C315" s="16" t="n"/>
      <c r="D315" s="31" t="n"/>
      <c r="E315" s="17">
        <f>D315-E315</f>
        <v/>
      </c>
    </row>
    <row r="316">
      <c r="B316" s="42" t="n"/>
      <c r="C316" s="16" t="n"/>
      <c r="D316" s="31" t="n"/>
      <c r="E316" s="17">
        <f>D316-E316</f>
        <v/>
      </c>
    </row>
    <row r="317">
      <c r="B317" s="42" t="n"/>
      <c r="C317" s="16" t="n"/>
      <c r="D317" s="31" t="n"/>
      <c r="E317" s="17">
        <f>D317-E317</f>
        <v/>
      </c>
    </row>
    <row r="318">
      <c r="B318" s="42" t="n"/>
      <c r="C318" s="16" t="n"/>
      <c r="D318" s="31" t="n"/>
      <c r="E318" s="17">
        <f>D318-E318</f>
        <v/>
      </c>
    </row>
    <row r="319">
      <c r="B319" s="42" t="n"/>
      <c r="C319" s="16" t="n"/>
      <c r="D319" s="31" t="n"/>
      <c r="E319" s="17">
        <f>D319-E319</f>
        <v/>
      </c>
    </row>
    <row r="320">
      <c r="B320" s="42" t="n"/>
      <c r="C320" s="16" t="n"/>
      <c r="D320" s="31" t="n"/>
      <c r="E320" s="17">
        <f>D320-E320</f>
        <v/>
      </c>
    </row>
    <row r="321">
      <c r="A321" s="42" t="n"/>
      <c r="B321" s="42" t="n"/>
      <c r="C321" s="55" t="n"/>
      <c r="D321" s="30" t="n"/>
    </row>
    <row r="322">
      <c r="B322" s="42" t="n"/>
      <c r="C322" s="16" t="n"/>
      <c r="D322" s="31" t="n"/>
      <c r="E322" s="17">
        <f>D322-E322</f>
        <v/>
      </c>
    </row>
    <row r="323">
      <c r="B323" s="42" t="n"/>
      <c r="C323" s="16" t="n"/>
      <c r="D323" s="31" t="n"/>
      <c r="E323" s="17">
        <f>D323-E323</f>
        <v/>
      </c>
    </row>
    <row r="324">
      <c r="B324" s="42" t="n"/>
      <c r="C324" s="57" t="n"/>
      <c r="D324" s="58" t="n"/>
      <c r="E324" s="17">
        <f>D324-E324</f>
        <v/>
      </c>
    </row>
    <row r="325">
      <c r="B325" s="42" t="n"/>
      <c r="C325" s="16" t="n"/>
      <c r="D325" s="31" t="n"/>
      <c r="E325" s="17">
        <f>D325-E325</f>
        <v/>
      </c>
    </row>
    <row r="326">
      <c r="B326" s="42" t="n"/>
      <c r="C326" s="16" t="n"/>
      <c r="D326" s="31" t="n"/>
      <c r="E326" s="17">
        <f>D326-E326</f>
        <v/>
      </c>
    </row>
    <row r="327">
      <c r="B327" s="42" t="n"/>
      <c r="C327" s="16" t="n"/>
      <c r="D327" s="31" t="n"/>
      <c r="E327" s="17">
        <f>D327-E327</f>
        <v/>
      </c>
    </row>
    <row r="328">
      <c r="B328" s="42" t="n"/>
      <c r="C328" s="16" t="n"/>
      <c r="D328" s="31" t="n"/>
      <c r="E328" s="17">
        <f>D328-E328</f>
        <v/>
      </c>
    </row>
    <row r="329">
      <c r="B329" s="42" t="n"/>
      <c r="C329" s="16" t="n"/>
      <c r="D329" s="31" t="n"/>
      <c r="E329" s="17">
        <f>D329-E329</f>
        <v/>
      </c>
    </row>
    <row r="330">
      <c r="B330" s="42" t="n"/>
      <c r="C330" s="16" t="n"/>
      <c r="D330" s="31" t="n"/>
      <c r="E330" s="17">
        <f>D330-E330</f>
        <v/>
      </c>
    </row>
    <row r="331">
      <c r="B331" s="42" t="n"/>
      <c r="C331" s="16" t="n"/>
      <c r="D331" s="31" t="n"/>
      <c r="E331" s="17">
        <f>D331-E331</f>
        <v/>
      </c>
    </row>
    <row r="332">
      <c r="A332" s="42" t="n"/>
      <c r="B332" s="42" t="n"/>
      <c r="C332" s="55" t="n"/>
      <c r="D332" s="30" t="n"/>
    </row>
    <row r="333">
      <c r="B333" s="42" t="n"/>
      <c r="C333" s="16" t="n"/>
      <c r="D333" s="31" t="n"/>
      <c r="E333" s="17">
        <f>D333-E333</f>
        <v/>
      </c>
    </row>
    <row r="334">
      <c r="B334" s="42" t="n"/>
      <c r="C334" s="16" t="n"/>
      <c r="D334" s="31" t="n"/>
      <c r="E334" s="17">
        <f>D334-E334</f>
        <v/>
      </c>
    </row>
    <row r="335">
      <c r="B335" s="42" t="n"/>
      <c r="C335" s="57" t="n"/>
      <c r="D335" s="58" t="n"/>
      <c r="E335" s="17">
        <f>D335-E335</f>
        <v/>
      </c>
    </row>
    <row r="336">
      <c r="B336" s="42" t="n"/>
      <c r="C336" s="16" t="n"/>
      <c r="D336" s="31" t="n"/>
      <c r="E336" s="17">
        <f>D336-E336</f>
        <v/>
      </c>
    </row>
    <row r="337">
      <c r="B337" s="42" t="n"/>
      <c r="C337" s="16" t="n"/>
      <c r="D337" s="31" t="n"/>
      <c r="E337" s="17">
        <f>D337-E337</f>
        <v/>
      </c>
    </row>
    <row r="338">
      <c r="B338" s="42" t="n"/>
      <c r="C338" s="16" t="n"/>
      <c r="D338" s="31" t="n"/>
      <c r="E338" s="17">
        <f>D338-E338</f>
        <v/>
      </c>
    </row>
    <row r="339">
      <c r="B339" s="42" t="n"/>
      <c r="C339" s="16" t="n"/>
      <c r="D339" s="31" t="n"/>
      <c r="E339" s="17">
        <f>D339-E339</f>
        <v/>
      </c>
    </row>
    <row r="340">
      <c r="B340" s="42" t="n"/>
      <c r="C340" s="16" t="n"/>
      <c r="D340" s="31" t="n"/>
      <c r="E340" s="17">
        <f>D340-E340</f>
        <v/>
      </c>
    </row>
    <row r="341">
      <c r="B341" s="42" t="n"/>
      <c r="C341" s="16" t="n"/>
      <c r="D341" s="31" t="n"/>
      <c r="E341" s="17">
        <f>D341-E341</f>
        <v/>
      </c>
    </row>
    <row r="342">
      <c r="B342" s="42" t="n"/>
      <c r="C342" s="16" t="n"/>
      <c r="D342" s="31" t="n"/>
      <c r="E342" s="17">
        <f>D342-E342</f>
        <v/>
      </c>
    </row>
    <row r="343">
      <c r="A343" s="42" t="n"/>
      <c r="B343" s="42" t="n"/>
      <c r="C343" s="55" t="n"/>
      <c r="D343" s="30" t="n"/>
    </row>
    <row r="344">
      <c r="B344" s="42" t="n"/>
      <c r="C344" s="16" t="n"/>
      <c r="D344" s="31" t="n"/>
      <c r="E344" s="17">
        <f>D344-E344</f>
        <v/>
      </c>
    </row>
    <row r="345">
      <c r="B345" s="42" t="n"/>
      <c r="C345" s="16" t="n"/>
      <c r="D345" s="31" t="n"/>
      <c r="E345" s="17">
        <f>D345-E345</f>
        <v/>
      </c>
    </row>
    <row r="346">
      <c r="B346" s="42" t="n"/>
      <c r="C346" s="57" t="n"/>
      <c r="D346" s="58" t="n"/>
      <c r="E346" s="17">
        <f>D346-E346</f>
        <v/>
      </c>
    </row>
    <row r="347">
      <c r="B347" s="42" t="n"/>
      <c r="C347" s="16" t="n"/>
      <c r="D347" s="31" t="n"/>
      <c r="E347" s="17">
        <f>D347-E347</f>
        <v/>
      </c>
    </row>
    <row r="348">
      <c r="B348" s="42" t="n"/>
      <c r="C348" s="16" t="n"/>
      <c r="D348" s="31" t="n"/>
      <c r="E348" s="17">
        <f>D348-E348</f>
        <v/>
      </c>
    </row>
    <row r="349">
      <c r="B349" s="42" t="n"/>
      <c r="C349" s="16" t="n"/>
      <c r="D349" s="31" t="n"/>
      <c r="E349" s="17">
        <f>D349-E349</f>
        <v/>
      </c>
    </row>
    <row r="350">
      <c r="B350" s="42" t="n"/>
      <c r="C350" s="16" t="n"/>
      <c r="D350" s="31" t="n"/>
      <c r="E350" s="17">
        <f>D350-E350</f>
        <v/>
      </c>
    </row>
    <row r="351">
      <c r="B351" s="42" t="n"/>
      <c r="C351" s="16" t="n"/>
      <c r="D351" s="31" t="n"/>
      <c r="E351" s="17">
        <f>D351-E351</f>
        <v/>
      </c>
    </row>
    <row r="352">
      <c r="B352" s="42" t="n"/>
      <c r="C352" s="16" t="n"/>
      <c r="D352" s="31" t="n"/>
      <c r="E352" s="17">
        <f>D352-E352</f>
        <v/>
      </c>
    </row>
    <row r="353">
      <c r="B353" s="42" t="n"/>
      <c r="C353" s="16" t="n"/>
      <c r="D353" s="31" t="n"/>
      <c r="E353" s="17">
        <f>D353-E353</f>
        <v/>
      </c>
    </row>
    <row r="354">
      <c r="A354" s="42" t="n"/>
      <c r="B354" s="42" t="n"/>
      <c r="C354" s="55" t="n"/>
      <c r="D354" s="30" t="n"/>
    </row>
    <row r="355">
      <c r="B355" s="42" t="n"/>
      <c r="C355" s="16" t="n"/>
      <c r="D355" s="31" t="n"/>
      <c r="E355" s="17">
        <f>D355-E355</f>
        <v/>
      </c>
    </row>
    <row r="356">
      <c r="B356" s="42" t="n"/>
      <c r="C356" s="16" t="n"/>
      <c r="D356" s="31" t="n"/>
      <c r="E356" s="17">
        <f>D356-E356</f>
        <v/>
      </c>
    </row>
    <row r="357">
      <c r="B357" s="42" t="n"/>
      <c r="C357" s="57" t="n"/>
      <c r="D357" s="58" t="n"/>
      <c r="E357" s="17">
        <f>D357-E357</f>
        <v/>
      </c>
    </row>
    <row r="358">
      <c r="B358" s="42" t="n"/>
      <c r="C358" s="16" t="n"/>
      <c r="D358" s="31" t="n"/>
      <c r="E358" s="17">
        <f>D358-E358</f>
        <v/>
      </c>
    </row>
    <row r="359">
      <c r="B359" s="42" t="n"/>
      <c r="C359" s="16" t="n"/>
      <c r="D359" s="31" t="n"/>
      <c r="E359" s="17">
        <f>D359-E359</f>
        <v/>
      </c>
    </row>
    <row r="360">
      <c r="B360" s="42" t="n"/>
      <c r="C360" s="16" t="n"/>
      <c r="D360" s="31" t="n"/>
      <c r="E360" s="17">
        <f>D360-E360</f>
        <v/>
      </c>
    </row>
    <row r="361">
      <c r="B361" s="42" t="n"/>
      <c r="C361" s="16" t="n"/>
      <c r="D361" s="31" t="n"/>
      <c r="E361" s="17">
        <f>D361-E361</f>
        <v/>
      </c>
    </row>
    <row r="362">
      <c r="B362" s="42" t="n"/>
      <c r="C362" s="16" t="n"/>
      <c r="D362" s="31" t="n"/>
      <c r="E362" s="17">
        <f>D362-E362</f>
        <v/>
      </c>
    </row>
    <row r="363">
      <c r="B363" s="42" t="n"/>
      <c r="C363" s="16" t="n"/>
      <c r="D363" s="31" t="n"/>
      <c r="E363" s="17">
        <f>D363-E363</f>
        <v/>
      </c>
    </row>
    <row r="364">
      <c r="B364" s="42" t="n"/>
      <c r="C364" s="16" t="n"/>
      <c r="D364" s="31" t="n"/>
      <c r="E364" s="17">
        <f>D364-E364</f>
        <v/>
      </c>
    </row>
    <row r="365">
      <c r="A365" s="42" t="n"/>
      <c r="B365" s="42" t="n"/>
      <c r="C365" s="55" t="n"/>
      <c r="D365" s="30" t="n"/>
    </row>
    <row r="366">
      <c r="B366" s="42" t="n"/>
      <c r="C366" s="16" t="n"/>
      <c r="D366" s="31" t="n"/>
      <c r="E366" s="17">
        <f>D366-E366</f>
        <v/>
      </c>
    </row>
    <row r="367">
      <c r="B367" s="42" t="n"/>
      <c r="C367" s="16" t="n"/>
      <c r="D367" s="31" t="n"/>
      <c r="E367" s="17">
        <f>D367-E367</f>
        <v/>
      </c>
    </row>
    <row r="368">
      <c r="B368" s="42" t="n"/>
      <c r="C368" s="57" t="n"/>
      <c r="D368" s="58" t="n"/>
      <c r="E368" s="17">
        <f>D368-E368</f>
        <v/>
      </c>
    </row>
    <row r="369">
      <c r="B369" s="42" t="n"/>
      <c r="C369" s="16" t="n"/>
      <c r="D369" s="31" t="n"/>
      <c r="E369" s="17">
        <f>D369-E369</f>
        <v/>
      </c>
    </row>
    <row r="370">
      <c r="B370" s="42" t="n"/>
      <c r="C370" s="16" t="n"/>
      <c r="D370" s="31" t="n"/>
      <c r="E370" s="17">
        <f>D370-E370</f>
        <v/>
      </c>
    </row>
    <row r="371">
      <c r="B371" s="42" t="n"/>
      <c r="C371" s="16" t="n"/>
      <c r="D371" s="31" t="n"/>
      <c r="E371" s="17">
        <f>D371-E371</f>
        <v/>
      </c>
    </row>
    <row r="372">
      <c r="B372" s="42" t="n"/>
      <c r="C372" s="16" t="n"/>
      <c r="D372" s="31" t="n"/>
      <c r="E372" s="17">
        <f>D372-E372</f>
        <v/>
      </c>
    </row>
    <row r="373">
      <c r="B373" s="42" t="n"/>
      <c r="C373" s="16" t="n"/>
      <c r="D373" s="31" t="n"/>
      <c r="E373" s="17">
        <f>D373-E373</f>
        <v/>
      </c>
    </row>
    <row r="374">
      <c r="B374" s="42" t="n"/>
      <c r="C374" s="16" t="n"/>
      <c r="D374" s="31" t="n"/>
      <c r="E374" s="17">
        <f>D374-E374</f>
        <v/>
      </c>
    </row>
    <row r="375">
      <c r="B375" s="42" t="n"/>
      <c r="C375" s="16" t="n"/>
      <c r="D375" s="31" t="n"/>
      <c r="E375" s="17">
        <f>D375-E375</f>
        <v/>
      </c>
    </row>
    <row r="376">
      <c r="A376" s="42" t="n"/>
      <c r="B376" s="42" t="n"/>
      <c r="C376" s="55" t="n"/>
      <c r="D376" s="30" t="n"/>
    </row>
    <row r="377">
      <c r="B377" s="42" t="n"/>
      <c r="C377" s="16" t="n"/>
      <c r="D377" s="31" t="n"/>
      <c r="E377" s="17">
        <f>D377-E377</f>
        <v/>
      </c>
    </row>
    <row r="378">
      <c r="B378" s="42" t="n"/>
      <c r="C378" s="16" t="n"/>
      <c r="D378" s="31" t="n"/>
      <c r="E378" s="17">
        <f>D378-E378</f>
        <v/>
      </c>
    </row>
    <row r="379">
      <c r="B379" s="42" t="n"/>
      <c r="C379" s="57" t="n"/>
      <c r="D379" s="58" t="n"/>
      <c r="E379" s="17">
        <f>D379-E379</f>
        <v/>
      </c>
    </row>
    <row r="380">
      <c r="B380" s="42" t="n"/>
      <c r="C380" s="16" t="n"/>
      <c r="D380" s="31" t="n"/>
      <c r="E380" s="17">
        <f>D380-E380</f>
        <v/>
      </c>
    </row>
    <row r="381">
      <c r="B381" s="42" t="n"/>
      <c r="C381" s="16" t="n"/>
      <c r="D381" s="31" t="n"/>
      <c r="E381" s="17">
        <f>D381-E381</f>
        <v/>
      </c>
    </row>
    <row r="382">
      <c r="B382" s="42" t="n"/>
      <c r="C382" s="16" t="n"/>
      <c r="D382" s="31" t="n"/>
      <c r="E382" s="17">
        <f>D382-E382</f>
        <v/>
      </c>
    </row>
    <row r="383">
      <c r="B383" s="42" t="n"/>
      <c r="C383" s="16" t="n"/>
      <c r="D383" s="31" t="n"/>
      <c r="E383" s="17">
        <f>D383-E383</f>
        <v/>
      </c>
    </row>
    <row r="384">
      <c r="B384" s="42" t="n"/>
      <c r="C384" s="16" t="n"/>
      <c r="D384" s="31" t="n"/>
      <c r="E384" s="17">
        <f>D384-E384</f>
        <v/>
      </c>
    </row>
    <row r="385">
      <c r="B385" s="42" t="n"/>
      <c r="C385" s="16" t="n"/>
      <c r="D385" s="31" t="n"/>
      <c r="E385" s="17">
        <f>D385-E385</f>
        <v/>
      </c>
    </row>
    <row r="386">
      <c r="B386" s="42" t="n"/>
      <c r="C386" s="16" t="n"/>
      <c r="D386" s="31" t="n"/>
      <c r="E386" s="17">
        <f>D386-E386</f>
        <v/>
      </c>
    </row>
    <row r="387">
      <c r="A387" s="42" t="n"/>
      <c r="B387" s="42" t="n"/>
      <c r="C387" s="55" t="n"/>
      <c r="D387" s="30" t="n"/>
    </row>
    <row r="388">
      <c r="B388" s="42" t="n"/>
      <c r="C388" s="16" t="n"/>
      <c r="D388" s="31" t="n"/>
      <c r="E388" s="17">
        <f>D388-E388</f>
        <v/>
      </c>
    </row>
    <row r="389">
      <c r="B389" s="42" t="n"/>
      <c r="C389" s="16" t="n"/>
      <c r="D389" s="31" t="n"/>
      <c r="E389" s="17">
        <f>D389-E389</f>
        <v/>
      </c>
    </row>
    <row r="390">
      <c r="B390" s="42" t="n"/>
      <c r="C390" s="57" t="n"/>
      <c r="D390" s="58" t="n"/>
      <c r="E390" s="17">
        <f>D390-E390</f>
        <v/>
      </c>
    </row>
    <row r="391">
      <c r="B391" s="42" t="n"/>
      <c r="C391" s="16" t="n"/>
      <c r="D391" s="31" t="n"/>
      <c r="E391" s="17">
        <f>D391-E391</f>
        <v/>
      </c>
    </row>
    <row r="392">
      <c r="B392" s="42" t="n"/>
      <c r="C392" s="16" t="n"/>
      <c r="D392" s="31" t="n"/>
      <c r="E392" s="17">
        <f>D392-E392</f>
        <v/>
      </c>
    </row>
    <row r="393">
      <c r="B393" s="42" t="n"/>
      <c r="C393" s="16" t="n"/>
      <c r="D393" s="31" t="n"/>
      <c r="E393" s="17">
        <f>D393-E393</f>
        <v/>
      </c>
    </row>
    <row r="394">
      <c r="B394" s="42" t="n"/>
      <c r="C394" s="16" t="n"/>
      <c r="D394" s="31" t="n"/>
      <c r="E394" s="17">
        <f>D394-E394</f>
        <v/>
      </c>
    </row>
    <row r="395">
      <c r="B395" s="42" t="n"/>
      <c r="C395" s="16" t="n"/>
      <c r="D395" s="31" t="n"/>
      <c r="E395" s="17">
        <f>D395-E395</f>
        <v/>
      </c>
    </row>
    <row r="396">
      <c r="B396" s="42" t="n"/>
      <c r="C396" s="16" t="n"/>
      <c r="D396" s="31" t="n"/>
      <c r="E396" s="17">
        <f>D396-E396</f>
        <v/>
      </c>
    </row>
    <row r="397">
      <c r="B397" s="42" t="n"/>
      <c r="C397" s="16" t="n"/>
      <c r="D397" s="31" t="n"/>
      <c r="E397" s="17">
        <f>D397-E397</f>
        <v/>
      </c>
    </row>
    <row r="398">
      <c r="A398" s="42" t="n"/>
      <c r="B398" s="42" t="n"/>
      <c r="C398" s="55" t="n"/>
      <c r="D398" s="30" t="n"/>
    </row>
    <row r="399">
      <c r="B399" s="42" t="n"/>
      <c r="C399" s="16" t="n"/>
      <c r="D399" s="31" t="n"/>
      <c r="E399" s="17">
        <f>D399-E399</f>
        <v/>
      </c>
    </row>
    <row r="400">
      <c r="B400" s="42" t="n"/>
      <c r="C400" s="16" t="n"/>
      <c r="D400" s="31" t="n"/>
      <c r="E400" s="17">
        <f>D400-E400</f>
        <v/>
      </c>
    </row>
    <row r="401">
      <c r="B401" s="42" t="n"/>
      <c r="C401" s="57" t="n"/>
      <c r="D401" s="58" t="n"/>
      <c r="E401" s="17">
        <f>D401-E401</f>
        <v/>
      </c>
    </row>
    <row r="402">
      <c r="B402" s="42" t="n"/>
      <c r="C402" s="16" t="n"/>
      <c r="D402" s="31" t="n"/>
      <c r="E402" s="17">
        <f>D402-E402</f>
        <v/>
      </c>
    </row>
    <row r="403">
      <c r="B403" s="42" t="n"/>
      <c r="C403" s="16" t="n"/>
      <c r="D403" s="31" t="n"/>
      <c r="E403" s="17">
        <f>D403-E403</f>
        <v/>
      </c>
    </row>
    <row r="404">
      <c r="B404" s="42" t="n"/>
      <c r="C404" s="16" t="n"/>
      <c r="D404" s="31" t="n"/>
      <c r="E404" s="17">
        <f>D404-E404</f>
        <v/>
      </c>
    </row>
    <row r="405">
      <c r="B405" s="42" t="n"/>
      <c r="C405" s="16" t="n"/>
      <c r="D405" s="31" t="n"/>
      <c r="E405" s="17">
        <f>D405-E405</f>
        <v/>
      </c>
    </row>
    <row r="406">
      <c r="B406" s="42" t="n"/>
      <c r="C406" s="16" t="n"/>
      <c r="D406" s="31" t="n"/>
      <c r="E406" s="17">
        <f>D406-E406</f>
        <v/>
      </c>
    </row>
    <row r="407">
      <c r="B407" s="42" t="n"/>
      <c r="C407" s="16" t="n"/>
      <c r="D407" s="31" t="n"/>
      <c r="E407" s="17">
        <f>D407-E407</f>
        <v/>
      </c>
    </row>
    <row r="408">
      <c r="B408" s="42" t="n"/>
      <c r="C408" s="16" t="n"/>
      <c r="D408" s="31" t="n"/>
      <c r="E408" s="17">
        <f>D408-E408</f>
        <v/>
      </c>
    </row>
    <row r="409">
      <c r="A409" s="42" t="n"/>
      <c r="B409" s="42" t="n"/>
      <c r="C409" s="55" t="n"/>
      <c r="D409" s="30" t="n"/>
    </row>
    <row r="410">
      <c r="B410" s="42" t="n"/>
      <c r="C410" s="16" t="n"/>
      <c r="D410" s="31" t="n"/>
      <c r="E410" s="17">
        <f>D410-E410</f>
        <v/>
      </c>
    </row>
    <row r="411">
      <c r="B411" s="42" t="n"/>
      <c r="C411" s="16" t="n"/>
      <c r="D411" s="31" t="n"/>
      <c r="E411" s="17">
        <f>D411-E411</f>
        <v/>
      </c>
    </row>
    <row r="412">
      <c r="B412" s="42" t="n"/>
      <c r="C412" s="57" t="n"/>
      <c r="D412" s="58" t="n"/>
      <c r="E412" s="17">
        <f>D412-E412</f>
        <v/>
      </c>
    </row>
    <row r="413">
      <c r="B413" s="42" t="n"/>
      <c r="C413" s="16" t="n"/>
      <c r="D413" s="31" t="n"/>
      <c r="E413" s="17">
        <f>D413-E413</f>
        <v/>
      </c>
    </row>
    <row r="414">
      <c r="B414" s="42" t="n"/>
      <c r="C414" s="16" t="n"/>
      <c r="D414" s="31" t="n"/>
      <c r="E414" s="17">
        <f>D414-E414</f>
        <v/>
      </c>
    </row>
    <row r="415">
      <c r="B415" s="42" t="n"/>
      <c r="C415" s="16" t="n"/>
      <c r="D415" s="31" t="n"/>
      <c r="E415" s="17">
        <f>D415-E415</f>
        <v/>
      </c>
    </row>
    <row r="416">
      <c r="B416" s="42" t="n"/>
      <c r="C416" s="16" t="n"/>
      <c r="D416" s="31" t="n"/>
      <c r="E416" s="17">
        <f>D416-E416</f>
        <v/>
      </c>
    </row>
    <row r="417">
      <c r="B417" s="42" t="n"/>
      <c r="C417" s="16" t="n"/>
      <c r="D417" s="31" t="n"/>
      <c r="E417" s="17">
        <f>D417-E417</f>
        <v/>
      </c>
    </row>
    <row r="418">
      <c r="B418" s="42" t="n"/>
      <c r="C418" s="16" t="n"/>
      <c r="D418" s="31" t="n"/>
      <c r="E418" s="17">
        <f>D418-E418</f>
        <v/>
      </c>
    </row>
    <row r="419">
      <c r="B419" s="42" t="n"/>
      <c r="C419" s="16" t="n"/>
      <c r="D419" s="31" t="n"/>
      <c r="E419" s="17">
        <f>D419-E419</f>
        <v/>
      </c>
    </row>
    <row r="420">
      <c r="A420" s="42" t="n"/>
      <c r="B420" s="42" t="n"/>
      <c r="C420" s="55" t="n"/>
      <c r="D420" s="30" t="n"/>
    </row>
    <row r="421">
      <c r="B421" s="42" t="n"/>
      <c r="C421" s="16" t="n"/>
      <c r="D421" s="31" t="n"/>
      <c r="E421" s="17">
        <f>D421-E421</f>
        <v/>
      </c>
    </row>
    <row r="422">
      <c r="B422" s="42" t="n"/>
      <c r="C422" s="16" t="n"/>
      <c r="D422" s="31" t="n"/>
      <c r="E422" s="17">
        <f>D422-E422</f>
        <v/>
      </c>
    </row>
    <row r="423">
      <c r="B423" s="42" t="n"/>
      <c r="C423" s="57" t="n"/>
      <c r="D423" s="58" t="n"/>
      <c r="E423" s="17">
        <f>D423-E423</f>
        <v/>
      </c>
    </row>
    <row r="424">
      <c r="B424" s="42" t="n"/>
      <c r="C424" s="16" t="n"/>
      <c r="D424" s="31" t="n"/>
      <c r="E424" s="17">
        <f>D424-E424</f>
        <v/>
      </c>
    </row>
    <row r="425">
      <c r="B425" s="42" t="n"/>
      <c r="C425" s="16" t="n"/>
      <c r="D425" s="31" t="n"/>
      <c r="E425" s="17">
        <f>D425-E425</f>
        <v/>
      </c>
    </row>
    <row r="426">
      <c r="B426" s="42" t="n"/>
      <c r="C426" s="16" t="n"/>
      <c r="D426" s="31" t="n"/>
      <c r="E426" s="17">
        <f>D426-E426</f>
        <v/>
      </c>
    </row>
    <row r="427">
      <c r="B427" s="42" t="n"/>
      <c r="C427" s="16" t="n"/>
      <c r="D427" s="31" t="n"/>
      <c r="E427" s="17">
        <f>D427-E427</f>
        <v/>
      </c>
    </row>
    <row r="428">
      <c r="B428" s="42" t="n"/>
      <c r="C428" s="16" t="n"/>
      <c r="D428" s="31" t="n"/>
      <c r="E428" s="17">
        <f>D428-E428</f>
        <v/>
      </c>
    </row>
    <row r="429">
      <c r="B429" s="42" t="n"/>
      <c r="C429" s="16" t="n"/>
      <c r="D429" s="31" t="n"/>
      <c r="E429" s="17">
        <f>D429-E429</f>
        <v/>
      </c>
    </row>
    <row r="430">
      <c r="B430" s="42" t="n"/>
      <c r="C430" s="16" t="n"/>
      <c r="D430" s="31" t="n"/>
      <c r="E430" s="17">
        <f>D430-E430</f>
        <v/>
      </c>
    </row>
    <row r="431">
      <c r="A431" s="42" t="n"/>
      <c r="B431" s="42" t="n"/>
      <c r="C431" s="55" t="n"/>
      <c r="D431" s="30" t="n"/>
    </row>
    <row r="432">
      <c r="B432" s="42" t="n"/>
      <c r="C432" s="16" t="n"/>
      <c r="D432" s="31" t="n"/>
      <c r="E432" s="17">
        <f>D432-E432</f>
        <v/>
      </c>
    </row>
    <row r="433">
      <c r="B433" s="42" t="n"/>
      <c r="C433" s="16" t="n"/>
      <c r="D433" s="31" t="n"/>
      <c r="E433" s="17">
        <f>D433-E433</f>
        <v/>
      </c>
    </row>
    <row r="434">
      <c r="B434" s="42" t="n"/>
      <c r="C434" s="57" t="n"/>
      <c r="D434" s="58" t="n"/>
      <c r="E434" s="17">
        <f>D434-E434</f>
        <v/>
      </c>
    </row>
    <row r="435">
      <c r="B435" s="42" t="n"/>
      <c r="C435" s="16" t="n"/>
      <c r="D435" s="31" t="n"/>
      <c r="E435" s="17">
        <f>D435-E435</f>
        <v/>
      </c>
    </row>
    <row r="436">
      <c r="B436" s="42" t="n"/>
      <c r="C436" s="16" t="n"/>
      <c r="D436" s="31" t="n"/>
      <c r="E436" s="17">
        <f>D436-E436</f>
        <v/>
      </c>
    </row>
    <row r="437">
      <c r="B437" s="42" t="n"/>
      <c r="C437" s="16" t="n"/>
      <c r="D437" s="31" t="n"/>
      <c r="E437" s="17">
        <f>D437-E437</f>
        <v/>
      </c>
    </row>
    <row r="438">
      <c r="B438" s="42" t="n"/>
      <c r="C438" s="16" t="n"/>
      <c r="D438" s="31" t="n"/>
      <c r="E438" s="17">
        <f>D438-E438</f>
        <v/>
      </c>
    </row>
    <row r="439">
      <c r="B439" s="42" t="n"/>
      <c r="C439" s="16" t="n"/>
      <c r="D439" s="31" t="n"/>
      <c r="E439" s="17">
        <f>D439-E439</f>
        <v/>
      </c>
    </row>
    <row r="440">
      <c r="B440" s="42" t="n"/>
      <c r="C440" s="16" t="n"/>
      <c r="D440" s="31" t="n"/>
      <c r="E440" s="17">
        <f>D440-E440</f>
        <v/>
      </c>
    </row>
    <row r="441">
      <c r="B441" s="42" t="n"/>
      <c r="C441" s="16" t="n"/>
      <c r="D441" s="31" t="n"/>
      <c r="E441" s="17">
        <f>D441-E441</f>
        <v/>
      </c>
    </row>
    <row r="442">
      <c r="A442" s="42" t="n"/>
      <c r="B442" s="42" t="n"/>
      <c r="C442" s="55" t="n"/>
      <c r="D442" s="30" t="n"/>
    </row>
    <row r="443">
      <c r="B443" s="42" t="n"/>
      <c r="C443" s="16" t="n"/>
      <c r="D443" s="31" t="n"/>
      <c r="E443" s="17">
        <f>D443-E443</f>
        <v/>
      </c>
    </row>
    <row r="444">
      <c r="B444" s="42" t="n"/>
      <c r="C444" s="16" t="n"/>
      <c r="D444" s="31" t="n"/>
      <c r="E444" s="17">
        <f>D444-E444</f>
        <v/>
      </c>
    </row>
    <row r="445">
      <c r="B445" s="42" t="n"/>
      <c r="C445" s="57" t="n"/>
      <c r="D445" s="58" t="n"/>
      <c r="E445" s="17">
        <f>D445-E445</f>
        <v/>
      </c>
    </row>
    <row r="446">
      <c r="B446" s="42" t="n"/>
      <c r="C446" s="16" t="n"/>
      <c r="D446" s="31" t="n"/>
      <c r="E446" s="17">
        <f>D446-E446</f>
        <v/>
      </c>
    </row>
    <row r="447">
      <c r="B447" s="42" t="n"/>
      <c r="C447" s="16" t="n"/>
      <c r="D447" s="31" t="n"/>
      <c r="E447" s="17">
        <f>D447-E447</f>
        <v/>
      </c>
    </row>
    <row r="448">
      <c r="B448" s="42" t="n"/>
      <c r="C448" s="16" t="n"/>
      <c r="D448" s="31" t="n"/>
      <c r="E448" s="17">
        <f>D448-E448</f>
        <v/>
      </c>
    </row>
    <row r="449">
      <c r="B449" s="42" t="n"/>
      <c r="C449" s="16" t="n"/>
      <c r="D449" s="31" t="n"/>
      <c r="E449" s="17">
        <f>D449-E449</f>
        <v/>
      </c>
    </row>
    <row r="450">
      <c r="B450" s="42" t="n"/>
      <c r="C450" s="16" t="n"/>
      <c r="D450" s="31" t="n"/>
      <c r="E450" s="17">
        <f>D450-E450</f>
        <v/>
      </c>
    </row>
    <row r="451">
      <c r="B451" s="42" t="n"/>
      <c r="C451" s="16" t="n"/>
      <c r="D451" s="31" t="n"/>
      <c r="E451" s="17">
        <f>D451-E451</f>
        <v/>
      </c>
    </row>
    <row r="452">
      <c r="B452" s="42" t="n"/>
      <c r="C452" s="16" t="n"/>
      <c r="D452" s="31" t="n"/>
      <c r="E452" s="17">
        <f>D452-E452</f>
        <v/>
      </c>
    </row>
    <row r="453">
      <c r="A453" s="42" t="n"/>
      <c r="B453" s="42" t="n"/>
      <c r="C453" s="55" t="n"/>
      <c r="D453" s="30" t="n"/>
    </row>
    <row r="454">
      <c r="B454" s="42" t="n"/>
      <c r="C454" s="16" t="n"/>
      <c r="D454" s="31" t="n"/>
      <c r="E454" s="17">
        <f>D454-E454</f>
        <v/>
      </c>
    </row>
    <row r="455">
      <c r="B455" s="42" t="n"/>
      <c r="C455" s="16" t="n"/>
      <c r="D455" s="31" t="n"/>
      <c r="E455" s="17">
        <f>D455-E455</f>
        <v/>
      </c>
    </row>
    <row r="456">
      <c r="B456" s="42" t="n"/>
      <c r="C456" s="57" t="n"/>
      <c r="D456" s="58" t="n"/>
      <c r="E456" s="17">
        <f>D456-E456</f>
        <v/>
      </c>
    </row>
    <row r="457">
      <c r="B457" s="42" t="n"/>
      <c r="C457" s="16" t="n"/>
      <c r="D457" s="31" t="n"/>
      <c r="E457" s="17">
        <f>D457-E457</f>
        <v/>
      </c>
    </row>
    <row r="458">
      <c r="B458" s="42" t="n"/>
      <c r="C458" s="16" t="n"/>
      <c r="D458" s="31" t="n"/>
      <c r="E458" s="17">
        <f>D458-E458</f>
        <v/>
      </c>
    </row>
    <row r="459">
      <c r="B459" s="42" t="n"/>
      <c r="C459" s="16" t="n"/>
      <c r="D459" s="31" t="n"/>
      <c r="E459" s="17">
        <f>D459-E459</f>
        <v/>
      </c>
    </row>
    <row r="460">
      <c r="B460" s="42" t="n"/>
      <c r="C460" s="16" t="n"/>
      <c r="D460" s="31" t="n"/>
      <c r="E460" s="17">
        <f>D460-E460</f>
        <v/>
      </c>
    </row>
    <row r="461">
      <c r="B461" s="42" t="n"/>
      <c r="C461" s="16" t="n"/>
      <c r="D461" s="31" t="n"/>
      <c r="E461" s="17">
        <f>D461-E461</f>
        <v/>
      </c>
    </row>
    <row r="462">
      <c r="B462" s="42" t="n"/>
      <c r="C462" s="16" t="n"/>
      <c r="D462" s="31" t="n"/>
      <c r="E462" s="17">
        <f>D462-E462</f>
        <v/>
      </c>
    </row>
    <row r="463">
      <c r="B463" s="42" t="n"/>
      <c r="C463" s="16" t="n"/>
      <c r="D463" s="31" t="n"/>
      <c r="E463" s="17">
        <f>D463-E463</f>
        <v/>
      </c>
    </row>
    <row r="464">
      <c r="A464" s="42" t="n"/>
      <c r="B464" s="42" t="n"/>
      <c r="C464" s="55" t="n"/>
      <c r="D464" s="30" t="n"/>
    </row>
    <row r="465">
      <c r="B465" s="42" t="n"/>
      <c r="C465" s="16" t="n"/>
      <c r="D465" s="31" t="n"/>
      <c r="E465" s="17">
        <f>D465-E465</f>
        <v/>
      </c>
    </row>
    <row r="466">
      <c r="B466" s="42" t="n"/>
      <c r="C466" s="16" t="n"/>
      <c r="D466" s="31" t="n"/>
      <c r="E466" s="17">
        <f>D466-E466</f>
        <v/>
      </c>
    </row>
    <row r="467">
      <c r="B467" s="42" t="n"/>
      <c r="C467" s="57" t="n"/>
      <c r="D467" s="58" t="n"/>
      <c r="E467" s="17">
        <f>D467-E467</f>
        <v/>
      </c>
    </row>
    <row r="468">
      <c r="B468" s="42" t="n"/>
      <c r="C468" s="16" t="n"/>
      <c r="D468" s="31" t="n"/>
      <c r="E468" s="17">
        <f>D468-E468</f>
        <v/>
      </c>
    </row>
    <row r="469">
      <c r="B469" s="42" t="n"/>
      <c r="C469" s="16" t="n"/>
      <c r="D469" s="31" t="n"/>
      <c r="E469" s="17">
        <f>D469-E469</f>
        <v/>
      </c>
    </row>
    <row r="470">
      <c r="B470" s="42" t="n"/>
      <c r="C470" s="16" t="n"/>
      <c r="D470" s="31" t="n"/>
      <c r="E470" s="17">
        <f>D470-E470</f>
        <v/>
      </c>
    </row>
    <row r="471">
      <c r="B471" s="42" t="n"/>
      <c r="C471" s="16" t="n"/>
      <c r="D471" s="31" t="n"/>
      <c r="E471" s="17">
        <f>D471-E471</f>
        <v/>
      </c>
    </row>
    <row r="472">
      <c r="B472" s="42" t="n"/>
      <c r="C472" s="16" t="n"/>
      <c r="D472" s="31" t="n"/>
      <c r="E472" s="17">
        <f>D472-E472</f>
        <v/>
      </c>
    </row>
    <row r="473">
      <c r="B473" s="42" t="n"/>
      <c r="C473" s="16" t="n"/>
      <c r="D473" s="31" t="n"/>
      <c r="E473" s="17">
        <f>D473-E473</f>
        <v/>
      </c>
    </row>
    <row r="474">
      <c r="B474" s="42" t="n"/>
      <c r="C474" s="16" t="n"/>
      <c r="D474" s="31" t="n"/>
      <c r="E474" s="17">
        <f>D474-E474</f>
        <v/>
      </c>
    </row>
    <row r="475">
      <c r="A475" s="42" t="n"/>
      <c r="B475" s="42" t="n"/>
      <c r="C475" s="55" t="n"/>
      <c r="D475" s="30" t="n"/>
    </row>
    <row r="476">
      <c r="B476" s="42" t="n"/>
      <c r="C476" s="16" t="n"/>
      <c r="D476" s="31" t="n"/>
      <c r="E476" s="17">
        <f>D476-E476</f>
        <v/>
      </c>
    </row>
    <row r="477">
      <c r="B477" s="42" t="n"/>
      <c r="C477" s="16" t="n"/>
      <c r="D477" s="31" t="n"/>
      <c r="E477" s="17">
        <f>D477-E477</f>
        <v/>
      </c>
    </row>
    <row r="478">
      <c r="B478" s="42" t="n"/>
      <c r="C478" s="57" t="n"/>
      <c r="D478" s="58" t="n"/>
      <c r="E478" s="17">
        <f>D478-E478</f>
        <v/>
      </c>
    </row>
    <row r="479">
      <c r="B479" s="42" t="n"/>
      <c r="C479" s="16" t="n"/>
      <c r="D479" s="31" t="n"/>
      <c r="E479" s="17">
        <f>D479-E479</f>
        <v/>
      </c>
    </row>
    <row r="480">
      <c r="B480" s="42" t="n"/>
      <c r="C480" s="16" t="n"/>
      <c r="D480" s="31" t="n"/>
      <c r="E480" s="17">
        <f>D480-E480</f>
        <v/>
      </c>
    </row>
    <row r="481">
      <c r="B481" s="42" t="n"/>
      <c r="C481" s="16" t="n"/>
      <c r="D481" s="31" t="n"/>
      <c r="E481" s="17">
        <f>D481-E481</f>
        <v/>
      </c>
    </row>
    <row r="482">
      <c r="B482" s="42" t="n"/>
      <c r="C482" s="16" t="n"/>
      <c r="D482" s="31" t="n"/>
      <c r="E482" s="17">
        <f>D482-E482</f>
        <v/>
      </c>
    </row>
    <row r="483">
      <c r="B483" s="42" t="n"/>
      <c r="C483" s="16" t="n"/>
      <c r="D483" s="31" t="n"/>
      <c r="E483" s="17">
        <f>D483-E483</f>
        <v/>
      </c>
    </row>
    <row r="484">
      <c r="B484" s="42" t="n"/>
      <c r="C484" s="16" t="n"/>
      <c r="D484" s="31" t="n"/>
      <c r="E484" s="17">
        <f>D484-E484</f>
        <v/>
      </c>
    </row>
    <row r="485">
      <c r="B485" s="42" t="n"/>
      <c r="C485" s="16" t="n"/>
      <c r="D485" s="31" t="n"/>
      <c r="E485" s="17">
        <f>D485-E485</f>
        <v/>
      </c>
    </row>
    <row r="486">
      <c r="A486" s="42" t="n"/>
      <c r="B486" s="42" t="n"/>
      <c r="C486" s="55" t="n"/>
      <c r="D486" s="30" t="n"/>
    </row>
    <row r="487">
      <c r="B487" s="42" t="n"/>
      <c r="C487" s="16" t="n"/>
      <c r="D487" s="31" t="n"/>
      <c r="E487" s="17">
        <f>D487-E487</f>
        <v/>
      </c>
    </row>
    <row r="488">
      <c r="B488" s="42" t="n"/>
      <c r="C488" s="16" t="n"/>
      <c r="D488" s="31" t="n"/>
      <c r="E488" s="17">
        <f>D488-E488</f>
        <v/>
      </c>
    </row>
    <row r="489">
      <c r="B489" s="42" t="n"/>
      <c r="C489" s="57" t="n"/>
      <c r="D489" s="58" t="n"/>
      <c r="E489" s="17">
        <f>D489-E489</f>
        <v/>
      </c>
    </row>
    <row r="490">
      <c r="B490" s="42" t="n"/>
      <c r="C490" s="16" t="n"/>
      <c r="D490" s="31" t="n"/>
      <c r="E490" s="17">
        <f>D490-E490</f>
        <v/>
      </c>
    </row>
    <row r="491">
      <c r="B491" s="42" t="n"/>
      <c r="C491" s="16" t="n"/>
      <c r="D491" s="31" t="n"/>
      <c r="E491" s="17">
        <f>D491-E491</f>
        <v/>
      </c>
    </row>
    <row r="492">
      <c r="B492" s="42" t="n"/>
      <c r="C492" s="16" t="n"/>
      <c r="D492" s="31" t="n"/>
      <c r="E492" s="17">
        <f>D492-E492</f>
        <v/>
      </c>
    </row>
    <row r="493">
      <c r="B493" s="42" t="n"/>
      <c r="C493" s="16" t="n"/>
      <c r="D493" s="31" t="n"/>
      <c r="E493" s="17">
        <f>D493-E493</f>
        <v/>
      </c>
    </row>
    <row r="494">
      <c r="B494" s="42" t="n"/>
      <c r="C494" s="16" t="n"/>
      <c r="D494" s="31" t="n"/>
      <c r="E494" s="17">
        <f>D494-E494</f>
        <v/>
      </c>
    </row>
    <row r="495">
      <c r="B495" s="42" t="n"/>
      <c r="C495" s="16" t="n"/>
      <c r="D495" s="31" t="n"/>
      <c r="E495" s="17">
        <f>D495-E495</f>
        <v/>
      </c>
    </row>
    <row r="496">
      <c r="B496" s="42" t="n"/>
      <c r="C496" s="16" t="n"/>
      <c r="D496" s="31" t="n"/>
      <c r="E496" s="17">
        <f>D496-E496</f>
        <v/>
      </c>
    </row>
    <row r="497">
      <c r="A497" s="42" t="n"/>
      <c r="B497" s="42" t="n"/>
      <c r="C497" s="55" t="n"/>
      <c r="D497" s="42" t="n"/>
    </row>
    <row r="498">
      <c r="B498" s="42" t="n"/>
      <c r="C498" s="16" t="n"/>
      <c r="D498" s="31" t="n"/>
      <c r="E498" s="17">
        <f>D498-E498</f>
        <v/>
      </c>
    </row>
    <row r="499">
      <c r="B499" s="42" t="n"/>
      <c r="C499" s="16" t="n"/>
      <c r="D499" s="31" t="n"/>
      <c r="E499" s="17">
        <f>D499-E499</f>
        <v/>
      </c>
    </row>
    <row r="500">
      <c r="B500" s="42" t="n"/>
      <c r="C500" s="57" t="n"/>
      <c r="D500" s="58" t="n"/>
      <c r="E500" s="17">
        <f>D500-E500</f>
        <v/>
      </c>
    </row>
    <row r="501">
      <c r="B501" s="42" t="n"/>
      <c r="C501" s="16" t="n"/>
      <c r="D501" s="31" t="n"/>
      <c r="E501" s="17">
        <f>D501-E501</f>
        <v/>
      </c>
    </row>
    <row r="502">
      <c r="B502" s="42" t="n"/>
      <c r="C502" s="16" t="n"/>
      <c r="D502" s="31" t="n"/>
      <c r="E502" s="17">
        <f>D502-E502</f>
        <v/>
      </c>
    </row>
    <row r="503">
      <c r="B503" s="42" t="n"/>
      <c r="C503" s="16" t="n"/>
      <c r="D503" s="31" t="n"/>
      <c r="E503" s="17">
        <f>D503-E503</f>
        <v/>
      </c>
    </row>
    <row r="504">
      <c r="B504" s="42" t="n"/>
      <c r="C504" s="16" t="n"/>
      <c r="D504" s="31" t="n"/>
      <c r="E504" s="17">
        <f>D504-E504</f>
        <v/>
      </c>
    </row>
    <row r="505">
      <c r="B505" s="42" t="n"/>
      <c r="C505" s="16" t="n"/>
      <c r="D505" s="31" t="n"/>
      <c r="E505" s="17">
        <f>D505-E505</f>
        <v/>
      </c>
    </row>
    <row r="506">
      <c r="B506" s="42" t="n"/>
      <c r="C506" s="16" t="n"/>
      <c r="D506" s="31" t="n"/>
      <c r="E506" s="17">
        <f>D506-E506</f>
        <v/>
      </c>
    </row>
    <row r="507">
      <c r="B507" s="42" t="n"/>
      <c r="C507" s="16" t="n"/>
      <c r="D507" s="31" t="n"/>
      <c r="E507" s="17">
        <f>D507-E507</f>
        <v/>
      </c>
    </row>
    <row r="508">
      <c r="A508" s="42" t="n"/>
      <c r="B508" s="42" t="n"/>
      <c r="C508" s="55" t="n"/>
      <c r="D508" s="30" t="n"/>
    </row>
    <row r="509">
      <c r="B509" s="42" t="n"/>
      <c r="C509" s="16" t="n"/>
      <c r="D509" s="31" t="n"/>
      <c r="E509" s="17">
        <f>D509-E509</f>
        <v/>
      </c>
    </row>
    <row r="510">
      <c r="B510" s="42" t="n"/>
      <c r="C510" s="16" t="n"/>
      <c r="D510" s="31" t="n"/>
      <c r="E510" s="17">
        <f>D510-E510</f>
        <v/>
      </c>
    </row>
    <row r="511">
      <c r="B511" s="42" t="n"/>
      <c r="C511" s="57" t="n"/>
      <c r="D511" s="58" t="n"/>
      <c r="E511" s="17">
        <f>D511-E511</f>
        <v/>
      </c>
    </row>
    <row r="512">
      <c r="B512" s="42" t="n"/>
      <c r="C512" s="16" t="n"/>
      <c r="D512" s="31" t="n"/>
      <c r="E512" s="17">
        <f>D512-E512</f>
        <v/>
      </c>
    </row>
    <row r="513">
      <c r="B513" s="42" t="n"/>
      <c r="C513" s="16" t="n"/>
      <c r="D513" s="31" t="n"/>
      <c r="E513" s="17">
        <f>D513-E513</f>
        <v/>
      </c>
    </row>
    <row r="514">
      <c r="B514" s="42" t="n"/>
      <c r="C514" s="16" t="n"/>
      <c r="D514" s="31" t="n"/>
      <c r="E514" s="17">
        <f>D514-E514</f>
        <v/>
      </c>
    </row>
    <row r="515">
      <c r="B515" s="42" t="n"/>
      <c r="C515" s="16" t="n"/>
      <c r="D515" s="31" t="n"/>
      <c r="E515" s="17">
        <f>D515-E515</f>
        <v/>
      </c>
    </row>
    <row r="516">
      <c r="B516" s="42" t="n"/>
      <c r="C516" s="16" t="n"/>
      <c r="D516" s="31" t="n"/>
      <c r="E516" s="17">
        <f>D516-E516</f>
        <v/>
      </c>
    </row>
    <row r="517">
      <c r="B517" s="42" t="n"/>
      <c r="C517" s="16" t="n"/>
      <c r="D517" s="31" t="n"/>
      <c r="E517" s="17">
        <f>D517-E517</f>
        <v/>
      </c>
    </row>
    <row r="518">
      <c r="B518" s="42" t="n"/>
      <c r="C518" s="16" t="n"/>
      <c r="D518" s="31" t="n"/>
      <c r="E518" s="17">
        <f>D518-E518</f>
        <v/>
      </c>
    </row>
    <row r="519">
      <c r="A519" s="42" t="n"/>
      <c r="B519" s="42" t="n"/>
      <c r="C519" s="55" t="n"/>
      <c r="D519" s="30" t="n"/>
    </row>
    <row r="520">
      <c r="B520" s="42" t="n"/>
      <c r="C520" s="16" t="n"/>
      <c r="D520" s="31" t="n"/>
      <c r="E520" s="17">
        <f>D520-E520</f>
        <v/>
      </c>
    </row>
    <row r="521">
      <c r="B521" s="42" t="n"/>
      <c r="C521" s="16" t="n"/>
      <c r="D521" s="31" t="n"/>
      <c r="E521" s="17">
        <f>D521-E521</f>
        <v/>
      </c>
    </row>
    <row r="522">
      <c r="B522" s="42" t="n"/>
      <c r="C522" s="57" t="n"/>
      <c r="D522" s="58" t="n"/>
      <c r="E522" s="17">
        <f>D522-E522</f>
        <v/>
      </c>
    </row>
    <row r="523">
      <c r="B523" s="42" t="n"/>
      <c r="C523" s="16" t="n"/>
      <c r="D523" s="31" t="n"/>
      <c r="E523" s="17">
        <f>D523-E523</f>
        <v/>
      </c>
    </row>
    <row r="524">
      <c r="B524" s="42" t="n"/>
      <c r="C524" s="16" t="n"/>
      <c r="D524" s="31" t="n"/>
      <c r="E524" s="17">
        <f>D524-E524</f>
        <v/>
      </c>
    </row>
    <row r="525">
      <c r="B525" s="42" t="n"/>
      <c r="C525" s="16" t="n"/>
      <c r="D525" s="31" t="n"/>
      <c r="E525" s="17">
        <f>D525-E525</f>
        <v/>
      </c>
    </row>
    <row r="526">
      <c r="B526" s="42" t="n"/>
      <c r="C526" s="16" t="n"/>
      <c r="D526" s="31" t="n"/>
      <c r="E526" s="17">
        <f>D526-E526</f>
        <v/>
      </c>
    </row>
    <row r="527">
      <c r="B527" s="42" t="n"/>
      <c r="C527" s="16" t="n"/>
      <c r="D527" s="31" t="n"/>
      <c r="E527" s="17">
        <f>D527-E527</f>
        <v/>
      </c>
    </row>
    <row r="528">
      <c r="B528" s="42" t="n"/>
      <c r="C528" s="16" t="n"/>
      <c r="D528" s="31" t="n"/>
      <c r="E528" s="17">
        <f>D528-E528</f>
        <v/>
      </c>
    </row>
    <row r="529">
      <c r="B529" s="42" t="n"/>
      <c r="C529" s="16" t="n"/>
      <c r="D529" s="31" t="n"/>
      <c r="E529" s="17">
        <f>D529-E529</f>
        <v/>
      </c>
    </row>
    <row r="530">
      <c r="A530" s="42" t="n"/>
      <c r="B530" s="42" t="n"/>
      <c r="C530" s="55" t="n"/>
      <c r="D530" s="30" t="n"/>
    </row>
    <row r="531">
      <c r="B531" s="42" t="n"/>
      <c r="C531" s="16" t="n"/>
      <c r="D531" s="31" t="n"/>
      <c r="E531" s="17">
        <f>D531-E531</f>
        <v/>
      </c>
    </row>
    <row r="532">
      <c r="B532" s="42" t="n"/>
      <c r="C532" s="16" t="n"/>
      <c r="D532" s="31" t="n"/>
      <c r="E532" s="17">
        <f>D532-E532</f>
        <v/>
      </c>
    </row>
    <row r="533">
      <c r="B533" s="42" t="n"/>
      <c r="C533" s="57" t="n"/>
      <c r="D533" s="58" t="n"/>
      <c r="E533" s="17">
        <f>D533-E533</f>
        <v/>
      </c>
    </row>
    <row r="534">
      <c r="B534" s="42" t="n"/>
      <c r="C534" s="16" t="n"/>
      <c r="D534" s="31" t="n"/>
      <c r="E534" s="17">
        <f>D534-E534</f>
        <v/>
      </c>
    </row>
    <row r="535">
      <c r="B535" s="42" t="n"/>
      <c r="C535" s="16" t="n"/>
      <c r="D535" s="31" t="n"/>
      <c r="E535" s="17">
        <f>D535-E535</f>
        <v/>
      </c>
    </row>
    <row r="536">
      <c r="B536" s="42" t="n"/>
      <c r="C536" s="16" t="n"/>
      <c r="D536" s="31" t="n"/>
      <c r="E536" s="17">
        <f>D536-E536</f>
        <v/>
      </c>
    </row>
    <row r="537">
      <c r="B537" s="42" t="n"/>
      <c r="C537" s="16" t="n"/>
      <c r="D537" s="31" t="n"/>
      <c r="E537" s="17">
        <f>D537-E537</f>
        <v/>
      </c>
    </row>
    <row r="538">
      <c r="B538" s="42" t="n"/>
      <c r="C538" s="16" t="n"/>
      <c r="D538" s="31" t="n"/>
      <c r="E538" s="17">
        <f>D538-E538</f>
        <v/>
      </c>
    </row>
    <row r="539">
      <c r="B539" s="42" t="n"/>
      <c r="C539" s="16" t="n"/>
      <c r="D539" s="31" t="n"/>
      <c r="E539" s="17">
        <f>D539-E539</f>
        <v/>
      </c>
    </row>
    <row r="540">
      <c r="B540" s="42" t="n"/>
      <c r="C540" s="16" t="n"/>
      <c r="D540" s="31" t="n"/>
      <c r="E540" s="17">
        <f>D540-E540</f>
        <v/>
      </c>
    </row>
    <row r="541">
      <c r="A541" s="42" t="n"/>
      <c r="B541" s="42" t="n"/>
      <c r="C541" s="55" t="n"/>
      <c r="D541" s="30" t="n"/>
    </row>
    <row r="542">
      <c r="B542" s="42" t="n"/>
      <c r="C542" s="16" t="n"/>
      <c r="D542" s="31" t="n"/>
      <c r="E542" s="17">
        <f>D542-E542</f>
        <v/>
      </c>
    </row>
    <row r="543">
      <c r="B543" s="42" t="n"/>
      <c r="C543" s="16" t="n"/>
      <c r="D543" s="31" t="n"/>
      <c r="E543" s="17">
        <f>D543-E543</f>
        <v/>
      </c>
    </row>
    <row r="544">
      <c r="B544" s="42" t="n"/>
      <c r="C544" s="57" t="n"/>
      <c r="D544" s="58" t="n"/>
      <c r="E544" s="17">
        <f>D544-E544</f>
        <v/>
      </c>
    </row>
    <row r="545">
      <c r="B545" s="42" t="n"/>
      <c r="C545" s="16" t="n"/>
      <c r="D545" s="31" t="n"/>
      <c r="E545" s="17">
        <f>D545-E545</f>
        <v/>
      </c>
    </row>
    <row r="546">
      <c r="B546" s="42" t="n"/>
      <c r="C546" s="16" t="n"/>
      <c r="D546" s="31" t="n"/>
      <c r="E546" s="17">
        <f>D546-E546</f>
        <v/>
      </c>
    </row>
    <row r="547">
      <c r="B547" s="42" t="n"/>
      <c r="C547" s="16" t="n"/>
      <c r="D547" s="31" t="n"/>
      <c r="E547" s="17">
        <f>D547-E547</f>
        <v/>
      </c>
    </row>
    <row r="548">
      <c r="B548" s="42" t="n"/>
      <c r="C548" s="16" t="n"/>
      <c r="D548" s="31" t="n"/>
      <c r="E548" s="17">
        <f>D548-E548</f>
        <v/>
      </c>
    </row>
    <row r="549">
      <c r="B549" s="42" t="n"/>
      <c r="C549" s="16" t="n"/>
      <c r="D549" s="31" t="n"/>
      <c r="E549" s="17">
        <f>D549-E549</f>
        <v/>
      </c>
    </row>
    <row r="550">
      <c r="B550" s="42" t="n"/>
      <c r="C550" s="16" t="n"/>
      <c r="D550" s="31" t="n"/>
      <c r="E550" s="17">
        <f>D550-E550</f>
        <v/>
      </c>
    </row>
    <row r="551">
      <c r="B551" s="42" t="n"/>
      <c r="C551" s="16" t="n"/>
      <c r="D551" s="31" t="n"/>
      <c r="E551" s="17">
        <f>D551-E551</f>
        <v/>
      </c>
    </row>
    <row r="552">
      <c r="A552" s="42" t="n"/>
      <c r="B552" s="42" t="n"/>
      <c r="C552" s="55" t="n"/>
      <c r="D552" s="30" t="n"/>
    </row>
    <row r="553">
      <c r="B553" s="42" t="n"/>
      <c r="C553" s="16" t="n"/>
      <c r="D553" s="31" t="n"/>
      <c r="E553" s="17">
        <f>D553-E553</f>
        <v/>
      </c>
    </row>
    <row r="554">
      <c r="B554" s="42" t="n"/>
      <c r="C554" s="16" t="n"/>
      <c r="D554" s="31" t="n"/>
      <c r="E554" s="17">
        <f>D554-E554</f>
        <v/>
      </c>
    </row>
    <row r="555">
      <c r="B555" s="42" t="n"/>
      <c r="C555" s="57" t="n"/>
      <c r="D555" s="58" t="n"/>
      <c r="E555" s="17">
        <f>D555-E555</f>
        <v/>
      </c>
    </row>
    <row r="556">
      <c r="B556" s="42" t="n"/>
      <c r="C556" s="16" t="n"/>
      <c r="D556" s="31" t="n"/>
      <c r="E556" s="17">
        <f>D556-E556</f>
        <v/>
      </c>
    </row>
    <row r="557">
      <c r="B557" s="42" t="n"/>
      <c r="C557" s="16" t="n"/>
      <c r="D557" s="31" t="n"/>
      <c r="E557" s="17">
        <f>D557-E557</f>
        <v/>
      </c>
    </row>
    <row r="558">
      <c r="B558" s="42" t="n"/>
      <c r="C558" s="16" t="n"/>
      <c r="D558" s="31" t="n"/>
      <c r="E558" s="17">
        <f>D558-E558</f>
        <v/>
      </c>
    </row>
    <row r="559">
      <c r="B559" s="42" t="n"/>
      <c r="C559" s="16" t="n"/>
      <c r="D559" s="31" t="n"/>
      <c r="E559" s="17">
        <f>D559-E559</f>
        <v/>
      </c>
    </row>
    <row r="560">
      <c r="B560" s="42" t="n"/>
      <c r="C560" s="16" t="n"/>
      <c r="D560" s="31" t="n"/>
      <c r="E560" s="17">
        <f>D560-E560</f>
        <v/>
      </c>
    </row>
    <row r="561">
      <c r="B561" s="42" t="n"/>
      <c r="C561" s="16" t="n"/>
      <c r="D561" s="31" t="n"/>
      <c r="E561" s="17">
        <f>D561-E561</f>
        <v/>
      </c>
    </row>
    <row r="562">
      <c r="B562" s="42" t="n"/>
      <c r="C562" s="16" t="n"/>
      <c r="D562" s="31" t="n"/>
      <c r="E562" s="17">
        <f>D562-E562</f>
        <v/>
      </c>
    </row>
    <row r="563">
      <c r="A563" s="42" t="n"/>
      <c r="B563" s="42" t="n"/>
      <c r="C563" s="55" t="n"/>
      <c r="D563" s="30" t="n"/>
    </row>
    <row r="564">
      <c r="B564" s="42" t="n"/>
      <c r="C564" s="16" t="n"/>
      <c r="D564" s="31" t="n"/>
      <c r="E564" s="17">
        <f>D564-E564</f>
        <v/>
      </c>
    </row>
    <row r="565">
      <c r="B565" s="42" t="n"/>
      <c r="C565" s="16" t="n"/>
      <c r="D565" s="31" t="n"/>
      <c r="E565" s="17">
        <f>D565-E565</f>
        <v/>
      </c>
    </row>
    <row r="566">
      <c r="B566" s="42" t="n"/>
      <c r="C566" s="57" t="n"/>
      <c r="D566" s="58" t="n"/>
      <c r="E566" s="17">
        <f>D566-E566</f>
        <v/>
      </c>
    </row>
    <row r="567">
      <c r="B567" s="42" t="n"/>
      <c r="C567" s="16" t="n"/>
      <c r="D567" s="31" t="n"/>
      <c r="E567" s="17">
        <f>D567-E567</f>
        <v/>
      </c>
    </row>
    <row r="568">
      <c r="B568" s="42" t="n"/>
      <c r="C568" s="16" t="n"/>
      <c r="D568" s="31" t="n"/>
      <c r="E568" s="17">
        <f>D568-E568</f>
        <v/>
      </c>
    </row>
    <row r="569">
      <c r="B569" s="42" t="n"/>
      <c r="C569" s="16" t="n"/>
      <c r="D569" s="31" t="n"/>
      <c r="E569" s="17">
        <f>D569-E569</f>
        <v/>
      </c>
    </row>
    <row r="570">
      <c r="B570" s="42" t="n"/>
      <c r="C570" s="16" t="n"/>
      <c r="D570" s="31" t="n"/>
      <c r="E570" s="17">
        <f>D570-E570</f>
        <v/>
      </c>
    </row>
    <row r="571">
      <c r="B571" s="42" t="n"/>
      <c r="C571" s="16" t="n"/>
      <c r="D571" s="31" t="n"/>
      <c r="E571" s="17">
        <f>D571-E571</f>
        <v/>
      </c>
    </row>
    <row r="572">
      <c r="B572" s="42" t="n"/>
      <c r="C572" s="16" t="n"/>
      <c r="D572" s="31" t="n"/>
      <c r="E572" s="17">
        <f>D572-E572</f>
        <v/>
      </c>
    </row>
    <row r="573">
      <c r="B573" s="42" t="n"/>
      <c r="C573" s="16" t="n"/>
      <c r="D573" s="31" t="n"/>
      <c r="E573" s="17">
        <f>D573-E573</f>
        <v/>
      </c>
    </row>
    <row r="574">
      <c r="A574" s="42" t="n"/>
      <c r="B574" s="42" t="n"/>
      <c r="C574" s="55" t="n"/>
      <c r="D574" s="30" t="n"/>
    </row>
    <row r="575">
      <c r="B575" s="42" t="n"/>
      <c r="C575" s="16" t="n"/>
      <c r="D575" s="31" t="n"/>
      <c r="E575" s="17">
        <f>D575-E575</f>
        <v/>
      </c>
    </row>
    <row r="576">
      <c r="B576" s="42" t="n"/>
      <c r="C576" s="16" t="n"/>
      <c r="D576" s="31" t="n"/>
      <c r="E576" s="17">
        <f>D576-E576</f>
        <v/>
      </c>
    </row>
    <row r="577">
      <c r="B577" s="42" t="n"/>
      <c r="C577" s="57" t="n"/>
      <c r="D577" s="58" t="n"/>
      <c r="E577" s="17">
        <f>D577-E577</f>
        <v/>
      </c>
    </row>
    <row r="578">
      <c r="B578" s="42" t="n"/>
      <c r="C578" s="16" t="n"/>
      <c r="D578" s="31" t="n"/>
      <c r="E578" s="17">
        <f>D578-E578</f>
        <v/>
      </c>
    </row>
    <row r="579">
      <c r="B579" s="42" t="n"/>
      <c r="C579" s="16" t="n"/>
      <c r="D579" s="31" t="n"/>
      <c r="E579" s="17">
        <f>D579-E579</f>
        <v/>
      </c>
    </row>
    <row r="580">
      <c r="B580" s="42" t="n"/>
      <c r="C580" s="16" t="n"/>
      <c r="D580" s="31" t="n"/>
      <c r="E580" s="17">
        <f>D580-E580</f>
        <v/>
      </c>
    </row>
    <row r="581">
      <c r="B581" s="42" t="n"/>
      <c r="C581" s="16" t="n"/>
      <c r="D581" s="31" t="n"/>
      <c r="E581" s="17">
        <f>D581-E581</f>
        <v/>
      </c>
    </row>
    <row r="582">
      <c r="B582" s="42" t="n"/>
      <c r="C582" s="16" t="n"/>
      <c r="D582" s="31" t="n"/>
      <c r="E582" s="17">
        <f>D582-E582</f>
        <v/>
      </c>
    </row>
    <row r="583">
      <c r="B583" s="42" t="n"/>
      <c r="C583" s="16" t="n"/>
      <c r="D583" s="31" t="n"/>
      <c r="E583" s="17">
        <f>D583-E583</f>
        <v/>
      </c>
    </row>
    <row r="584">
      <c r="B584" s="42" t="n"/>
      <c r="C584" s="16" t="n"/>
      <c r="D584" s="31" t="n"/>
      <c r="E584" s="17">
        <f>D584-E584</f>
        <v/>
      </c>
    </row>
    <row r="585">
      <c r="A585" s="42" t="n"/>
      <c r="B585" s="42" t="n"/>
      <c r="C585" s="55" t="n"/>
      <c r="D585" s="30" t="n"/>
    </row>
    <row r="586">
      <c r="B586" s="42" t="n"/>
      <c r="C586" s="16" t="n"/>
      <c r="D586" s="31" t="n"/>
      <c r="E586" s="17">
        <f>D586-E586</f>
        <v/>
      </c>
    </row>
    <row r="587">
      <c r="B587" s="42" t="n"/>
      <c r="C587" s="16" t="n"/>
      <c r="D587" s="31" t="n"/>
      <c r="E587" s="17">
        <f>D587-E587</f>
        <v/>
      </c>
    </row>
    <row r="588">
      <c r="B588" s="42" t="n"/>
      <c r="C588" s="57" t="n"/>
      <c r="D588" s="58" t="n"/>
      <c r="E588" s="17">
        <f>D588-E588</f>
        <v/>
      </c>
    </row>
    <row r="589">
      <c r="B589" s="42" t="n"/>
      <c r="C589" s="16" t="n"/>
      <c r="D589" s="31" t="n"/>
      <c r="E589" s="17">
        <f>D589-E589</f>
        <v/>
      </c>
    </row>
    <row r="590">
      <c r="B590" s="42" t="n"/>
      <c r="C590" s="16" t="n"/>
      <c r="D590" s="31" t="n"/>
      <c r="E590" s="17">
        <f>D590-E590</f>
        <v/>
      </c>
    </row>
    <row r="591">
      <c r="B591" s="42" t="n"/>
      <c r="C591" s="16" t="n"/>
      <c r="D591" s="31" t="n"/>
      <c r="E591" s="17">
        <f>D591-E591</f>
        <v/>
      </c>
    </row>
    <row r="592">
      <c r="B592" s="42" t="n"/>
      <c r="C592" s="16" t="n"/>
      <c r="D592" s="31" t="n"/>
      <c r="E592" s="17">
        <f>D592-E592</f>
        <v/>
      </c>
    </row>
    <row r="593">
      <c r="B593" s="42" t="n"/>
      <c r="C593" s="16" t="n"/>
      <c r="D593" s="31" t="n"/>
      <c r="E593" s="17">
        <f>D593-E593</f>
        <v/>
      </c>
    </row>
    <row r="594">
      <c r="B594" s="42" t="n"/>
      <c r="C594" s="16" t="n"/>
      <c r="D594" s="31" t="n"/>
      <c r="E594" s="17">
        <f>D594-E594</f>
        <v/>
      </c>
    </row>
    <row r="595">
      <c r="B595" s="42" t="n"/>
      <c r="C595" s="16" t="n"/>
      <c r="D595" s="31" t="n"/>
      <c r="E595" s="17">
        <f>D595-E595</f>
        <v/>
      </c>
    </row>
    <row r="596">
      <c r="A596" s="42" t="n"/>
      <c r="B596" s="42" t="n"/>
      <c r="C596" s="55" t="n"/>
      <c r="D596" s="30" t="n"/>
    </row>
    <row r="597">
      <c r="B597" s="42" t="n"/>
      <c r="C597" s="16" t="n"/>
      <c r="D597" s="31" t="n"/>
      <c r="E597" s="17">
        <f>D597-E597</f>
        <v/>
      </c>
    </row>
    <row r="598">
      <c r="B598" s="42" t="n"/>
      <c r="C598" s="16" t="n"/>
      <c r="D598" s="31" t="n"/>
      <c r="E598" s="17">
        <f>D598-E598</f>
        <v/>
      </c>
    </row>
    <row r="599">
      <c r="B599" s="42" t="n"/>
      <c r="C599" s="57" t="n"/>
      <c r="D599" s="58" t="n"/>
      <c r="E599" s="17">
        <f>D599-E599</f>
        <v/>
      </c>
    </row>
    <row r="600">
      <c r="B600" s="42" t="n"/>
      <c r="C600" s="16" t="n"/>
      <c r="D600" s="31" t="n"/>
      <c r="E600" s="17">
        <f>D600-E600</f>
        <v/>
      </c>
    </row>
    <row r="601">
      <c r="B601" s="42" t="n"/>
      <c r="C601" s="16" t="n"/>
      <c r="D601" s="31" t="n"/>
      <c r="E601" s="17">
        <f>D601-E601</f>
        <v/>
      </c>
    </row>
    <row r="602">
      <c r="B602" s="42" t="n"/>
      <c r="C602" s="16" t="n"/>
      <c r="D602" s="31" t="n"/>
      <c r="E602" s="17">
        <f>D602-E602</f>
        <v/>
      </c>
    </row>
    <row r="603">
      <c r="B603" s="42" t="n"/>
      <c r="C603" s="16" t="n"/>
      <c r="D603" s="31" t="n"/>
      <c r="E603" s="17">
        <f>D603-E603</f>
        <v/>
      </c>
    </row>
    <row r="604">
      <c r="B604" s="42" t="n"/>
      <c r="C604" s="16" t="n"/>
      <c r="D604" s="31" t="n"/>
      <c r="E604" s="17">
        <f>D604-E604</f>
        <v/>
      </c>
    </row>
    <row r="605">
      <c r="B605" s="42" t="n"/>
      <c r="C605" s="16" t="n"/>
      <c r="D605" s="31" t="n"/>
      <c r="E605" s="17">
        <f>D605-E605</f>
        <v/>
      </c>
    </row>
    <row r="606">
      <c r="B606" s="42" t="n"/>
      <c r="C606" s="16" t="n"/>
      <c r="D606" s="31" t="n"/>
      <c r="E606" s="17">
        <f>D606-E606</f>
        <v/>
      </c>
    </row>
    <row r="607">
      <c r="A607" s="42" t="n"/>
      <c r="B607" s="42" t="n"/>
      <c r="C607" s="55" t="n"/>
      <c r="D607" s="30" t="n"/>
    </row>
    <row r="608">
      <c r="B608" s="42" t="n"/>
      <c r="C608" s="16" t="n"/>
      <c r="D608" s="31" t="n"/>
      <c r="E608" s="17">
        <f>D608-E608</f>
        <v/>
      </c>
    </row>
    <row r="609">
      <c r="B609" s="42" t="n"/>
      <c r="C609" s="16" t="n"/>
      <c r="D609" s="31" t="n"/>
      <c r="E609" s="17">
        <f>D609-E609</f>
        <v/>
      </c>
    </row>
    <row r="610">
      <c r="B610" s="42" t="n"/>
      <c r="C610" s="57" t="n"/>
      <c r="D610" s="58" t="n"/>
      <c r="E610" s="17">
        <f>D610-E610</f>
        <v/>
      </c>
    </row>
    <row r="611">
      <c r="B611" s="42" t="n"/>
      <c r="C611" s="16" t="n"/>
      <c r="D611" s="31" t="n"/>
      <c r="E611" s="17">
        <f>D611-E611</f>
        <v/>
      </c>
    </row>
    <row r="612">
      <c r="B612" s="42" t="n"/>
      <c r="C612" s="16" t="n"/>
      <c r="D612" s="31" t="n"/>
      <c r="E612" s="17">
        <f>D612-E612</f>
        <v/>
      </c>
    </row>
    <row r="613">
      <c r="B613" s="42" t="n"/>
      <c r="C613" s="16" t="n"/>
      <c r="D613" s="31" t="n"/>
      <c r="E613" s="17">
        <f>D613-E613</f>
        <v/>
      </c>
    </row>
    <row r="614">
      <c r="B614" s="42" t="n"/>
      <c r="C614" s="16" t="n"/>
      <c r="D614" s="31" t="n"/>
      <c r="E614" s="17">
        <f>D614-E614</f>
        <v/>
      </c>
    </row>
    <row r="615">
      <c r="B615" s="42" t="n"/>
      <c r="C615" s="16" t="n"/>
      <c r="D615" s="31" t="n"/>
      <c r="E615" s="17">
        <f>D615-E615</f>
        <v/>
      </c>
    </row>
    <row r="616">
      <c r="B616" s="42" t="n"/>
      <c r="C616" s="16" t="n"/>
      <c r="D616" s="31" t="n"/>
      <c r="E616" s="17">
        <f>D616-E616</f>
        <v/>
      </c>
    </row>
    <row r="617">
      <c r="B617" s="42" t="n"/>
      <c r="C617" s="16" t="n"/>
      <c r="D617" s="31" t="n"/>
      <c r="E617" s="17">
        <f>D617-E617</f>
        <v/>
      </c>
    </row>
    <row r="618">
      <c r="A618" s="42" t="n"/>
      <c r="B618" s="42" t="n"/>
      <c r="C618" s="55" t="n"/>
      <c r="D618" s="30" t="n"/>
    </row>
    <row r="619">
      <c r="B619" s="42" t="n"/>
      <c r="C619" s="16" t="n"/>
      <c r="D619" s="31" t="n"/>
      <c r="E619" s="17">
        <f>D619-E619</f>
        <v/>
      </c>
    </row>
    <row r="620">
      <c r="B620" s="42" t="n"/>
      <c r="C620" s="16" t="n"/>
      <c r="D620" s="31" t="n"/>
      <c r="E620" s="17">
        <f>D620-E620</f>
        <v/>
      </c>
    </row>
    <row r="621">
      <c r="B621" s="42" t="n"/>
      <c r="C621" s="57" t="n"/>
      <c r="D621" s="58" t="n"/>
      <c r="E621" s="17">
        <f>D621-E621</f>
        <v/>
      </c>
    </row>
    <row r="622">
      <c r="B622" s="42" t="n"/>
      <c r="C622" s="16" t="n"/>
      <c r="D622" s="31" t="n"/>
      <c r="E622" s="17">
        <f>D622-E622</f>
        <v/>
      </c>
    </row>
    <row r="623">
      <c r="B623" s="42" t="n"/>
      <c r="C623" s="16" t="n"/>
      <c r="D623" s="31" t="n"/>
      <c r="E623" s="17">
        <f>D623-E623</f>
        <v/>
      </c>
    </row>
    <row r="624">
      <c r="B624" s="42" t="n"/>
      <c r="C624" s="16" t="n"/>
      <c r="D624" s="31" t="n"/>
      <c r="E624" s="17">
        <f>D624-E624</f>
        <v/>
      </c>
    </row>
    <row r="625">
      <c r="B625" s="42" t="n"/>
      <c r="C625" s="16" t="n"/>
      <c r="D625" s="31" t="n"/>
      <c r="E625" s="17">
        <f>D625-E625</f>
        <v/>
      </c>
    </row>
    <row r="626">
      <c r="B626" s="42" t="n"/>
      <c r="C626" s="16" t="n"/>
      <c r="D626" s="31" t="n"/>
      <c r="E626" s="17">
        <f>D626-E626</f>
        <v/>
      </c>
    </row>
    <row r="627">
      <c r="B627" s="42" t="n"/>
      <c r="C627" s="16" t="n"/>
      <c r="D627" s="31" t="n"/>
      <c r="E627" s="17">
        <f>D627-E627</f>
        <v/>
      </c>
    </row>
    <row r="628">
      <c r="B628" s="42" t="n"/>
      <c r="C628" s="16" t="n"/>
      <c r="D628" s="31" t="n"/>
      <c r="E628" s="17">
        <f>D628-E628</f>
        <v/>
      </c>
    </row>
  </sheetData>
  <autoFilter ref="A1:E628"/>
  <mergeCells count="48">
    <mergeCell ref="A585:A595"/>
    <mergeCell ref="A486:A496"/>
    <mergeCell ref="A277:A287"/>
    <mergeCell ref="A222:A232"/>
    <mergeCell ref="A255:A265"/>
    <mergeCell ref="A233:A243"/>
    <mergeCell ref="A178:A188"/>
    <mergeCell ref="A398:A408"/>
    <mergeCell ref="A376:A386"/>
    <mergeCell ref="A354:A364"/>
    <mergeCell ref="A453:A463"/>
    <mergeCell ref="A497:A507"/>
    <mergeCell ref="A189:A199"/>
    <mergeCell ref="A519:A529"/>
    <mergeCell ref="A145:A155"/>
    <mergeCell ref="A409:A419"/>
    <mergeCell ref="A607:A617"/>
    <mergeCell ref="A596:A606"/>
    <mergeCell ref="A574:A584"/>
    <mergeCell ref="A508:A518"/>
    <mergeCell ref="A2:A12"/>
    <mergeCell ref="A244:A254"/>
    <mergeCell ref="A464:A474"/>
    <mergeCell ref="A365:A375"/>
    <mergeCell ref="A200:A210"/>
    <mergeCell ref="A134:A144"/>
    <mergeCell ref="A112:A122"/>
    <mergeCell ref="A321:A331"/>
    <mergeCell ref="A156:A166"/>
    <mergeCell ref="A563:A573"/>
    <mergeCell ref="A541:A551"/>
    <mergeCell ref="A420:A430"/>
    <mergeCell ref="A299:A309"/>
    <mergeCell ref="A332:A342"/>
    <mergeCell ref="A431:A441"/>
    <mergeCell ref="A211:A221"/>
    <mergeCell ref="A475:A485"/>
    <mergeCell ref="A387:A397"/>
    <mergeCell ref="A167:A177"/>
    <mergeCell ref="A123:A133"/>
    <mergeCell ref="A618:A628"/>
    <mergeCell ref="A310:A320"/>
    <mergeCell ref="A530:A540"/>
    <mergeCell ref="A288:A298"/>
    <mergeCell ref="A266:A276"/>
    <mergeCell ref="A442:A452"/>
    <mergeCell ref="A343:A353"/>
    <mergeCell ref="A552:A5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C2" sqref="C2:E23"/>
    </sheetView>
  </sheetViews>
  <sheetFormatPr baseColWidth="8" defaultRowHeight="15"/>
  <cols>
    <col width="25" customWidth="1" style="52" min="1" max="2"/>
    <col width="14.42578125" bestFit="1" customWidth="1" style="52" min="3" max="3"/>
    <col width="13.28515625" bestFit="1" customWidth="1" style="52" min="4" max="4"/>
    <col width="23.28515625" bestFit="1" customWidth="1" style="52" min="5" max="5"/>
    <col width="29.5703125" bestFit="1" customWidth="1" style="52" min="6" max="6"/>
  </cols>
  <sheetData>
    <row r="1" ht="43.5" customHeight="1" s="52">
      <c r="A1" s="68" t="n"/>
      <c r="B1" s="68" t="n"/>
      <c r="C1" s="67" t="inlineStr">
        <is>
          <t>Home Purchase</t>
        </is>
      </c>
      <c r="D1" s="67" t="inlineStr">
        <is>
          <t>Refinance and Cash-Out Refi</t>
        </is>
      </c>
      <c r="E1" s="67" t="inlineStr">
        <is>
          <t>Home Improvement and Home Equity</t>
        </is>
      </c>
      <c r="F1" s="69" t="inlineStr">
        <is>
          <t>Total</t>
        </is>
      </c>
      <c r="G1" s="69" t="inlineStr">
        <is>
          <t>HP 5 Year Goal</t>
        </is>
      </c>
      <c r="H1" s="69" t="inlineStr">
        <is>
          <t>Refi 5 Year Goal</t>
        </is>
      </c>
      <c r="I1" s="69" t="inlineStr">
        <is>
          <t>HI 5 Year Goal</t>
        </is>
      </c>
      <c r="J1" s="69" t="inlineStr">
        <is>
          <t>NCRC Proposal Over 5 Years</t>
        </is>
      </c>
      <c r="K1" s="69" t="inlineStr">
        <is>
          <t>Baseline Over 5 Years</t>
        </is>
      </c>
      <c r="L1" s="69" t="inlineStr">
        <is>
          <t>Total Increase in LMIB Lending</t>
        </is>
      </c>
    </row>
    <row r="2" ht="15" customHeight="1" s="52">
      <c r="A2" s="43" t="inlineStr">
        <is>
          <t>Grand Total</t>
        </is>
      </c>
      <c r="B2" s="55" t="inlineStr">
        <is>
          <t>Loans</t>
        </is>
      </c>
      <c r="C2" s="13" t="n"/>
      <c r="D2" s="13" t="n"/>
      <c r="E2" s="13" t="n"/>
      <c r="F2" s="6">
        <f>SUM(C2:E2)</f>
        <v/>
      </c>
      <c r="G2" t="n">
        <v>1.1</v>
      </c>
      <c r="H2" t="n">
        <v>1.5</v>
      </c>
      <c r="I2" t="n">
        <v>1</v>
      </c>
    </row>
    <row r="3" ht="15" customHeight="1" s="52">
      <c r="B3" s="55" t="inlineStr">
        <is>
          <t>~LMICT</t>
        </is>
      </c>
      <c r="C3" s="13" t="n"/>
      <c r="D3" s="13" t="n"/>
      <c r="E3" s="13" t="n"/>
      <c r="F3" s="6">
        <f>SUM(C3:E3)</f>
        <v/>
      </c>
      <c r="G3" s="8">
        <f>IFERROR(((C3/2)*G$2)*5,0)</f>
        <v/>
      </c>
      <c r="H3" s="8">
        <f>IFERROR(((D3/2)*H$2)*5,0)</f>
        <v/>
      </c>
      <c r="I3" s="8">
        <f>IFERROR(((E3/2)*I$2)*5,0)</f>
        <v/>
      </c>
      <c r="J3" s="8">
        <f>SUM(G3:I3)</f>
        <v/>
      </c>
      <c r="K3" s="5" t="n"/>
      <c r="L3" s="5" t="n"/>
    </row>
    <row r="4" ht="15" customHeight="1" s="52">
      <c r="B4" s="55" t="inlineStr">
        <is>
          <t>~LMIB</t>
        </is>
      </c>
      <c r="C4" s="13" t="n"/>
      <c r="D4" s="13" t="n"/>
      <c r="E4" s="13" t="n"/>
      <c r="F4" s="6">
        <f>SUM(C4:E4)</f>
        <v/>
      </c>
      <c r="G4" s="8">
        <f>IFERROR(((C4/2)*G$2)*5,0)</f>
        <v/>
      </c>
      <c r="H4" s="8">
        <f>IFERROR(((D4/2)*H$2)*5,0)</f>
        <v/>
      </c>
      <c r="I4" s="8">
        <f>IFERROR(((E4/2)*I$2)*5,0)</f>
        <v/>
      </c>
      <c r="J4" s="8">
        <f>SUM(G4:I4)</f>
        <v/>
      </c>
      <c r="K4" s="5" t="n"/>
      <c r="L4" s="5" t="n"/>
    </row>
    <row r="5" ht="15" customHeight="1" s="52">
      <c r="B5" s="55" t="inlineStr">
        <is>
          <t>LMIB$</t>
        </is>
      </c>
      <c r="C5" s="57" t="n"/>
      <c r="D5" s="57" t="n"/>
      <c r="E5" s="57" t="n"/>
      <c r="F5" s="6">
        <f>SUM(C5:E5)</f>
        <v/>
      </c>
      <c r="G5" s="10">
        <f>IFERROR(((C5/2)*G$2)*5,0)</f>
        <v/>
      </c>
      <c r="H5" s="10">
        <f>IFERROR(((D5/2)*H$2)*5,0)</f>
        <v/>
      </c>
      <c r="I5" s="10">
        <f>IFERROR(((E5/2)*I$2)*5,0)</f>
        <v/>
      </c>
      <c r="J5" s="11">
        <f>SUM(G5:I5)</f>
        <v/>
      </c>
      <c r="K5" s="9">
        <f>IFERROR((F5/6)*5,0)</f>
        <v/>
      </c>
      <c r="L5" s="10">
        <f>J5-K5</f>
        <v/>
      </c>
    </row>
    <row r="6" ht="15" customHeight="1" s="52">
      <c r="B6" s="55" t="inlineStr">
        <is>
          <t>~MMCT</t>
        </is>
      </c>
      <c r="C6" s="13" t="n"/>
      <c r="D6" s="13" t="n"/>
      <c r="E6" s="13" t="n"/>
      <c r="F6" s="6">
        <f>SUM(C6:E6)</f>
        <v/>
      </c>
      <c r="G6" s="8">
        <f>IFERROR(((C6/2)*G$2)*5,0)</f>
        <v/>
      </c>
      <c r="H6" s="8">
        <f>IFERROR(((D6/2)*H$2)*5,0)</f>
        <v/>
      </c>
      <c r="I6" s="8">
        <f>IFERROR(((E6/2)*I$2)*5,0)</f>
        <v/>
      </c>
      <c r="J6" s="8">
        <f>SUM(G6:I6)</f>
        <v/>
      </c>
      <c r="K6" s="5" t="n"/>
    </row>
    <row r="7" ht="15" customHeight="1" s="52">
      <c r="B7" s="55" t="inlineStr">
        <is>
          <t>~MINB</t>
        </is>
      </c>
      <c r="C7" s="13" t="n"/>
      <c r="D7" s="13" t="n"/>
      <c r="E7" s="13" t="n"/>
      <c r="F7" s="6">
        <f>SUM(C7:E7)</f>
        <v/>
      </c>
      <c r="G7" s="8">
        <f>IFERROR(((C7/2)*G$2)*5,0)</f>
        <v/>
      </c>
      <c r="H7" s="8">
        <f>IFERROR(((D7/2)*H$2)*5,0)</f>
        <v/>
      </c>
      <c r="I7" s="8">
        <f>IFERROR(((E7/2)*I$2)*5,0)</f>
        <v/>
      </c>
      <c r="J7" s="8">
        <f>SUM(G7:I7)</f>
        <v/>
      </c>
      <c r="K7" s="5" t="n"/>
    </row>
    <row r="8" ht="15" customHeight="1" s="52">
      <c r="B8" s="55" t="inlineStr">
        <is>
          <t>~Asian</t>
        </is>
      </c>
      <c r="C8" s="13" t="n"/>
      <c r="D8" s="13" t="n"/>
      <c r="E8" s="13" t="n"/>
      <c r="F8" s="6">
        <f>SUM(C8:E8)</f>
        <v/>
      </c>
      <c r="G8" s="8">
        <f>IFERROR(((C8/2)*G$2)*5,0)</f>
        <v/>
      </c>
      <c r="H8" s="8">
        <f>IFERROR(((D8/2)*H$2)*5,0)</f>
        <v/>
      </c>
      <c r="I8" s="8">
        <f>IFERROR(((E8/2)*I$2)*5,0)</f>
        <v/>
      </c>
      <c r="J8" s="8">
        <f>SUM(G8:I8)</f>
        <v/>
      </c>
      <c r="K8" s="5" t="n"/>
    </row>
    <row r="9" ht="15" customHeight="1" s="52">
      <c r="B9" s="55" t="inlineStr">
        <is>
          <t>~Black</t>
        </is>
      </c>
      <c r="C9" s="13" t="n"/>
      <c r="D9" s="13" t="n"/>
      <c r="E9" s="13" t="n"/>
      <c r="F9" s="6">
        <f>SUM(C9:E9)</f>
        <v/>
      </c>
      <c r="G9" s="8">
        <f>IFERROR(((C9/2)*G$2)*5,0)</f>
        <v/>
      </c>
      <c r="H9" s="8">
        <f>IFERROR(((D9/2)*H$2)*5,0)</f>
        <v/>
      </c>
      <c r="I9" s="8">
        <f>IFERROR(((E9/2)*I$2)*5,0)</f>
        <v/>
      </c>
      <c r="J9" s="8">
        <f>SUM(G9:I9)</f>
        <v/>
      </c>
      <c r="K9" s="5" t="n"/>
    </row>
    <row r="10" ht="15" customHeight="1" s="52">
      <c r="B10" s="55" t="inlineStr">
        <is>
          <t>~Native American</t>
        </is>
      </c>
      <c r="C10" s="55" t="n"/>
      <c r="D10" s="55" t="n"/>
      <c r="E10" s="55" t="n"/>
      <c r="F10" s="6">
        <f>SUM(C10:E10)</f>
        <v/>
      </c>
      <c r="G10" s="8">
        <f>IFERROR(((C10/2)*G$2)*5,0)</f>
        <v/>
      </c>
      <c r="H10" s="8">
        <f>IFERROR(((D10/2)*H$2)*5,0)</f>
        <v/>
      </c>
      <c r="I10" s="8">
        <f>IFERROR(((E10/2)*I$2)*5,0)</f>
        <v/>
      </c>
      <c r="J10" s="8">
        <f>SUM(G10:I10)</f>
        <v/>
      </c>
      <c r="K10" s="5" t="n"/>
    </row>
    <row r="11" ht="15" customHeight="1" s="52">
      <c r="B11" s="55" t="inlineStr">
        <is>
          <t>~HoPI</t>
        </is>
      </c>
      <c r="C11" s="55" t="n"/>
      <c r="D11" s="55" t="n"/>
      <c r="E11" s="55" t="n"/>
      <c r="F11" s="6">
        <f>SUM(C11:E11)</f>
        <v/>
      </c>
      <c r="G11" s="8">
        <f>IFERROR(((C11/2)*G$2)*5,0)</f>
        <v/>
      </c>
      <c r="H11" s="8">
        <f>IFERROR(((D11/2)*H$2)*5,0)</f>
        <v/>
      </c>
      <c r="I11" s="8">
        <f>IFERROR(((E11/2)*I$2)*5,0)</f>
        <v/>
      </c>
      <c r="J11" s="8">
        <f>SUM(G11:I11)</f>
        <v/>
      </c>
      <c r="K11" s="5" t="n"/>
    </row>
    <row r="12" ht="15" customHeight="1" s="52">
      <c r="B12" s="55" t="inlineStr">
        <is>
          <t>~Hispanic</t>
        </is>
      </c>
      <c r="C12" s="13" t="n"/>
      <c r="D12" s="13" t="n"/>
      <c r="E12" s="13" t="n"/>
      <c r="F12" s="6">
        <f>SUM(C12:E12)</f>
        <v/>
      </c>
      <c r="G12" s="8">
        <f>IFERROR(((C12/2)*G$2)*5,0)</f>
        <v/>
      </c>
      <c r="H12" s="8">
        <f>IFERROR(((D12/2)*H$2)*5,0)</f>
        <v/>
      </c>
      <c r="I12" s="8">
        <f>IFERROR(((E12/2)*I$2)*5,0)</f>
        <v/>
      </c>
      <c r="J12" s="8">
        <f>SUM(G12:I12)</f>
        <v/>
      </c>
      <c r="K12" s="5" t="n"/>
    </row>
    <row r="13" ht="15" customHeight="1" s="52">
      <c r="A13" s="43" t="inlineStr">
        <is>
          <t>State 2</t>
        </is>
      </c>
      <c r="B13" s="55" t="inlineStr">
        <is>
          <t>Loans</t>
        </is>
      </c>
      <c r="C13" s="13" t="n"/>
      <c r="D13" s="13" t="n"/>
      <c r="E13" s="13" t="n"/>
      <c r="F13" s="6">
        <f>SUM(C13:E13)</f>
        <v/>
      </c>
      <c r="G13" s="7" t="n"/>
      <c r="H13" s="7" t="n"/>
      <c r="I13" s="7" t="n"/>
    </row>
    <row r="14" ht="15" customHeight="1" s="52">
      <c r="B14" s="55" t="inlineStr">
        <is>
          <t>~LMICT</t>
        </is>
      </c>
      <c r="C14" s="55" t="n"/>
      <c r="D14" s="55" t="n"/>
      <c r="E14" s="55" t="n"/>
      <c r="F14" s="6">
        <f>SUM(C14:E14)</f>
        <v/>
      </c>
      <c r="G14" s="8">
        <f>IFERROR(((C14/2)*G$2)*5,0)</f>
        <v/>
      </c>
      <c r="H14" s="8">
        <f>IFERROR(((D14/2)*H$2)*5,0)</f>
        <v/>
      </c>
      <c r="I14" s="8">
        <f>IFERROR(((E14/2)*I$2)*5,0)</f>
        <v/>
      </c>
      <c r="J14" s="8">
        <f>SUM(G14:I14)</f>
        <v/>
      </c>
      <c r="K14" s="5" t="n"/>
      <c r="L14" s="5" t="n"/>
    </row>
    <row r="15" ht="15" customHeight="1" s="52">
      <c r="B15" s="55" t="inlineStr">
        <is>
          <t>~LMIB</t>
        </is>
      </c>
      <c r="C15" s="55" t="n"/>
      <c r="D15" s="55" t="n"/>
      <c r="E15" s="55" t="n"/>
      <c r="F15" s="6">
        <f>SUM(C15:E15)</f>
        <v/>
      </c>
      <c r="G15" s="8">
        <f>IFERROR(((C15/2)*G$2)*5,0)</f>
        <v/>
      </c>
      <c r="H15" s="8">
        <f>IFERROR(((D15/2)*H$2)*5,0)</f>
        <v/>
      </c>
      <c r="I15" s="8">
        <f>IFERROR(((E15/2)*I$2)*5,0)</f>
        <v/>
      </c>
      <c r="J15" s="8">
        <f>SUM(G15:I15)</f>
        <v/>
      </c>
      <c r="K15" s="5" t="n"/>
      <c r="L15" s="5" t="n"/>
    </row>
    <row r="16" ht="15" customHeight="1" s="52">
      <c r="B16" s="55" t="inlineStr">
        <is>
          <t>LMIB$</t>
        </is>
      </c>
      <c r="C16" s="57" t="n"/>
      <c r="D16" s="57" t="n"/>
      <c r="E16" s="57" t="n"/>
      <c r="F16" s="6">
        <f>SUM(C16:E16)</f>
        <v/>
      </c>
      <c r="G16" s="10">
        <f>IFERROR(((C16/2)*G$2)*5,0)</f>
        <v/>
      </c>
      <c r="H16" s="10">
        <f>IFERROR(((D16/2)*H$2)*5,0)</f>
        <v/>
      </c>
      <c r="I16" s="10">
        <f>IFERROR(((E16/2)*I$2)*5,0)</f>
        <v/>
      </c>
      <c r="J16" s="11">
        <f>SUM(G16:I16)</f>
        <v/>
      </c>
      <c r="K16" s="9">
        <f>IFERROR((F16/6)*5,0)</f>
        <v/>
      </c>
      <c r="L16" s="10">
        <f>J16-K16</f>
        <v/>
      </c>
    </row>
    <row r="17" ht="15" customHeight="1" s="52">
      <c r="B17" s="55" t="inlineStr">
        <is>
          <t>~MMCT</t>
        </is>
      </c>
      <c r="C17" s="55" t="n"/>
      <c r="D17" s="55" t="n"/>
      <c r="E17" s="55" t="n"/>
      <c r="F17" s="6">
        <f>SUM(C17:E17)</f>
        <v/>
      </c>
      <c r="G17" s="8">
        <f>IFERROR(((C17/2)*G$2)*5,0)</f>
        <v/>
      </c>
      <c r="H17" s="8">
        <f>IFERROR(((D17/2)*H$2)*5,0)</f>
        <v/>
      </c>
      <c r="I17" s="8">
        <f>IFERROR(((E17/2)*I$2)*5,0)</f>
        <v/>
      </c>
      <c r="J17" s="8">
        <f>SUM(G17:I17)</f>
        <v/>
      </c>
      <c r="K17" s="5" t="n"/>
    </row>
    <row r="18" ht="15" customHeight="1" s="52">
      <c r="B18" s="55" t="inlineStr">
        <is>
          <t>~MINB</t>
        </is>
      </c>
      <c r="C18" s="55" t="n"/>
      <c r="D18" s="55" t="n"/>
      <c r="E18" s="55" t="n"/>
      <c r="F18" s="6">
        <f>SUM(C18:E18)</f>
        <v/>
      </c>
      <c r="G18" s="8">
        <f>IFERROR(((C18/2)*G$2)*5,0)</f>
        <v/>
      </c>
      <c r="H18" s="8">
        <f>IFERROR(((D18/2)*H$2)*5,0)</f>
        <v/>
      </c>
      <c r="I18" s="8">
        <f>IFERROR(((E18/2)*I$2)*5,0)</f>
        <v/>
      </c>
      <c r="J18" s="8">
        <f>SUM(G18:I18)</f>
        <v/>
      </c>
      <c r="K18" s="5" t="n"/>
    </row>
    <row r="19" ht="15" customHeight="1" s="52">
      <c r="B19" s="55" t="inlineStr">
        <is>
          <t>~Asian</t>
        </is>
      </c>
      <c r="C19" s="55" t="n"/>
      <c r="D19" s="55" t="n"/>
      <c r="E19" s="55" t="n"/>
      <c r="F19" s="6">
        <f>SUM(C19:E19)</f>
        <v/>
      </c>
      <c r="G19" s="8">
        <f>IFERROR(((C19/2)*G$2)*5,0)</f>
        <v/>
      </c>
      <c r="H19" s="8">
        <f>IFERROR(((D19/2)*H$2)*5,0)</f>
        <v/>
      </c>
      <c r="I19" s="8">
        <f>IFERROR(((E19/2)*I$2)*5,0)</f>
        <v/>
      </c>
      <c r="J19" s="8">
        <f>SUM(G19:I19)</f>
        <v/>
      </c>
      <c r="K19" s="5" t="n"/>
    </row>
    <row r="20" ht="15" customHeight="1" s="52">
      <c r="B20" s="55" t="inlineStr">
        <is>
          <t>~Black</t>
        </is>
      </c>
      <c r="C20" s="55" t="n"/>
      <c r="D20" s="55" t="n"/>
      <c r="E20" s="55" t="n"/>
      <c r="F20" s="6">
        <f>SUM(C20:E20)</f>
        <v/>
      </c>
      <c r="G20" s="8">
        <f>IFERROR(((C20/2)*G$2)*5,0)</f>
        <v/>
      </c>
      <c r="H20" s="8">
        <f>IFERROR(((D20/2)*H$2)*5,0)</f>
        <v/>
      </c>
      <c r="I20" s="8">
        <f>IFERROR(((E20/2)*I$2)*5,0)</f>
        <v/>
      </c>
      <c r="J20" s="8">
        <f>SUM(G20:I20)</f>
        <v/>
      </c>
      <c r="K20" s="5" t="n"/>
    </row>
    <row r="21" ht="15" customHeight="1" s="52">
      <c r="B21" s="55" t="inlineStr">
        <is>
          <t>~Native American</t>
        </is>
      </c>
      <c r="C21" s="55" t="n"/>
      <c r="D21" s="55" t="n"/>
      <c r="E21" s="55" t="n"/>
      <c r="F21" s="6">
        <f>SUM(C21:E21)</f>
        <v/>
      </c>
      <c r="G21" s="8">
        <f>IFERROR(((C21/2)*G$2)*5,0)</f>
        <v/>
      </c>
      <c r="H21" s="8">
        <f>IFERROR(((D21/2)*H$2)*5,0)</f>
        <v/>
      </c>
      <c r="I21" s="8">
        <f>IFERROR(((E21/2)*I$2)*5,0)</f>
        <v/>
      </c>
      <c r="J21" s="8">
        <f>SUM(G21:I21)</f>
        <v/>
      </c>
      <c r="K21" s="5" t="n"/>
    </row>
    <row r="22" ht="15" customHeight="1" s="52">
      <c r="B22" s="55" t="inlineStr">
        <is>
          <t>~HoPI</t>
        </is>
      </c>
      <c r="C22" s="55" t="n"/>
      <c r="D22" s="55" t="n"/>
      <c r="E22" s="55" t="n"/>
      <c r="F22" s="6">
        <f>SUM(C22:E22)</f>
        <v/>
      </c>
      <c r="G22" s="8">
        <f>IFERROR(((C22/2)*G$2)*5,0)</f>
        <v/>
      </c>
      <c r="H22" s="8">
        <f>IFERROR(((D22/2)*H$2)*5,0)</f>
        <v/>
      </c>
      <c r="I22" s="8">
        <f>IFERROR(((E22/2)*I$2)*5,0)</f>
        <v/>
      </c>
      <c r="J22" s="8">
        <f>SUM(G22:I22)</f>
        <v/>
      </c>
      <c r="K22" s="5" t="n"/>
    </row>
    <row r="23" ht="15" customHeight="1" s="52">
      <c r="B23" s="55" t="inlineStr">
        <is>
          <t>~Hispanic</t>
        </is>
      </c>
      <c r="C23" s="55" t="n"/>
      <c r="D23" s="55" t="n"/>
      <c r="E23" s="55" t="n"/>
      <c r="F23" s="6">
        <f>SUM(C23:E23)</f>
        <v/>
      </c>
      <c r="G23" s="8">
        <f>IFERROR(((C23/2)*G$2)*5,0)</f>
        <v/>
      </c>
      <c r="H23" s="8">
        <f>IFERROR(((D23/2)*H$2)*5,0)</f>
        <v/>
      </c>
      <c r="I23" s="8">
        <f>IFERROR(((E23/2)*I$2)*5,0)</f>
        <v/>
      </c>
      <c r="J23" s="8">
        <f>SUM(G23:I23)</f>
        <v/>
      </c>
      <c r="K23" s="5" t="n"/>
    </row>
  </sheetData>
  <mergeCells count="2">
    <mergeCell ref="A2:A12"/>
    <mergeCell ref="A13:A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D2" sqref="D2:E26"/>
    </sheetView>
  </sheetViews>
  <sheetFormatPr baseColWidth="8" defaultRowHeight="15" customHeight="1"/>
  <cols>
    <col width="24.85546875" customWidth="1" style="52" min="1" max="6"/>
  </cols>
  <sheetData>
    <row r="1">
      <c r="A1" s="67" t="inlineStr">
        <is>
          <t>State</t>
        </is>
      </c>
      <c r="B1" s="70" t="n"/>
      <c r="C1" s="68" t="n"/>
      <c r="D1" s="67" t="inlineStr">
        <is>
          <t>Bank A</t>
        </is>
      </c>
      <c r="E1" s="67" t="inlineStr">
        <is>
          <t>Peers</t>
        </is>
      </c>
      <c r="F1" s="60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>
        <v>0</v>
      </c>
      <c r="E2" s="13" t="n">
        <v>0</v>
      </c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</sheetData>
  <mergeCells count="6">
    <mergeCell ref="A2:B6"/>
    <mergeCell ref="A7:A26"/>
    <mergeCell ref="B17:B21"/>
    <mergeCell ref="B12:B16"/>
    <mergeCell ref="B22:B26"/>
    <mergeCell ref="B7:B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5"/>
  <sheetData>
    <row r="1">
      <c r="A1" s="60" t="n"/>
      <c r="B1" s="60" t="n"/>
      <c r="C1" s="71" t="inlineStr">
        <is>
          <t>Atlantic Union</t>
        </is>
      </c>
      <c r="D1" s="60" t="n"/>
      <c r="E1" s="60" t="n"/>
      <c r="F1" s="60" t="n"/>
      <c r="G1" s="60" t="n"/>
      <c r="H1" s="71" t="inlineStr">
        <is>
          <t>Other Banks</t>
        </is>
      </c>
      <c r="I1" s="60" t="n"/>
      <c r="J1" s="60" t="n"/>
      <c r="K1" s="60" t="n"/>
      <c r="L1" s="60" t="n"/>
    </row>
    <row r="2">
      <c r="A2" s="72" t="inlineStr">
        <is>
          <t>Atlantic Union Assessment Areas</t>
        </is>
      </c>
      <c r="B2" s="60" t="n"/>
      <c r="C2" s="71" t="inlineStr">
        <is>
          <t>2018</t>
        </is>
      </c>
      <c r="D2" s="71" t="inlineStr">
        <is>
          <t>2019</t>
        </is>
      </c>
      <c r="E2" s="71" t="inlineStr">
        <is>
          <t>2020</t>
        </is>
      </c>
      <c r="F2" s="71" t="inlineStr">
        <is>
          <t>2021</t>
        </is>
      </c>
      <c r="G2" s="71" t="inlineStr">
        <is>
          <t>2022</t>
        </is>
      </c>
      <c r="H2" s="71" t="inlineStr">
        <is>
          <t>2018</t>
        </is>
      </c>
      <c r="I2" s="71" t="inlineStr">
        <is>
          <t>2019</t>
        </is>
      </c>
      <c r="J2" s="71" t="inlineStr">
        <is>
          <t>2020</t>
        </is>
      </c>
      <c r="K2" s="71" t="inlineStr">
        <is>
          <t>2021</t>
        </is>
      </c>
      <c r="L2" s="71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6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6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6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6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6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6" t="inlineStr">
        <is>
          <t>Arlington-Alexandria-Reston, VA AA</t>
        </is>
      </c>
      <c r="B9" s="46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6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6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6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6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6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6" t="inlineStr">
        <is>
          <t>Richmond, VA AA</t>
        </is>
      </c>
      <c r="B15" s="46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6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6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6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6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6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6" t="inlineStr">
        <is>
          <t>Virginia Beach VA-NC AA</t>
        </is>
      </c>
      <c r="B21" s="46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6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6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6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6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6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6" t="inlineStr">
        <is>
          <t>Northeastern VA non-MSA AA</t>
        </is>
      </c>
      <c r="B27" s="46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6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6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6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6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6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6" t="inlineStr">
        <is>
          <t>Charlottesville, VA MSA</t>
        </is>
      </c>
      <c r="B33" s="46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6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6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6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6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6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6" t="inlineStr">
        <is>
          <t>Roanoke, VA MSA</t>
        </is>
      </c>
      <c r="B39" s="46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6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6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6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6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6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6" t="inlineStr">
        <is>
          <t>Blacksburg-Christiansburg-Radford, VA MSA</t>
        </is>
      </c>
      <c r="B45" s="46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6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6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6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6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6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6" t="inlineStr">
        <is>
          <t>Staunton-Stuarts Draft, VA MSA</t>
        </is>
      </c>
      <c r="B51" s="46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6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6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6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6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6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6" t="inlineStr">
        <is>
          <t>Northeast NC non-MSA AA</t>
        </is>
      </c>
      <c r="B57" s="46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6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6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6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6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6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6" t="inlineStr">
        <is>
          <t>Lynchburg, VA MSA</t>
        </is>
      </c>
      <c r="B63" s="46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6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6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6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6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6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6" t="inlineStr">
        <is>
          <t>Central VA non-MSA AA</t>
        </is>
      </c>
      <c r="B69" s="46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6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6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6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6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6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6" t="inlineStr">
        <is>
          <t>Harrisonburg, VA MSA</t>
        </is>
      </c>
      <c r="B75" s="46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6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6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6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6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6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6" t="inlineStr">
        <is>
          <t>Raleigh-Cary, NC AA</t>
        </is>
      </c>
      <c r="B81" s="46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6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6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6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6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6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6" t="inlineStr">
        <is>
          <t>Eastern Shore VA non-MSA AA</t>
        </is>
      </c>
      <c r="B87" s="46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6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6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6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6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6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6" t="inlineStr">
        <is>
          <t>Southside VA non-MSA AA</t>
        </is>
      </c>
      <c r="B93" s="46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6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6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6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6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6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6" t="inlineStr">
        <is>
          <t>Northwestern VA non-MSA AA</t>
        </is>
      </c>
      <c r="B99" s="46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6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6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6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6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6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6" t="inlineStr">
        <is>
          <t>Eastern Shore MD AA</t>
        </is>
      </c>
      <c r="B105" s="46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6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6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6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6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6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6" t="inlineStr">
        <is>
          <t>Southeastern VA non-MSA AA</t>
        </is>
      </c>
      <c r="B111" s="46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6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6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6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6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6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6" t="inlineStr">
        <is>
          <t>Winston-Salem, NC AA</t>
        </is>
      </c>
      <c r="B117" s="46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6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6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6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6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6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6" t="inlineStr">
        <is>
          <t>Greensboro-High Point, NC AA</t>
        </is>
      </c>
      <c r="B123" s="46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6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6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6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6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6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6" t="inlineStr">
        <is>
          <t>Yanceyville, NC non-MSA AA</t>
        </is>
      </c>
      <c r="B129" s="46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6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6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6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6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6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A45:A50"/>
    <mergeCell ref="C1:G1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0"/>
  <sheetViews>
    <sheetView workbookViewId="0">
      <selection activeCell="D2" sqref="D2:E26"/>
    </sheetView>
  </sheetViews>
  <sheetFormatPr baseColWidth="8" defaultRowHeight="15" customHeight="1"/>
  <cols>
    <col width="51" bestFit="1" customWidth="1" style="52" min="2" max="2"/>
    <col width="30.7109375" bestFit="1" customWidth="1" style="52" min="3" max="3"/>
    <col width="16" bestFit="1" customWidth="1" style="52" min="4" max="4"/>
    <col width="26.5703125" customWidth="1" style="52" min="5" max="5"/>
    <col width="15" customWidth="1" style="52" min="6" max="6"/>
  </cols>
  <sheetData>
    <row r="1">
      <c r="A1" s="67" t="inlineStr">
        <is>
          <t>State</t>
        </is>
      </c>
      <c r="B1" s="70" t="n"/>
      <c r="C1" s="68" t="n"/>
      <c r="D1" s="67" t="inlineStr">
        <is>
          <t>Bank B</t>
        </is>
      </c>
      <c r="E1" s="67" t="inlineStr">
        <is>
          <t>Peers</t>
        </is>
      </c>
      <c r="F1" s="60" t="inlineStr">
        <is>
          <t>Difference</t>
        </is>
      </c>
    </row>
    <row r="2">
      <c r="A2" s="43" t="inlineStr">
        <is>
          <t>Grand Total</t>
        </is>
      </c>
      <c r="C2" s="55" t="inlineStr">
        <is>
          <t>SB Loans</t>
        </is>
      </c>
      <c r="D2" s="13" t="n"/>
      <c r="E2" s="13" t="n"/>
      <c r="F2" s="5" t="n"/>
    </row>
    <row r="3">
      <c r="C3" s="55" t="inlineStr">
        <is>
          <t>#LMICT</t>
        </is>
      </c>
      <c r="D3" s="55" t="n"/>
      <c r="E3" s="13" t="n"/>
      <c r="F3" s="24">
        <f>IFERROR((D3/D2)-(E3/E2),"")</f>
        <v/>
      </c>
    </row>
    <row r="4">
      <c r="C4" s="55" t="inlineStr">
        <is>
          <t>Avg SB LMICT Loan Amount</t>
        </is>
      </c>
      <c r="D4" s="57" t="n"/>
      <c r="E4" s="57" t="n"/>
      <c r="F4" s="24">
        <f>IFERROR((D4/E4)-1,"")</f>
        <v/>
      </c>
    </row>
    <row r="5">
      <c r="C5" s="55" t="inlineStr">
        <is>
          <t>Loans Rev Under $1m</t>
        </is>
      </c>
      <c r="D5" s="13" t="n"/>
      <c r="E5" s="13" t="n"/>
      <c r="F5" s="24">
        <f>IFERROR((D5/D2)-(E5/E2),"")</f>
        <v/>
      </c>
    </row>
    <row r="6">
      <c r="C6" s="55" t="inlineStr">
        <is>
          <t>Avg Loan Amt for RUM SB</t>
        </is>
      </c>
      <c r="D6" s="57" t="n"/>
      <c r="E6" s="57" t="n"/>
      <c r="F6" s="24">
        <f>IFERROR((D6/E6)-1,"")</f>
        <v/>
      </c>
    </row>
    <row r="7">
      <c r="A7" s="43" t="inlineStr">
        <is>
          <t>State 1</t>
        </is>
      </c>
      <c r="B7" s="55" t="inlineStr">
        <is>
          <t>Assessment Area 1</t>
        </is>
      </c>
      <c r="C7" s="55" t="inlineStr">
        <is>
          <t>SB Loans</t>
        </is>
      </c>
      <c r="D7" s="13" t="n"/>
      <c r="E7" s="13" t="n"/>
      <c r="F7" s="5" t="n"/>
    </row>
    <row r="8">
      <c r="C8" s="55" t="inlineStr">
        <is>
          <t>#LMICT</t>
        </is>
      </c>
      <c r="D8" s="55" t="n"/>
      <c r="E8" s="13" t="n"/>
      <c r="F8" s="24">
        <f>IFERROR((D8/D7)-(E8/E7),"")</f>
        <v/>
      </c>
    </row>
    <row r="9">
      <c r="C9" s="55" t="inlineStr">
        <is>
          <t>Avg SB LMICT Loan Amount</t>
        </is>
      </c>
      <c r="D9" s="57" t="n"/>
      <c r="E9" s="57" t="n"/>
      <c r="F9" s="24">
        <f>IFERROR((D9/E9)-1,"")</f>
        <v/>
      </c>
    </row>
    <row r="10">
      <c r="C10" s="55" t="inlineStr">
        <is>
          <t>Loans Rev Under $1m</t>
        </is>
      </c>
      <c r="D10" s="55" t="n"/>
      <c r="E10" s="13" t="n"/>
      <c r="F10" s="24">
        <f>IFERROR((D10/D7)-(E10/E7),"")</f>
        <v/>
      </c>
    </row>
    <row r="11">
      <c r="C11" s="55" t="inlineStr">
        <is>
          <t>Avg Loan Amt for RUM SB</t>
        </is>
      </c>
      <c r="D11" s="57" t="n"/>
      <c r="E11" s="57" t="n"/>
      <c r="F11" s="24">
        <f>IFERROR((D11/E11)-1,"")</f>
        <v/>
      </c>
    </row>
    <row r="12">
      <c r="B12" s="55" t="inlineStr">
        <is>
          <t>Assessment Area 2</t>
        </is>
      </c>
      <c r="C12" s="55" t="inlineStr">
        <is>
          <t>SB Loans</t>
        </is>
      </c>
      <c r="D12" s="13" t="n"/>
      <c r="E12" s="13" t="n"/>
      <c r="F12" s="5" t="n"/>
    </row>
    <row r="13">
      <c r="C13" s="55" t="inlineStr">
        <is>
          <t>#LMICT</t>
        </is>
      </c>
      <c r="D13" s="55" t="n"/>
      <c r="E13" s="13" t="n"/>
      <c r="F13" s="24">
        <f>IFERROR((D13/D12)-(E13/E12),"")</f>
        <v/>
      </c>
    </row>
    <row r="14">
      <c r="C14" s="55" t="inlineStr">
        <is>
          <t>Avg SB LMICT Loan Amount</t>
        </is>
      </c>
      <c r="D14" s="57" t="n"/>
      <c r="E14" s="57" t="n"/>
      <c r="F14" s="24">
        <f>IFERROR((D14/E14)-1,"")</f>
        <v/>
      </c>
    </row>
    <row r="15">
      <c r="C15" s="55" t="inlineStr">
        <is>
          <t>Loans Rev Under $1m</t>
        </is>
      </c>
      <c r="D15" s="55" t="n"/>
      <c r="E15" s="13" t="n"/>
      <c r="F15" s="24">
        <f>IFERROR((D15/D12)-(E15/E12),"")</f>
        <v/>
      </c>
    </row>
    <row r="16">
      <c r="C16" s="55" t="inlineStr">
        <is>
          <t>Avg Loan Amt for RUM SB</t>
        </is>
      </c>
      <c r="D16" s="57" t="n"/>
      <c r="E16" s="57" t="n"/>
      <c r="F16" s="24">
        <f>IFERROR((D16/E16)-1,"")</f>
        <v/>
      </c>
    </row>
    <row r="17">
      <c r="B17" s="55" t="inlineStr">
        <is>
          <t>Assessment Area 3</t>
        </is>
      </c>
      <c r="C17" s="55" t="inlineStr">
        <is>
          <t>SB Loans</t>
        </is>
      </c>
      <c r="D17" s="13" t="n"/>
      <c r="E17" s="13" t="n"/>
      <c r="F17" s="5" t="n"/>
    </row>
    <row r="18">
      <c r="C18" s="55" t="inlineStr">
        <is>
          <t>#LMICT</t>
        </is>
      </c>
      <c r="D18" s="55" t="n"/>
      <c r="E18" s="13" t="n"/>
      <c r="F18" s="24">
        <f>IFERROR((D18/D17)-(E18/E17),"")</f>
        <v/>
      </c>
    </row>
    <row r="19">
      <c r="C19" s="55" t="inlineStr">
        <is>
          <t>Avg SB LMICT Loan Amount</t>
        </is>
      </c>
      <c r="D19" s="57" t="n"/>
      <c r="E19" s="57" t="n"/>
      <c r="F19" s="24">
        <f>IFERROR((D19/E19)-1,"")</f>
        <v/>
      </c>
    </row>
    <row r="20">
      <c r="C20" s="55" t="inlineStr">
        <is>
          <t>Loans Rev Under $1m</t>
        </is>
      </c>
      <c r="D20" s="13" t="n"/>
      <c r="E20" s="13" t="n"/>
      <c r="F20" s="24">
        <f>IFERROR((D20/D17)-(E20/E17),"")</f>
        <v/>
      </c>
    </row>
    <row r="21">
      <c r="C21" s="55" t="inlineStr">
        <is>
          <t>Avg Loan Amt for RUM SB</t>
        </is>
      </c>
      <c r="D21" s="57" t="n"/>
      <c r="E21" s="57" t="n"/>
      <c r="F21" s="24">
        <f>IFERROR((D21/E21)-1,"")</f>
        <v/>
      </c>
    </row>
    <row r="22">
      <c r="B22" s="55" t="inlineStr">
        <is>
          <t>Assessment Area 4</t>
        </is>
      </c>
      <c r="C22" s="55" t="inlineStr">
        <is>
          <t>SB Loans</t>
        </is>
      </c>
      <c r="D22" s="13" t="n"/>
      <c r="E22" s="13" t="n"/>
      <c r="F22" s="5" t="n"/>
    </row>
    <row r="23">
      <c r="C23" s="55" t="inlineStr">
        <is>
          <t>#LMICT</t>
        </is>
      </c>
      <c r="D23" s="55" t="n"/>
      <c r="E23" s="55" t="n"/>
      <c r="F23" s="24">
        <f>IFERROR((D23/D22)-(E23/E22),"")</f>
        <v/>
      </c>
    </row>
    <row r="24">
      <c r="C24" s="55" t="inlineStr">
        <is>
          <t>Avg SB LMICT Loan Amount</t>
        </is>
      </c>
      <c r="D24" s="57" t="n"/>
      <c r="E24" s="57" t="n"/>
      <c r="F24" s="24">
        <f>IFERROR((D24/E24)-1,"")</f>
        <v/>
      </c>
    </row>
    <row r="25">
      <c r="C25" s="55" t="inlineStr">
        <is>
          <t>Loans Rev Under $1m</t>
        </is>
      </c>
      <c r="D25" s="55" t="n"/>
      <c r="E25" s="13" t="n"/>
      <c r="F25" s="24">
        <f>IFERROR((D25/D22)-(E25/E22),"")</f>
        <v/>
      </c>
    </row>
    <row r="26">
      <c r="C26" s="55" t="inlineStr">
        <is>
          <t>Avg Loan Amt for RUM SB</t>
        </is>
      </c>
      <c r="D26" s="57" t="n"/>
      <c r="E26" s="57" t="n"/>
      <c r="F26" s="24">
        <f>IFERROR((D26/E26)-1,"")</f>
        <v/>
      </c>
    </row>
    <row r="27">
      <c r="A27" s="55" t="n"/>
      <c r="B27" s="55" t="n"/>
      <c r="C27" s="55" t="n"/>
      <c r="D27" s="13" t="n"/>
      <c r="E27" s="13" t="n"/>
      <c r="F27" s="5" t="n"/>
    </row>
    <row r="28">
      <c r="A28" s="55" t="n"/>
      <c r="B28" s="55" t="n"/>
      <c r="C28" s="55" t="n"/>
      <c r="D28" s="55" t="n"/>
      <c r="E28" s="55" t="n"/>
      <c r="F28" s="5" t="n"/>
    </row>
    <row r="29">
      <c r="A29" s="55" t="n"/>
      <c r="B29" s="55" t="n"/>
      <c r="C29" s="55" t="n"/>
      <c r="D29" s="57" t="n"/>
      <c r="E29" s="57" t="n"/>
      <c r="F29" s="5" t="n"/>
    </row>
    <row r="30">
      <c r="A30" s="55" t="n"/>
      <c r="B30" s="55" t="n"/>
      <c r="C30" s="55" t="n"/>
      <c r="D30" s="55" t="n"/>
      <c r="E30" s="13" t="n"/>
      <c r="F30" s="5" t="n"/>
    </row>
    <row r="31">
      <c r="A31" s="55" t="n"/>
      <c r="B31" s="55" t="n"/>
      <c r="C31" s="55" t="n"/>
      <c r="D31" s="57" t="n"/>
      <c r="E31" s="57" t="n"/>
      <c r="F31" s="5" t="n"/>
    </row>
    <row r="32">
      <c r="B32" s="46" t="n"/>
      <c r="C32" s="46" t="n"/>
      <c r="D32" s="1" t="n"/>
      <c r="E32" s="1" t="n"/>
      <c r="F32" s="5" t="n"/>
    </row>
    <row r="33">
      <c r="C33" s="46" t="n"/>
      <c r="D33" s="1" t="n"/>
      <c r="E33" s="1" t="n"/>
      <c r="F33" s="5" t="n"/>
    </row>
    <row r="34">
      <c r="C34" s="46" t="n"/>
      <c r="D34" s="59" t="n"/>
      <c r="E34" s="59" t="n"/>
      <c r="F34" s="5" t="n"/>
    </row>
    <row r="35">
      <c r="C35" s="46" t="n"/>
      <c r="D35" s="1" t="n"/>
      <c r="E35" s="1" t="n"/>
      <c r="F35" s="5" t="n"/>
    </row>
    <row r="36">
      <c r="C36" s="46" t="n"/>
      <c r="D36" s="59" t="n"/>
      <c r="E36" s="59" t="n"/>
      <c r="F36" s="5" t="n"/>
    </row>
    <row r="37">
      <c r="B37" s="46" t="n"/>
      <c r="C37" s="46" t="n"/>
      <c r="D37" s="1" t="n"/>
      <c r="E37" s="1" t="n"/>
      <c r="F37" s="5" t="n"/>
    </row>
    <row r="38">
      <c r="C38" s="46" t="n"/>
      <c r="D38" s="1" t="n"/>
      <c r="E38" s="1" t="n"/>
      <c r="F38" s="5" t="n"/>
    </row>
    <row r="39">
      <c r="C39" s="46" t="n"/>
      <c r="D39" s="59" t="n"/>
      <c r="E39" s="59" t="n"/>
      <c r="F39" s="5" t="n"/>
    </row>
    <row r="40">
      <c r="C40" s="46" t="n"/>
      <c r="D40" s="1" t="n"/>
      <c r="E40" s="1" t="n"/>
      <c r="F40" s="5" t="n"/>
    </row>
    <row r="41">
      <c r="C41" s="46" t="n"/>
      <c r="D41" s="59" t="n"/>
      <c r="E41" s="59" t="n"/>
      <c r="F41" s="5" t="n"/>
    </row>
    <row r="42">
      <c r="B42" s="46" t="n"/>
      <c r="C42" s="46" t="n"/>
      <c r="D42" s="1" t="n"/>
      <c r="E42" s="1" t="n"/>
      <c r="F42" s="5" t="n"/>
    </row>
    <row r="43">
      <c r="C43" s="46" t="n"/>
      <c r="D43" s="1" t="n"/>
      <c r="E43" s="1" t="n"/>
      <c r="F43" s="5" t="n"/>
    </row>
    <row r="44">
      <c r="C44" s="46" t="n"/>
      <c r="D44" s="59" t="n"/>
      <c r="E44" s="59" t="n"/>
      <c r="F44" s="5" t="n"/>
    </row>
    <row r="45">
      <c r="C45" s="46" t="n"/>
      <c r="D45" s="1" t="n"/>
      <c r="E45" s="1" t="n"/>
      <c r="F45" s="5" t="n"/>
    </row>
    <row r="46">
      <c r="C46" s="46" t="n"/>
      <c r="D46" s="59" t="n"/>
      <c r="E46" s="59" t="n"/>
      <c r="F46" s="5" t="n"/>
    </row>
    <row r="47">
      <c r="B47" s="46" t="n"/>
      <c r="C47" s="46" t="n"/>
      <c r="D47" s="1" t="n"/>
      <c r="E47" s="1" t="n"/>
      <c r="F47" s="5" t="n"/>
    </row>
    <row r="48">
      <c r="C48" s="46" t="n"/>
      <c r="D48" s="1" t="n"/>
      <c r="E48" s="1" t="n"/>
      <c r="F48" s="5" t="n"/>
    </row>
    <row r="49">
      <c r="C49" s="46" t="n"/>
      <c r="D49" s="59" t="n"/>
      <c r="E49" s="59" t="n"/>
      <c r="F49" s="5" t="n"/>
    </row>
    <row r="50">
      <c r="C50" s="46" t="n"/>
      <c r="D50" s="1" t="n"/>
      <c r="E50" s="1" t="n"/>
      <c r="F50" s="5" t="n"/>
    </row>
    <row r="51">
      <c r="C51" s="46" t="n"/>
      <c r="D51" s="59" t="n"/>
      <c r="E51" s="59" t="n"/>
      <c r="F51" s="5" t="n"/>
    </row>
    <row r="52">
      <c r="B52" s="46" t="n"/>
      <c r="C52" s="46" t="n"/>
      <c r="D52" s="1" t="n"/>
      <c r="E52" s="1" t="n"/>
      <c r="F52" s="5" t="n"/>
    </row>
    <row r="53">
      <c r="C53" s="46" t="n"/>
      <c r="D53" s="1" t="n"/>
      <c r="E53" s="1" t="n"/>
      <c r="F53" s="5" t="n"/>
    </row>
    <row r="54">
      <c r="C54" s="46" t="n"/>
      <c r="D54" s="59" t="n"/>
      <c r="E54" s="59" t="n"/>
      <c r="F54" s="5" t="n"/>
    </row>
    <row r="55">
      <c r="C55" s="46" t="n"/>
      <c r="D55" s="1" t="n"/>
      <c r="E55" s="1" t="n"/>
      <c r="F55" s="5" t="n"/>
    </row>
    <row r="56">
      <c r="C56" s="46" t="n"/>
      <c r="D56" s="59" t="n"/>
      <c r="E56" s="59" t="n"/>
      <c r="F56" s="5" t="n"/>
    </row>
    <row r="57">
      <c r="B57" s="46" t="n"/>
      <c r="C57" s="46" t="n"/>
      <c r="D57" s="1" t="n"/>
      <c r="E57" s="1" t="n"/>
      <c r="F57" s="5" t="n"/>
    </row>
    <row r="58">
      <c r="C58" s="46" t="n"/>
      <c r="D58" s="1" t="n"/>
      <c r="E58" s="1" t="n"/>
      <c r="F58" s="5" t="n"/>
    </row>
    <row r="59">
      <c r="C59" s="46" t="n"/>
      <c r="D59" s="59" t="n"/>
      <c r="E59" s="59" t="n"/>
      <c r="F59" s="5" t="n"/>
    </row>
    <row r="60">
      <c r="C60" s="46" t="n"/>
      <c r="D60" s="1" t="n"/>
      <c r="E60" s="1" t="n"/>
      <c r="F60" s="5" t="n"/>
    </row>
    <row r="61">
      <c r="C61" s="46" t="n"/>
      <c r="D61" s="59" t="n"/>
      <c r="E61" s="59" t="n"/>
      <c r="F61" s="5" t="n"/>
    </row>
    <row r="62">
      <c r="B62" s="46" t="n"/>
      <c r="C62" s="46" t="n"/>
      <c r="D62" s="1" t="n"/>
      <c r="E62" s="1" t="n"/>
      <c r="F62" s="5" t="n"/>
    </row>
    <row r="63">
      <c r="C63" s="46" t="n"/>
      <c r="D63" s="1" t="n"/>
      <c r="E63" s="1" t="n"/>
      <c r="F63" s="5" t="n"/>
    </row>
    <row r="64">
      <c r="C64" s="46" t="n"/>
      <c r="D64" s="59" t="n"/>
      <c r="E64" s="59" t="n"/>
      <c r="F64" s="5" t="n"/>
    </row>
    <row r="65">
      <c r="C65" s="46" t="n"/>
      <c r="D65" s="1" t="n"/>
      <c r="E65" s="1" t="n"/>
      <c r="F65" s="5" t="n"/>
    </row>
    <row r="66">
      <c r="C66" s="46" t="n"/>
      <c r="D66" s="59" t="n"/>
      <c r="E66" s="59" t="n"/>
      <c r="F66" s="5" t="n"/>
    </row>
    <row r="67">
      <c r="B67" s="46" t="n"/>
      <c r="C67" s="46" t="n"/>
      <c r="D67" s="1" t="n"/>
      <c r="E67" s="1" t="n"/>
      <c r="F67" s="5" t="n"/>
    </row>
    <row r="68">
      <c r="C68" s="46" t="n"/>
      <c r="D68" s="1" t="n"/>
      <c r="E68" s="1" t="n"/>
      <c r="F68" s="5" t="n"/>
    </row>
    <row r="69">
      <c r="C69" s="46" t="n"/>
      <c r="D69" s="59" t="n"/>
      <c r="E69" s="59" t="n"/>
      <c r="F69" s="5" t="n"/>
    </row>
    <row r="70">
      <c r="C70" s="46" t="n"/>
      <c r="D70" s="1" t="n"/>
      <c r="E70" s="1" t="n"/>
      <c r="F70" s="5" t="n"/>
    </row>
    <row r="71">
      <c r="C71" s="46" t="n"/>
      <c r="D71" s="59" t="n"/>
      <c r="E71" s="59" t="n"/>
      <c r="F71" s="5" t="n"/>
    </row>
    <row r="72">
      <c r="B72" s="46" t="n"/>
      <c r="C72" s="46" t="n"/>
      <c r="D72" s="1" t="n"/>
      <c r="E72" s="1" t="n"/>
      <c r="F72" s="5" t="n"/>
    </row>
    <row r="73">
      <c r="C73" s="46" t="n"/>
      <c r="D73" s="1" t="n"/>
      <c r="E73" s="1" t="n"/>
      <c r="F73" s="5" t="n"/>
    </row>
    <row r="74">
      <c r="C74" s="46" t="n"/>
      <c r="D74" s="59" t="n"/>
      <c r="E74" s="59" t="n"/>
      <c r="F74" s="5" t="n"/>
    </row>
    <row r="75">
      <c r="C75" s="46" t="n"/>
      <c r="D75" s="1" t="n"/>
      <c r="E75" s="1" t="n"/>
      <c r="F75" s="5" t="n"/>
    </row>
    <row r="76">
      <c r="C76" s="46" t="n"/>
      <c r="D76" s="59" t="n"/>
      <c r="E76" s="59" t="n"/>
      <c r="F76" s="5" t="n"/>
    </row>
    <row r="77">
      <c r="B77" s="46" t="n"/>
      <c r="C77" s="46" t="n"/>
      <c r="D77" s="1" t="n"/>
      <c r="E77" s="1" t="n"/>
      <c r="F77" s="5" t="n"/>
    </row>
    <row r="78">
      <c r="C78" s="46" t="n"/>
      <c r="D78" s="1" t="n"/>
      <c r="E78" s="1" t="n"/>
      <c r="F78" s="5" t="n"/>
    </row>
    <row r="79">
      <c r="C79" s="46" t="n"/>
      <c r="D79" s="59" t="n"/>
      <c r="E79" s="59" t="n"/>
      <c r="F79" s="5" t="n"/>
    </row>
    <row r="80">
      <c r="C80" s="46" t="n"/>
      <c r="D80" s="1" t="n"/>
      <c r="E80" s="1" t="n"/>
      <c r="F80" s="5" t="n"/>
    </row>
    <row r="81">
      <c r="C81" s="46" t="n"/>
      <c r="D81" s="59" t="n"/>
      <c r="E81" s="59" t="n"/>
      <c r="F81" s="5" t="n"/>
    </row>
    <row r="82">
      <c r="B82" s="46" t="n"/>
      <c r="C82" s="46" t="n"/>
      <c r="D82" s="1" t="n"/>
      <c r="E82" s="1" t="n"/>
      <c r="F82" s="5" t="n"/>
    </row>
    <row r="83">
      <c r="C83" s="46" t="n"/>
      <c r="D83" s="1" t="n"/>
      <c r="E83" s="1" t="n"/>
      <c r="F83" s="5" t="n"/>
    </row>
    <row r="84">
      <c r="C84" s="46" t="n"/>
      <c r="D84" s="59" t="n"/>
      <c r="E84" s="59" t="n"/>
      <c r="F84" s="5" t="n"/>
    </row>
    <row r="85">
      <c r="C85" s="46" t="n"/>
      <c r="D85" s="1" t="n"/>
      <c r="E85" s="1" t="n"/>
      <c r="F85" s="5" t="n"/>
    </row>
    <row r="86">
      <c r="C86" s="46" t="n"/>
      <c r="D86" s="59" t="n"/>
      <c r="E86" s="59" t="n"/>
      <c r="F86" s="5" t="n"/>
    </row>
    <row r="87">
      <c r="B87" s="46" t="n"/>
      <c r="C87" s="46" t="n"/>
      <c r="D87" s="1" t="n"/>
      <c r="E87" s="1" t="n"/>
      <c r="F87" s="5" t="n"/>
    </row>
    <row r="88">
      <c r="C88" s="46" t="n"/>
      <c r="D88" s="1" t="n"/>
      <c r="E88" s="1" t="n"/>
      <c r="F88" s="5" t="n"/>
    </row>
    <row r="89">
      <c r="C89" s="46" t="n"/>
      <c r="D89" s="59" t="n"/>
      <c r="E89" s="59" t="n"/>
      <c r="F89" s="5" t="n"/>
    </row>
    <row r="90">
      <c r="C90" s="46" t="n"/>
      <c r="D90" s="1" t="n"/>
      <c r="E90" s="1" t="n"/>
      <c r="F90" s="5" t="n"/>
    </row>
    <row r="91">
      <c r="C91" s="46" t="n"/>
      <c r="D91" s="59" t="n"/>
      <c r="E91" s="59" t="n"/>
      <c r="F91" s="5" t="n"/>
    </row>
    <row r="92">
      <c r="B92" s="46" t="n"/>
      <c r="C92" s="46" t="n"/>
      <c r="D92" s="1" t="n"/>
      <c r="E92" s="1" t="n"/>
      <c r="F92" s="5" t="n"/>
    </row>
    <row r="93">
      <c r="C93" s="46" t="n"/>
      <c r="D93" s="1" t="n"/>
      <c r="E93" s="1" t="n"/>
      <c r="F93" s="5" t="n"/>
    </row>
    <row r="94">
      <c r="C94" s="46" t="n"/>
      <c r="D94" s="59" t="n"/>
      <c r="E94" s="59" t="n"/>
      <c r="F94" s="5" t="n"/>
    </row>
    <row r="95">
      <c r="C95" s="46" t="n"/>
      <c r="D95" s="1" t="n"/>
      <c r="E95" s="1" t="n"/>
      <c r="F95" s="5" t="n"/>
    </row>
    <row r="96">
      <c r="C96" s="46" t="n"/>
      <c r="D96" s="59" t="n"/>
      <c r="E96" s="59" t="n"/>
      <c r="F96" s="5" t="n"/>
    </row>
    <row r="97">
      <c r="B97" s="46" t="n"/>
      <c r="C97" s="46" t="n"/>
      <c r="D97" s="1" t="n"/>
      <c r="E97" s="1" t="n"/>
      <c r="F97" s="5" t="n"/>
    </row>
    <row r="98">
      <c r="C98" s="46" t="n"/>
      <c r="D98" s="1" t="n"/>
      <c r="E98" s="1" t="n"/>
      <c r="F98" s="5" t="n"/>
    </row>
    <row r="99">
      <c r="C99" s="46" t="n"/>
      <c r="D99" s="59" t="n"/>
      <c r="E99" s="59" t="n"/>
      <c r="F99" s="5" t="n"/>
    </row>
    <row r="100">
      <c r="C100" s="46" t="n"/>
      <c r="D100" s="1" t="n"/>
      <c r="E100" s="1" t="n"/>
      <c r="F100" s="5" t="n"/>
    </row>
    <row r="101">
      <c r="C101" s="46" t="n"/>
      <c r="D101" s="59" t="n"/>
      <c r="E101" s="59" t="n"/>
      <c r="F101" s="5" t="n"/>
    </row>
    <row r="102">
      <c r="B102" s="46" t="n"/>
      <c r="C102" s="46" t="n"/>
      <c r="D102" s="1" t="n"/>
      <c r="E102" s="1" t="n"/>
      <c r="F102" s="5" t="n"/>
    </row>
    <row r="103">
      <c r="C103" s="46" t="n"/>
      <c r="D103" s="1" t="n"/>
      <c r="E103" s="1" t="n"/>
      <c r="F103" s="5" t="n"/>
    </row>
    <row r="104">
      <c r="C104" s="46" t="n"/>
      <c r="D104" s="59" t="n"/>
      <c r="E104" s="59" t="n"/>
      <c r="F104" s="5" t="n"/>
    </row>
    <row r="105">
      <c r="C105" s="46" t="n"/>
      <c r="D105" s="1" t="n"/>
      <c r="E105" s="1" t="n"/>
      <c r="F105" s="5" t="n"/>
    </row>
    <row r="106">
      <c r="C106" s="46" t="n"/>
      <c r="D106" s="59" t="n"/>
      <c r="E106" s="59" t="n"/>
      <c r="F106" s="5" t="n"/>
    </row>
    <row r="107">
      <c r="B107" s="46" t="n"/>
      <c r="C107" s="46" t="n"/>
      <c r="D107" s="1" t="n"/>
      <c r="E107" s="1" t="n"/>
      <c r="F107" s="5" t="n"/>
    </row>
    <row r="108">
      <c r="C108" s="46" t="n"/>
      <c r="D108" s="1" t="n"/>
      <c r="E108" s="1" t="n"/>
      <c r="F108" s="5" t="n"/>
    </row>
    <row r="109">
      <c r="C109" s="46" t="n"/>
      <c r="D109" s="59" t="n"/>
      <c r="E109" s="59" t="n"/>
      <c r="F109" s="5" t="n"/>
    </row>
    <row r="110">
      <c r="C110" s="46" t="n"/>
      <c r="D110" s="1" t="n"/>
      <c r="E110" s="1" t="n"/>
      <c r="F110" s="5" t="n"/>
    </row>
    <row r="111">
      <c r="C111" s="46" t="n"/>
      <c r="D111" s="59" t="n"/>
      <c r="E111" s="59" t="n"/>
      <c r="F111" s="5" t="n"/>
    </row>
    <row r="112">
      <c r="B112" s="46" t="n"/>
      <c r="C112" s="46" t="n"/>
      <c r="D112" s="1" t="n"/>
      <c r="E112" s="1" t="n"/>
      <c r="F112" s="5" t="n"/>
    </row>
    <row r="113">
      <c r="C113" s="46" t="n"/>
      <c r="D113" s="1" t="n"/>
      <c r="E113" s="1" t="n"/>
      <c r="F113" s="5" t="n"/>
    </row>
    <row r="114">
      <c r="C114" s="46" t="n"/>
      <c r="D114" s="59" t="n"/>
      <c r="E114" s="59" t="n"/>
      <c r="F114" s="5" t="n"/>
    </row>
    <row r="115">
      <c r="C115" s="46" t="n"/>
      <c r="D115" s="1" t="n"/>
      <c r="E115" s="1" t="n"/>
      <c r="F115" s="5" t="n"/>
    </row>
    <row r="116">
      <c r="C116" s="46" t="n"/>
      <c r="D116" s="59" t="n"/>
      <c r="E116" s="59" t="n"/>
      <c r="F116" s="5" t="n"/>
    </row>
    <row r="117">
      <c r="B117" s="46" t="n"/>
      <c r="C117" s="46" t="n"/>
      <c r="D117" s="1" t="n"/>
      <c r="E117" s="1" t="n"/>
      <c r="F117" s="5" t="n"/>
    </row>
    <row r="118">
      <c r="C118" s="46" t="n"/>
      <c r="D118" s="1" t="n"/>
      <c r="E118" s="1" t="n"/>
      <c r="F118" s="5" t="n"/>
    </row>
    <row r="119">
      <c r="C119" s="46" t="n"/>
      <c r="D119" s="59" t="n"/>
      <c r="E119" s="59" t="n"/>
      <c r="F119" s="5" t="n"/>
    </row>
    <row r="120">
      <c r="C120" s="46" t="n"/>
      <c r="D120" s="1" t="n"/>
      <c r="E120" s="1" t="n"/>
      <c r="F120" s="5" t="n"/>
    </row>
    <row r="121">
      <c r="C121" s="46" t="n"/>
      <c r="D121" s="59" t="n"/>
      <c r="E121" s="59" t="n"/>
      <c r="F121" s="5" t="n"/>
    </row>
    <row r="122">
      <c r="B122" s="46" t="n"/>
      <c r="C122" s="46" t="n"/>
      <c r="D122" s="1" t="n"/>
      <c r="E122" s="1" t="n"/>
      <c r="F122" s="5" t="n"/>
    </row>
    <row r="123">
      <c r="C123" s="46" t="n"/>
      <c r="D123" s="1" t="n"/>
      <c r="E123" s="1" t="n"/>
      <c r="F123" s="5" t="n"/>
    </row>
    <row r="124">
      <c r="C124" s="46" t="n"/>
      <c r="D124" s="59" t="n"/>
      <c r="E124" s="59" t="n"/>
      <c r="F124" s="5" t="n"/>
    </row>
    <row r="125">
      <c r="C125" s="46" t="n"/>
      <c r="D125" s="1" t="n"/>
      <c r="E125" s="1" t="n"/>
      <c r="F125" s="5" t="n"/>
    </row>
    <row r="126">
      <c r="C126" s="46" t="n"/>
      <c r="D126" s="59" t="n"/>
      <c r="E126" s="59" t="n"/>
      <c r="F126" s="5" t="n"/>
    </row>
    <row r="127">
      <c r="B127" s="46" t="n"/>
      <c r="C127" s="46" t="n"/>
      <c r="D127" s="1" t="n"/>
      <c r="E127" s="1" t="n"/>
      <c r="F127" s="5" t="n"/>
    </row>
    <row r="128">
      <c r="C128" s="46" t="n"/>
      <c r="D128" s="1" t="n"/>
      <c r="E128" s="1" t="n"/>
      <c r="F128" s="5" t="n"/>
    </row>
    <row r="129">
      <c r="C129" s="46" t="n"/>
      <c r="D129" s="59" t="n"/>
      <c r="E129" s="59" t="n"/>
      <c r="F129" s="5" t="n"/>
    </row>
    <row r="130">
      <c r="C130" s="46" t="n"/>
      <c r="D130" s="1" t="n"/>
      <c r="E130" s="1" t="n"/>
      <c r="F130" s="5" t="n"/>
    </row>
    <row r="131">
      <c r="C131" s="46" t="n"/>
      <c r="D131" s="59" t="n"/>
      <c r="E131" s="59" t="n"/>
      <c r="F131" s="5" t="n"/>
    </row>
    <row r="132">
      <c r="B132" s="46" t="n"/>
      <c r="C132" s="46" t="n"/>
      <c r="D132" s="1" t="n"/>
      <c r="E132" s="1" t="n"/>
      <c r="F132" s="5" t="n"/>
    </row>
    <row r="133">
      <c r="C133" s="46" t="n"/>
      <c r="D133" s="1" t="n"/>
      <c r="E133" s="1" t="n"/>
      <c r="F133" s="5" t="n"/>
    </row>
    <row r="134">
      <c r="C134" s="46" t="n"/>
      <c r="D134" s="59" t="n"/>
      <c r="E134" s="59" t="n"/>
      <c r="F134" s="5" t="n"/>
    </row>
    <row r="135">
      <c r="C135" s="46" t="n"/>
      <c r="D135" s="1" t="n"/>
      <c r="E135" s="1" t="n"/>
      <c r="F135" s="5" t="n"/>
    </row>
    <row r="136">
      <c r="C136" s="46" t="n"/>
      <c r="D136" s="59" t="n"/>
      <c r="E136" s="59" t="n"/>
      <c r="F136" s="5" t="n"/>
    </row>
    <row r="137">
      <c r="B137" s="46" t="n"/>
      <c r="C137" s="46" t="n"/>
      <c r="D137" s="1" t="n"/>
      <c r="E137" s="1" t="n"/>
      <c r="F137" s="5" t="n"/>
    </row>
    <row r="138">
      <c r="C138" s="46" t="n"/>
      <c r="D138" s="1" t="n"/>
      <c r="E138" s="1" t="n"/>
      <c r="F138" s="5" t="n"/>
    </row>
    <row r="139">
      <c r="C139" s="46" t="n"/>
      <c r="D139" s="59" t="n"/>
      <c r="E139" s="59" t="n"/>
      <c r="F139" s="5" t="n"/>
    </row>
    <row r="140">
      <c r="C140" s="46" t="n"/>
      <c r="D140" s="1" t="n"/>
      <c r="E140" s="1" t="n"/>
      <c r="F140" s="5" t="n"/>
    </row>
    <row r="141">
      <c r="C141" s="46" t="n"/>
      <c r="D141" s="59" t="n"/>
      <c r="E141" s="59" t="n"/>
      <c r="F141" s="5" t="n"/>
    </row>
    <row r="142">
      <c r="B142" s="46" t="n"/>
      <c r="C142" s="46" t="n"/>
      <c r="D142" s="1" t="n"/>
      <c r="E142" s="1" t="n"/>
      <c r="F142" s="5" t="n"/>
    </row>
    <row r="143">
      <c r="C143" s="46" t="n"/>
      <c r="D143" s="1" t="n"/>
      <c r="E143" s="1" t="n"/>
      <c r="F143" s="5" t="n"/>
    </row>
    <row r="144">
      <c r="C144" s="46" t="n"/>
      <c r="D144" s="59" t="n"/>
      <c r="E144" s="59" t="n"/>
      <c r="F144" s="5" t="n"/>
    </row>
    <row r="145">
      <c r="C145" s="46" t="n"/>
      <c r="D145" s="1" t="n"/>
      <c r="E145" s="1" t="n"/>
      <c r="F145" s="5" t="n"/>
    </row>
    <row r="146">
      <c r="C146" s="46" t="n"/>
      <c r="D146" s="59" t="n"/>
      <c r="E146" s="59" t="n"/>
      <c r="F146" s="5" t="n"/>
    </row>
    <row r="147">
      <c r="B147" s="46" t="n"/>
      <c r="C147" s="46" t="n"/>
      <c r="D147" s="1" t="n"/>
      <c r="E147" s="1" t="n"/>
      <c r="F147" s="5" t="n"/>
    </row>
    <row r="148">
      <c r="C148" s="46" t="n"/>
      <c r="D148" s="1" t="n"/>
      <c r="E148" s="1" t="n"/>
      <c r="F148" s="5" t="n"/>
    </row>
    <row r="149">
      <c r="C149" s="46" t="n"/>
      <c r="D149" s="59" t="n"/>
      <c r="E149" s="59" t="n"/>
      <c r="F149" s="5" t="n"/>
    </row>
    <row r="150">
      <c r="C150" s="46" t="n"/>
      <c r="D150" s="1" t="n"/>
      <c r="E150" s="1" t="n"/>
      <c r="F150" s="5" t="n"/>
    </row>
    <row r="151">
      <c r="C151" s="46" t="n"/>
      <c r="D151" s="59" t="n"/>
      <c r="E151" s="59" t="n"/>
      <c r="F151" s="5" t="n"/>
    </row>
    <row r="152">
      <c r="B152" s="46" t="n"/>
      <c r="C152" s="46" t="n"/>
      <c r="D152" s="1" t="n"/>
      <c r="E152" s="1" t="n"/>
      <c r="F152" s="5" t="n"/>
    </row>
    <row r="153">
      <c r="C153" s="46" t="n"/>
      <c r="D153" s="1" t="n"/>
      <c r="E153" s="1" t="n"/>
      <c r="F153" s="5" t="n"/>
    </row>
    <row r="154">
      <c r="C154" s="46" t="n"/>
      <c r="D154" s="59" t="n"/>
      <c r="E154" s="59" t="n"/>
      <c r="F154" s="5" t="n"/>
    </row>
    <row r="155">
      <c r="C155" s="46" t="n"/>
      <c r="D155" s="1" t="n"/>
      <c r="E155" s="1" t="n"/>
      <c r="F155" s="5" t="n"/>
    </row>
    <row r="156">
      <c r="C156" s="46" t="n"/>
      <c r="D156" s="59" t="n"/>
      <c r="E156" s="59" t="n"/>
      <c r="F156" s="5" t="n"/>
    </row>
    <row r="157">
      <c r="B157" s="46" t="n"/>
      <c r="C157" s="46" t="n"/>
      <c r="D157" s="1" t="n"/>
      <c r="E157" s="1" t="n"/>
      <c r="F157" s="5" t="n"/>
    </row>
    <row r="158">
      <c r="C158" s="46" t="n"/>
      <c r="D158" s="1" t="n"/>
      <c r="E158" s="1" t="n"/>
      <c r="F158" s="5" t="n"/>
    </row>
    <row r="159">
      <c r="C159" s="46" t="n"/>
      <c r="D159" s="59" t="n"/>
      <c r="E159" s="59" t="n"/>
      <c r="F159" s="5" t="n"/>
    </row>
    <row r="160">
      <c r="C160" s="46" t="n"/>
      <c r="D160" s="1" t="n"/>
      <c r="E160" s="1" t="n"/>
      <c r="F160" s="5" t="n"/>
    </row>
    <row r="161">
      <c r="C161" s="46" t="n"/>
      <c r="D161" s="59" t="n"/>
      <c r="E161" s="59" t="n"/>
      <c r="F161" s="5" t="n"/>
    </row>
    <row r="162">
      <c r="B162" s="46" t="n"/>
      <c r="C162" s="46" t="n"/>
      <c r="D162" s="1" t="n"/>
      <c r="E162" s="1" t="n"/>
      <c r="F162" s="5" t="n"/>
    </row>
    <row r="163">
      <c r="C163" s="46" t="n"/>
      <c r="D163" s="1" t="n"/>
      <c r="E163" s="1" t="n"/>
      <c r="F163" s="5" t="n"/>
    </row>
    <row r="164">
      <c r="C164" s="46" t="n"/>
      <c r="D164" s="59" t="n"/>
      <c r="E164" s="59" t="n"/>
      <c r="F164" s="5" t="n"/>
    </row>
    <row r="165">
      <c r="C165" s="46" t="n"/>
      <c r="D165" s="1" t="n"/>
      <c r="E165" s="1" t="n"/>
      <c r="F165" s="5" t="n"/>
    </row>
    <row r="166">
      <c r="C166" s="46" t="n"/>
      <c r="D166" s="59" t="n"/>
      <c r="E166" s="59" t="n"/>
      <c r="F166" s="5" t="n"/>
    </row>
    <row r="167">
      <c r="B167" s="46" t="n"/>
      <c r="C167" s="46" t="n"/>
      <c r="D167" s="1" t="n"/>
      <c r="E167" s="1" t="n"/>
      <c r="F167" s="5" t="n"/>
    </row>
    <row r="168">
      <c r="C168" s="46" t="n"/>
      <c r="D168" s="1" t="n"/>
      <c r="E168" s="1" t="n"/>
      <c r="F168" s="5" t="n"/>
    </row>
    <row r="169">
      <c r="C169" s="46" t="n"/>
      <c r="D169" s="59" t="n"/>
      <c r="E169" s="59" t="n"/>
      <c r="F169" s="5" t="n"/>
    </row>
    <row r="170">
      <c r="C170" s="46" t="n"/>
      <c r="D170" s="1" t="n"/>
      <c r="E170" s="1" t="n"/>
      <c r="F170" s="5" t="n"/>
    </row>
    <row r="171">
      <c r="C171" s="46" t="n"/>
      <c r="D171" s="59" t="n"/>
      <c r="E171" s="59" t="n"/>
      <c r="F171" s="5" t="n"/>
    </row>
    <row r="172">
      <c r="B172" s="46" t="n"/>
      <c r="C172" s="46" t="n"/>
      <c r="D172" s="1" t="n"/>
      <c r="E172" s="1" t="n"/>
      <c r="F172" s="5" t="n"/>
    </row>
    <row r="173">
      <c r="C173" s="46" t="n"/>
      <c r="D173" s="1" t="n"/>
      <c r="E173" s="1" t="n"/>
      <c r="F173" s="5" t="n"/>
    </row>
    <row r="174">
      <c r="C174" s="46" t="n"/>
      <c r="D174" s="59" t="n"/>
      <c r="E174" s="59" t="n"/>
      <c r="F174" s="5" t="n"/>
    </row>
    <row r="175">
      <c r="C175" s="46" t="n"/>
      <c r="D175" s="1" t="n"/>
      <c r="E175" s="1" t="n"/>
      <c r="F175" s="5" t="n"/>
    </row>
    <row r="176">
      <c r="C176" s="46" t="n"/>
      <c r="D176" s="59" t="n"/>
      <c r="E176" s="59" t="n"/>
      <c r="F176" s="5" t="n"/>
    </row>
    <row r="177">
      <c r="B177" s="46" t="n"/>
      <c r="C177" s="46" t="n"/>
      <c r="D177" s="1" t="n"/>
      <c r="E177" s="1" t="n"/>
      <c r="F177" s="5" t="n"/>
    </row>
    <row r="178">
      <c r="C178" s="46" t="n"/>
      <c r="D178" s="1" t="n"/>
      <c r="E178" s="1" t="n"/>
      <c r="F178" s="5" t="n"/>
    </row>
    <row r="179">
      <c r="C179" s="46" t="n"/>
      <c r="D179" s="59" t="n"/>
      <c r="E179" s="59" t="n"/>
      <c r="F179" s="5" t="n"/>
    </row>
    <row r="180">
      <c r="C180" s="46" t="n"/>
      <c r="D180" s="1" t="n"/>
      <c r="E180" s="1" t="n"/>
      <c r="F180" s="5" t="n"/>
    </row>
    <row r="181">
      <c r="C181" s="46" t="n"/>
      <c r="D181" s="59" t="n"/>
      <c r="E181" s="59" t="n"/>
      <c r="F181" s="5" t="n"/>
    </row>
    <row r="182">
      <c r="B182" s="46" t="n"/>
      <c r="C182" s="46" t="n"/>
      <c r="D182" s="1" t="n"/>
      <c r="E182" s="1" t="n"/>
      <c r="F182" s="5" t="n"/>
    </row>
    <row r="183">
      <c r="C183" s="46" t="n"/>
      <c r="D183" s="1" t="n"/>
      <c r="E183" s="1" t="n"/>
      <c r="F183" s="5" t="n"/>
    </row>
    <row r="184">
      <c r="C184" s="46" t="n"/>
      <c r="D184" s="59" t="n"/>
      <c r="E184" s="59" t="n"/>
      <c r="F184" s="5" t="n"/>
    </row>
    <row r="185">
      <c r="C185" s="46" t="n"/>
      <c r="D185" s="1" t="n"/>
      <c r="E185" s="1" t="n"/>
      <c r="F185" s="5" t="n"/>
    </row>
    <row r="186">
      <c r="C186" s="46" t="n"/>
      <c r="D186" s="59" t="n"/>
      <c r="E186" s="59" t="n"/>
      <c r="F186" s="5" t="n"/>
    </row>
    <row r="187">
      <c r="B187" s="46" t="n"/>
      <c r="C187" s="46" t="n"/>
      <c r="D187" s="1" t="n"/>
      <c r="E187" s="1" t="n"/>
      <c r="F187" s="5" t="n"/>
    </row>
    <row r="188">
      <c r="C188" s="46" t="n"/>
      <c r="D188" s="1" t="n"/>
      <c r="E188" s="1" t="n"/>
      <c r="F188" s="5" t="n"/>
    </row>
    <row r="189">
      <c r="C189" s="46" t="n"/>
      <c r="D189" s="59" t="n"/>
      <c r="E189" s="59" t="n"/>
      <c r="F189" s="5" t="n"/>
    </row>
    <row r="190">
      <c r="C190" s="46" t="n"/>
      <c r="D190" s="1" t="n"/>
      <c r="E190" s="1" t="n"/>
      <c r="F190" s="5" t="n"/>
    </row>
    <row r="191">
      <c r="C191" s="46" t="n"/>
      <c r="D191" s="59" t="n"/>
      <c r="E191" s="59" t="n"/>
      <c r="F191" s="5" t="n"/>
    </row>
    <row r="192">
      <c r="B192" s="46" t="n"/>
      <c r="C192" s="46" t="n"/>
      <c r="D192" s="1" t="n"/>
      <c r="E192" s="1" t="n"/>
      <c r="F192" s="5" t="n"/>
    </row>
    <row r="193">
      <c r="C193" s="46" t="n"/>
      <c r="D193" s="1" t="n"/>
      <c r="E193" s="1" t="n"/>
      <c r="F193" s="5" t="n"/>
    </row>
    <row r="194">
      <c r="C194" s="46" t="n"/>
      <c r="D194" s="59" t="n"/>
      <c r="E194" s="59" t="n"/>
      <c r="F194" s="5" t="n"/>
    </row>
    <row r="195">
      <c r="C195" s="46" t="n"/>
      <c r="D195" s="1" t="n"/>
      <c r="E195" s="1" t="n"/>
      <c r="F195" s="5" t="n"/>
    </row>
    <row r="196">
      <c r="C196" s="46" t="n"/>
      <c r="D196" s="59" t="n"/>
      <c r="E196" s="59" t="n"/>
      <c r="F196" s="5" t="n"/>
    </row>
    <row r="197">
      <c r="B197" s="46" t="n"/>
      <c r="C197" s="46" t="n"/>
      <c r="D197" s="1" t="n"/>
      <c r="E197" s="1" t="n"/>
      <c r="F197" s="5" t="n"/>
    </row>
    <row r="198">
      <c r="C198" s="46" t="n"/>
      <c r="D198" s="1" t="n"/>
      <c r="E198" s="1" t="n"/>
      <c r="F198" s="5" t="n"/>
    </row>
    <row r="199">
      <c r="C199" s="46" t="n"/>
      <c r="D199" s="59" t="n"/>
      <c r="E199" s="59" t="n"/>
      <c r="F199" s="5" t="n"/>
    </row>
    <row r="200">
      <c r="C200" s="46" t="n"/>
      <c r="D200" s="1" t="n"/>
      <c r="E200" s="1" t="n"/>
      <c r="F200" s="5" t="n"/>
    </row>
    <row r="201">
      <c r="C201" s="46" t="n"/>
      <c r="D201" s="59" t="n"/>
      <c r="E201" s="59" t="n"/>
      <c r="F201" s="5" t="n"/>
    </row>
    <row r="202">
      <c r="B202" s="46" t="n"/>
      <c r="C202" s="46" t="n"/>
      <c r="D202" s="1" t="n"/>
      <c r="E202" s="1" t="n"/>
      <c r="F202" s="5" t="n"/>
    </row>
    <row r="203">
      <c r="C203" s="46" t="n"/>
      <c r="D203" s="1" t="n"/>
      <c r="E203" s="1" t="n"/>
      <c r="F203" s="5" t="n"/>
    </row>
    <row r="204">
      <c r="C204" s="46" t="n"/>
      <c r="D204" s="59" t="n"/>
      <c r="E204" s="59" t="n"/>
      <c r="F204" s="5" t="n"/>
    </row>
    <row r="205">
      <c r="C205" s="46" t="n"/>
      <c r="D205" s="1" t="n"/>
      <c r="E205" s="1" t="n"/>
      <c r="F205" s="5" t="n"/>
    </row>
    <row r="206">
      <c r="C206" s="46" t="n"/>
      <c r="D206" s="59" t="n"/>
      <c r="E206" s="59" t="n"/>
      <c r="F206" s="5" t="n"/>
    </row>
    <row r="207">
      <c r="B207" s="46" t="n"/>
      <c r="C207" s="46" t="n"/>
      <c r="D207" s="1" t="n"/>
      <c r="E207" s="1" t="n"/>
      <c r="F207" s="5" t="n"/>
    </row>
    <row r="208">
      <c r="C208" s="46" t="n"/>
      <c r="D208" s="1" t="n"/>
      <c r="E208" s="1" t="n"/>
      <c r="F208" s="5" t="n"/>
    </row>
    <row r="209">
      <c r="C209" s="46" t="n"/>
      <c r="D209" s="59" t="n"/>
      <c r="E209" s="59" t="n"/>
      <c r="F209" s="5" t="n"/>
    </row>
    <row r="210">
      <c r="C210" s="46" t="n"/>
      <c r="D210" s="1" t="n"/>
      <c r="E210" s="1" t="n"/>
      <c r="F210" s="5" t="n"/>
    </row>
    <row r="211">
      <c r="C211" s="46" t="n"/>
      <c r="D211" s="59" t="n"/>
      <c r="E211" s="59" t="n"/>
      <c r="F211" s="5" t="n"/>
    </row>
    <row r="212">
      <c r="B212" s="46" t="n"/>
      <c r="C212" s="46" t="n"/>
      <c r="D212" s="1" t="n"/>
      <c r="E212" s="1" t="n"/>
      <c r="F212" s="5" t="n"/>
    </row>
    <row r="213">
      <c r="C213" s="46" t="n"/>
      <c r="D213" s="1" t="n"/>
      <c r="E213" s="1" t="n"/>
      <c r="F213" s="5" t="n"/>
    </row>
    <row r="214">
      <c r="C214" s="46" t="n"/>
      <c r="D214" s="59" t="n"/>
      <c r="E214" s="59" t="n"/>
      <c r="F214" s="5" t="n"/>
    </row>
    <row r="215">
      <c r="C215" s="46" t="n"/>
      <c r="D215" s="1" t="n"/>
      <c r="E215" s="1" t="n"/>
      <c r="F215" s="5" t="n"/>
    </row>
    <row r="216">
      <c r="C216" s="46" t="n"/>
      <c r="D216" s="59" t="n"/>
      <c r="E216" s="59" t="n"/>
      <c r="F216" s="5" t="n"/>
    </row>
    <row r="217">
      <c r="B217" s="46" t="n"/>
      <c r="C217" s="46" t="n"/>
      <c r="D217" s="1" t="n"/>
      <c r="E217" s="1" t="n"/>
      <c r="F217" s="5" t="n"/>
    </row>
    <row r="218">
      <c r="C218" s="46" t="n"/>
      <c r="D218" s="1" t="n"/>
      <c r="E218" s="1" t="n"/>
      <c r="F218" s="5" t="n"/>
    </row>
    <row r="219">
      <c r="C219" s="46" t="n"/>
      <c r="D219" s="59" t="n"/>
      <c r="E219" s="59" t="n"/>
      <c r="F219" s="5" t="n"/>
    </row>
    <row r="220">
      <c r="C220" s="46" t="n"/>
      <c r="D220" s="1" t="n"/>
      <c r="E220" s="1" t="n"/>
      <c r="F220" s="5" t="n"/>
    </row>
    <row r="221">
      <c r="C221" s="46" t="n"/>
      <c r="D221" s="59" t="n"/>
      <c r="E221" s="59" t="n"/>
      <c r="F221" s="5" t="n"/>
    </row>
    <row r="222">
      <c r="B222" s="46" t="n"/>
      <c r="C222" s="46" t="n"/>
      <c r="D222" s="1" t="n"/>
      <c r="E222" s="1" t="n"/>
      <c r="F222" s="5" t="n"/>
    </row>
    <row r="223">
      <c r="C223" s="46" t="n"/>
      <c r="D223" s="1" t="n"/>
      <c r="E223" s="1" t="n"/>
      <c r="F223" s="5" t="n"/>
    </row>
    <row r="224">
      <c r="C224" s="46" t="n"/>
      <c r="D224" s="59" t="n"/>
      <c r="E224" s="59" t="n"/>
      <c r="F224" s="5" t="n"/>
    </row>
    <row r="225">
      <c r="C225" s="46" t="n"/>
      <c r="D225" s="1" t="n"/>
      <c r="E225" s="1" t="n"/>
      <c r="F225" s="5" t="n"/>
    </row>
    <row r="226">
      <c r="C226" s="46" t="n"/>
      <c r="D226" s="59" t="n"/>
      <c r="E226" s="59" t="n"/>
      <c r="F226" s="5" t="n"/>
    </row>
    <row r="227">
      <c r="B227" s="46" t="n"/>
      <c r="C227" s="46" t="n"/>
      <c r="D227" s="1" t="n"/>
      <c r="E227" s="1" t="n"/>
      <c r="F227" s="5" t="n"/>
    </row>
    <row r="228">
      <c r="C228" s="46" t="n"/>
      <c r="D228" s="1" t="n"/>
      <c r="E228" s="1" t="n"/>
      <c r="F228" s="5" t="n"/>
    </row>
    <row r="229">
      <c r="C229" s="46" t="n"/>
      <c r="D229" s="59" t="n"/>
      <c r="E229" s="59" t="n"/>
      <c r="F229" s="5" t="n"/>
    </row>
    <row r="230">
      <c r="C230" s="46" t="n"/>
      <c r="D230" s="1" t="n"/>
      <c r="E230" s="1" t="n"/>
      <c r="F230" s="5" t="n"/>
    </row>
    <row r="231">
      <c r="C231" s="46" t="n"/>
      <c r="D231" s="59" t="n"/>
      <c r="E231" s="59" t="n"/>
      <c r="F231" s="5" t="n"/>
    </row>
    <row r="232">
      <c r="B232" s="46" t="n"/>
      <c r="C232" s="46" t="n"/>
      <c r="D232" s="1" t="n"/>
      <c r="E232" s="1" t="n"/>
      <c r="F232" s="5" t="n"/>
    </row>
    <row r="233">
      <c r="C233" s="46" t="n"/>
      <c r="D233" s="1" t="n"/>
      <c r="E233" s="1" t="n"/>
      <c r="F233" s="5" t="n"/>
    </row>
    <row r="234">
      <c r="C234" s="46" t="n"/>
      <c r="D234" s="59" t="n"/>
      <c r="E234" s="59" t="n"/>
      <c r="F234" s="5" t="n"/>
    </row>
    <row r="235">
      <c r="C235" s="46" t="n"/>
      <c r="D235" s="1" t="n"/>
      <c r="E235" s="1" t="n"/>
      <c r="F235" s="5" t="n"/>
    </row>
    <row r="236">
      <c r="C236" s="46" t="n"/>
      <c r="D236" s="59" t="n"/>
      <c r="E236" s="59" t="n"/>
      <c r="F236" s="5" t="n"/>
    </row>
    <row r="237">
      <c r="B237" s="46" t="n"/>
      <c r="C237" s="46" t="n"/>
      <c r="D237" s="1" t="n"/>
      <c r="E237" s="1" t="n"/>
      <c r="F237" s="5" t="n"/>
    </row>
    <row r="238">
      <c r="C238" s="46" t="n"/>
      <c r="D238" s="1" t="n"/>
      <c r="E238" s="1" t="n"/>
      <c r="F238" s="5" t="n"/>
    </row>
    <row r="239">
      <c r="C239" s="46" t="n"/>
      <c r="D239" s="59" t="n"/>
      <c r="E239" s="59" t="n"/>
      <c r="F239" s="5" t="n"/>
    </row>
    <row r="240">
      <c r="C240" s="46" t="n"/>
      <c r="D240" s="1" t="n"/>
      <c r="E240" s="1" t="n"/>
      <c r="F240" s="5" t="n"/>
    </row>
    <row r="241">
      <c r="C241" s="46" t="n"/>
      <c r="D241" s="59" t="n"/>
      <c r="E241" s="59" t="n"/>
      <c r="F241" s="5" t="n"/>
    </row>
    <row r="242">
      <c r="B242" s="46" t="n"/>
      <c r="C242" s="46" t="n"/>
      <c r="D242" s="1" t="n"/>
      <c r="E242" s="1" t="n"/>
      <c r="F242" s="5" t="n"/>
    </row>
    <row r="243">
      <c r="C243" s="46" t="n"/>
      <c r="D243" s="1" t="n"/>
      <c r="E243" s="1" t="n"/>
      <c r="F243" s="5" t="n"/>
    </row>
    <row r="244">
      <c r="C244" s="46" t="n"/>
      <c r="D244" s="59" t="n"/>
      <c r="E244" s="59" t="n"/>
      <c r="F244" s="5" t="n"/>
    </row>
    <row r="245">
      <c r="C245" s="46" t="n"/>
      <c r="D245" s="1" t="n"/>
      <c r="E245" s="1" t="n"/>
      <c r="F245" s="5" t="n"/>
    </row>
    <row r="246">
      <c r="C246" s="46" t="n"/>
      <c r="D246" s="59" t="n"/>
      <c r="E246" s="59" t="n"/>
      <c r="F246" s="5" t="n"/>
    </row>
    <row r="247">
      <c r="B247" s="46" t="n"/>
      <c r="C247" s="46" t="n"/>
      <c r="D247" s="1" t="n"/>
      <c r="E247" s="1" t="n"/>
      <c r="F247" s="5" t="n"/>
    </row>
    <row r="248">
      <c r="C248" s="46" t="n"/>
      <c r="D248" s="1" t="n"/>
      <c r="E248" s="1" t="n"/>
      <c r="F248" s="5" t="n"/>
    </row>
    <row r="249">
      <c r="C249" s="46" t="n"/>
      <c r="D249" s="59" t="n"/>
      <c r="E249" s="59" t="n"/>
      <c r="F249" s="5" t="n"/>
    </row>
    <row r="250">
      <c r="C250" s="46" t="n"/>
      <c r="D250" s="1" t="n"/>
      <c r="E250" s="1" t="n"/>
      <c r="F250" s="5" t="n"/>
    </row>
    <row r="251">
      <c r="C251" s="46" t="n"/>
      <c r="D251" s="59" t="n"/>
      <c r="E251" s="59" t="n"/>
      <c r="F251" s="5" t="n"/>
    </row>
    <row r="252">
      <c r="B252" s="46" t="n"/>
      <c r="C252" s="46" t="n"/>
      <c r="D252" s="1" t="n"/>
      <c r="E252" s="1" t="n"/>
      <c r="F252" s="5" t="n"/>
    </row>
    <row r="253">
      <c r="C253" s="46" t="n"/>
      <c r="D253" s="1" t="n"/>
      <c r="E253" s="1" t="n"/>
      <c r="F253" s="5" t="n"/>
    </row>
    <row r="254">
      <c r="C254" s="46" t="n"/>
      <c r="D254" s="59" t="n"/>
      <c r="E254" s="59" t="n"/>
      <c r="F254" s="5" t="n"/>
    </row>
    <row r="255">
      <c r="C255" s="46" t="n"/>
      <c r="D255" s="1" t="n"/>
      <c r="E255" s="1" t="n"/>
      <c r="F255" s="5" t="n"/>
    </row>
    <row r="256">
      <c r="C256" s="46" t="n"/>
      <c r="D256" s="59" t="n"/>
      <c r="E256" s="59" t="n"/>
      <c r="F256" s="5" t="n"/>
    </row>
    <row r="257">
      <c r="B257" s="46" t="n"/>
      <c r="C257" s="46" t="n"/>
      <c r="D257" s="1" t="n"/>
      <c r="E257" s="1" t="n"/>
      <c r="F257" s="5" t="n"/>
    </row>
    <row r="258">
      <c r="C258" s="46" t="n"/>
      <c r="D258" s="1" t="n"/>
      <c r="E258" s="1" t="n"/>
      <c r="F258" s="5" t="n"/>
    </row>
    <row r="259">
      <c r="C259" s="46" t="n"/>
      <c r="D259" s="59" t="n"/>
      <c r="E259" s="59" t="n"/>
      <c r="F259" s="5" t="n"/>
    </row>
    <row r="260">
      <c r="C260" s="46" t="n"/>
      <c r="D260" s="1" t="n"/>
      <c r="E260" s="1" t="n"/>
      <c r="F260" s="5" t="n"/>
    </row>
    <row r="261">
      <c r="C261" s="46" t="n"/>
      <c r="D261" s="59" t="n"/>
      <c r="E261" s="59" t="n"/>
      <c r="F261" s="5" t="n"/>
    </row>
    <row r="262">
      <c r="B262" s="46" t="n"/>
      <c r="C262" s="46" t="n"/>
      <c r="D262" s="1" t="n"/>
      <c r="E262" s="1" t="n"/>
      <c r="F262" s="5" t="n"/>
    </row>
    <row r="263">
      <c r="C263" s="46" t="n"/>
      <c r="D263" s="1" t="n"/>
      <c r="E263" s="1" t="n"/>
      <c r="F263" s="5" t="n"/>
    </row>
    <row r="264">
      <c r="C264" s="46" t="n"/>
      <c r="D264" s="59" t="n"/>
      <c r="E264" s="59" t="n"/>
      <c r="F264" s="5" t="n"/>
    </row>
    <row r="265">
      <c r="C265" s="46" t="n"/>
      <c r="D265" s="1" t="n"/>
      <c r="E265" s="1" t="n"/>
      <c r="F265" s="5" t="n"/>
    </row>
    <row r="266">
      <c r="C266" s="46" t="n"/>
      <c r="D266" s="59" t="n"/>
      <c r="E266" s="59" t="n"/>
      <c r="F266" s="5" t="n"/>
    </row>
    <row r="267">
      <c r="B267" s="46" t="n"/>
      <c r="C267" s="46" t="n"/>
      <c r="D267" s="1" t="n"/>
      <c r="E267" s="1" t="n"/>
      <c r="F267" s="5" t="n"/>
    </row>
    <row r="268">
      <c r="C268" s="46" t="n"/>
      <c r="D268" s="1" t="n"/>
      <c r="E268" s="1" t="n"/>
      <c r="F268" s="5" t="n"/>
    </row>
    <row r="269">
      <c r="C269" s="46" t="n"/>
      <c r="D269" s="59" t="n"/>
      <c r="E269" s="59" t="n"/>
      <c r="F269" s="5" t="n"/>
    </row>
    <row r="270">
      <c r="C270" s="46" t="n"/>
      <c r="D270" s="1" t="n"/>
      <c r="E270" s="1" t="n"/>
      <c r="F270" s="5" t="n"/>
    </row>
    <row r="271">
      <c r="C271" s="46" t="n"/>
      <c r="D271" s="59" t="n"/>
      <c r="E271" s="59" t="n"/>
      <c r="F271" s="5" t="n"/>
    </row>
    <row r="272">
      <c r="B272" s="46" t="n"/>
      <c r="C272" s="46" t="n"/>
      <c r="D272" s="1" t="n"/>
      <c r="E272" s="1" t="n"/>
      <c r="F272" s="5" t="n"/>
    </row>
    <row r="273">
      <c r="C273" s="46" t="n"/>
      <c r="D273" s="1" t="n"/>
      <c r="E273" s="1" t="n"/>
      <c r="F273" s="5" t="n"/>
    </row>
    <row r="274">
      <c r="C274" s="46" t="n"/>
      <c r="D274" s="59" t="n"/>
      <c r="E274" s="59" t="n"/>
      <c r="F274" s="5" t="n"/>
    </row>
    <row r="275">
      <c r="C275" s="46" t="n"/>
      <c r="D275" s="1" t="n"/>
      <c r="E275" s="1" t="n"/>
      <c r="F275" s="5" t="n"/>
    </row>
    <row r="276">
      <c r="C276" s="46" t="n"/>
      <c r="D276" s="59" t="n"/>
      <c r="E276" s="59" t="n"/>
      <c r="F276" s="5" t="n"/>
    </row>
    <row r="277">
      <c r="B277" s="46" t="n"/>
      <c r="C277" s="46" t="n"/>
      <c r="D277" s="1" t="n"/>
      <c r="E277" s="1" t="n"/>
      <c r="F277" s="5" t="n"/>
    </row>
    <row r="278">
      <c r="C278" s="46" t="n"/>
      <c r="D278" s="1" t="n"/>
      <c r="E278" s="1" t="n"/>
      <c r="F278" s="5" t="n"/>
    </row>
    <row r="279">
      <c r="C279" s="46" t="n"/>
      <c r="D279" s="59" t="n"/>
      <c r="E279" s="59" t="n"/>
      <c r="F279" s="5" t="n"/>
    </row>
    <row r="280">
      <c r="C280" s="46" t="n"/>
      <c r="D280" s="1" t="n"/>
      <c r="E280" s="1" t="n"/>
      <c r="F280" s="5" t="n"/>
    </row>
    <row r="281">
      <c r="C281" s="46" t="n"/>
      <c r="D281" s="59" t="n"/>
      <c r="E281" s="59" t="n"/>
      <c r="F281" s="5" t="n"/>
    </row>
    <row r="282">
      <c r="F282" s="5" t="n"/>
    </row>
    <row r="283">
      <c r="F283" s="5" t="n"/>
    </row>
    <row r="284">
      <c r="F284" s="5" t="n"/>
    </row>
    <row r="285">
      <c r="F285" s="5" t="n"/>
    </row>
    <row r="286">
      <c r="F286" s="5" t="n"/>
    </row>
    <row r="287">
      <c r="F287" s="5" t="n"/>
    </row>
    <row r="288">
      <c r="F288" s="5" t="n"/>
    </row>
    <row r="289">
      <c r="F289" s="5" t="n"/>
    </row>
    <row r="290">
      <c r="F290" s="5" t="n"/>
    </row>
    <row r="291">
      <c r="F291" s="5" t="n"/>
    </row>
    <row r="292">
      <c r="F292" s="5" t="n"/>
    </row>
    <row r="293">
      <c r="F293" s="5" t="n"/>
    </row>
    <row r="294">
      <c r="F294" s="5" t="n"/>
    </row>
    <row r="295">
      <c r="F295" s="5" t="n"/>
    </row>
    <row r="296">
      <c r="F296" s="5" t="n"/>
    </row>
    <row r="297" ht="15" customHeight="1" s="52">
      <c r="F297" s="5" t="n"/>
    </row>
    <row r="298" ht="15" customHeight="1" s="52">
      <c r="F298" s="5" t="n"/>
    </row>
    <row r="299" ht="15" customHeight="1" s="52">
      <c r="F299" s="5" t="n"/>
    </row>
    <row r="300" ht="15" customHeight="1" s="52">
      <c r="F300" s="5" t="n"/>
    </row>
  </sheetData>
  <autoFilter ref="B1:F281">
    <filterColumn colId="1" hiddenButton="0" showButton="1">
      <filters>
        <filter val="Loans Rev Under $1m"/>
      </filters>
    </filterColumn>
  </autoFilter>
  <mergeCells count="56">
    <mergeCell ref="B157:B161"/>
    <mergeCell ref="B82:B86"/>
    <mergeCell ref="B147:B151"/>
    <mergeCell ref="B162:B166"/>
    <mergeCell ref="B267:B271"/>
    <mergeCell ref="A7:A26"/>
    <mergeCell ref="B87:B91"/>
    <mergeCell ref="B187:B191"/>
    <mergeCell ref="B112:B116"/>
    <mergeCell ref="B137:B141"/>
    <mergeCell ref="B37:B41"/>
    <mergeCell ref="B177:B181"/>
    <mergeCell ref="B192:B196"/>
    <mergeCell ref="B257:B261"/>
    <mergeCell ref="B217:B221"/>
    <mergeCell ref="B127:B131"/>
    <mergeCell ref="B207:B211"/>
    <mergeCell ref="B92:B96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32:B36"/>
    <mergeCell ref="B12:B16"/>
    <mergeCell ref="B22:B26"/>
    <mergeCell ref="B202:B206"/>
    <mergeCell ref="B102:B106"/>
    <mergeCell ref="B232:B236"/>
    <mergeCell ref="B247:B251"/>
    <mergeCell ref="B167:B171"/>
    <mergeCell ref="B52:B56"/>
    <mergeCell ref="B67:B71"/>
    <mergeCell ref="A2:B6"/>
    <mergeCell ref="B17:B21"/>
    <mergeCell ref="B152:B156"/>
    <mergeCell ref="B57:B61"/>
    <mergeCell ref="B272:B276"/>
    <mergeCell ref="B132:B136"/>
    <mergeCell ref="B117:B121"/>
    <mergeCell ref="B77:B81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7"/>
  <sheetViews>
    <sheetView workbookViewId="0">
      <selection activeCell="E94" sqref="E94"/>
    </sheetView>
  </sheetViews>
  <sheetFormatPr baseColWidth="8" defaultRowHeight="15" customHeight="1"/>
  <cols>
    <col width="24.42578125" customWidth="1" style="52" min="1" max="1"/>
    <col width="36.5703125" bestFit="1" customWidth="1" style="52" min="2" max="2"/>
    <col width="21.42578125" customWidth="1" style="52" min="3" max="3"/>
    <col width="20" bestFit="1" customWidth="1" style="52" min="4" max="4"/>
    <col width="24.85546875" customWidth="1" style="52" min="5" max="5"/>
  </cols>
  <sheetData>
    <row r="1">
      <c r="A1" s="73" t="n"/>
      <c r="B1" s="68" t="n"/>
      <c r="C1" s="67" t="inlineStr">
        <is>
          <t>Bank A</t>
        </is>
      </c>
      <c r="D1" s="67" t="inlineStr">
        <is>
          <t>Peers</t>
        </is>
      </c>
      <c r="E1" s="60" t="inlineStr">
        <is>
          <t>Difference</t>
        </is>
      </c>
    </row>
    <row r="2">
      <c r="A2" t="inlineStr">
        <is>
          <t>Grand Total</t>
        </is>
      </c>
      <c r="B2" t="inlineStr">
        <is>
          <t>Branches</t>
        </is>
      </c>
      <c r="C2" s="6" t="n">
        <v>508</v>
      </c>
      <c r="D2" s="6" t="n"/>
    </row>
    <row r="3">
      <c r="B3" t="inlineStr">
        <is>
          <t>LMICT</t>
        </is>
      </c>
      <c r="C3" s="6" t="n"/>
      <c r="D3" s="6" t="n"/>
      <c r="E3" s="17">
        <f>IFERROR((C3/C2)-(D3/D2),"")</f>
        <v/>
      </c>
    </row>
    <row r="4">
      <c r="B4" t="inlineStr">
        <is>
          <t>MMCT</t>
        </is>
      </c>
      <c r="C4" s="6" t="n"/>
      <c r="D4" s="6" t="n"/>
      <c r="E4" s="17">
        <f>IFERROR((C4/C2)-(D4/D2),"")</f>
        <v/>
      </c>
    </row>
    <row r="5">
      <c r="A5" t="inlineStr">
        <is>
          <t>Chicago-Naperville-Elgin, IL-IN-WI</t>
        </is>
      </c>
      <c r="B5" t="inlineStr">
        <is>
          <t>Branches</t>
        </is>
      </c>
      <c r="C5" s="6" t="n">
        <v>69</v>
      </c>
      <c r="D5" s="6" t="n"/>
      <c r="E5">
        <f>IFERROR((C5/C5)-(D5/D5),"")</f>
        <v/>
      </c>
    </row>
    <row r="6">
      <c r="B6" t="inlineStr">
        <is>
          <t>LMICT</t>
        </is>
      </c>
      <c r="C6" s="6" t="n"/>
      <c r="D6" s="6" t="n"/>
      <c r="E6" s="17">
        <f>IFERROR((C6/C5)-(D6/D5),"")</f>
        <v/>
      </c>
    </row>
    <row r="7">
      <c r="B7" t="inlineStr">
        <is>
          <t>MMCT</t>
        </is>
      </c>
      <c r="C7" s="6" t="n"/>
      <c r="D7" s="6" t="n"/>
      <c r="E7" s="17">
        <f>IFERROR((C7/C5)-(D7/D5),"")</f>
        <v/>
      </c>
    </row>
    <row r="8">
      <c r="A8" t="inlineStr">
        <is>
          <t>Cincinnati, OH-KY-IN</t>
        </is>
      </c>
      <c r="B8" t="inlineStr">
        <is>
          <t>Branches</t>
        </is>
      </c>
      <c r="C8" s="6" t="n">
        <v>26</v>
      </c>
      <c r="D8" s="6" t="n"/>
      <c r="E8">
        <f>IFERROR((C8/C8)-(D8/D8),"")</f>
        <v/>
      </c>
    </row>
    <row r="9">
      <c r="C9" s="6" t="n"/>
      <c r="D9" s="6" t="n"/>
      <c r="E9" s="17">
        <f>IFERROR((C9/C8)-(D9/D8),"")</f>
        <v/>
      </c>
    </row>
    <row r="10">
      <c r="C10" s="6" t="n"/>
      <c r="D10" s="6" t="n"/>
      <c r="E10" s="17">
        <f>IFERROR((C10/C8)-(D10/D8),"")</f>
        <v/>
      </c>
    </row>
    <row r="11">
      <c r="A11" t="inlineStr">
        <is>
          <t>Cleveland-Elyria, OH</t>
        </is>
      </c>
      <c r="B11" t="inlineStr">
        <is>
          <t>Branches</t>
        </is>
      </c>
      <c r="C11" s="6" t="n">
        <v>34</v>
      </c>
      <c r="D11" s="6" t="n"/>
      <c r="E11">
        <f>IFERROR((C11/C11)-(D11/D11),"")</f>
        <v/>
      </c>
    </row>
    <row r="12">
      <c r="C12" s="6" t="n"/>
      <c r="D12" s="6" t="n"/>
      <c r="E12" s="17">
        <f>IFERROR((C12/C11)-(D12/D11),"")</f>
        <v/>
      </c>
    </row>
    <row r="13">
      <c r="C13" s="6" t="n"/>
      <c r="D13" s="6" t="n"/>
      <c r="E13" s="17">
        <f>IFERROR((C13/C11)-(D13/D11),"")</f>
        <v/>
      </c>
    </row>
    <row r="14">
      <c r="A14" t="inlineStr">
        <is>
          <t>Columbus, OH</t>
        </is>
      </c>
      <c r="B14" t="inlineStr">
        <is>
          <t>Branches</t>
        </is>
      </c>
      <c r="C14" s="6" t="n">
        <v>26</v>
      </c>
      <c r="D14" s="6" t="n"/>
      <c r="E14">
        <f>IFERROR((C14/C14)-(D14/D14),"")</f>
        <v/>
      </c>
    </row>
    <row r="15">
      <c r="C15" s="6" t="n"/>
      <c r="D15" s="6" t="n"/>
      <c r="E15" s="17">
        <f>IFERROR((C15/C14)-(D15/D14),"")</f>
        <v/>
      </c>
    </row>
    <row r="16">
      <c r="C16" s="6" t="n"/>
      <c r="D16" s="6" t="n"/>
      <c r="E16" s="17">
        <f>IFERROR((C16/C14)-(D16/D14),"")</f>
        <v/>
      </c>
    </row>
    <row r="17">
      <c r="A17" t="inlineStr">
        <is>
          <t>Dallas-Fort Worth-Arlington, TX</t>
        </is>
      </c>
      <c r="B17" t="inlineStr">
        <is>
          <t>Branches</t>
        </is>
      </c>
      <c r="C17" s="6" t="n">
        <v>66</v>
      </c>
      <c r="D17" s="6" t="n"/>
      <c r="E17">
        <f>IFERROR((C17/C17)-(D17/D17),"")</f>
        <v/>
      </c>
    </row>
    <row r="18">
      <c r="C18" s="6" t="n"/>
      <c r="D18" s="6" t="n"/>
      <c r="E18" s="17">
        <f>IFERROR((C18/C17)-(D18/D17),"")</f>
        <v/>
      </c>
    </row>
    <row r="19">
      <c r="C19" s="6" t="n"/>
      <c r="D19" s="6" t="n"/>
      <c r="E19" s="17">
        <f>IFERROR((C19/C17)-(D19/D17),"")</f>
        <v/>
      </c>
    </row>
    <row r="20">
      <c r="A20" t="inlineStr">
        <is>
          <t>Detroit-Warren-Dearborn, MI</t>
        </is>
      </c>
      <c r="B20" t="inlineStr">
        <is>
          <t>Branches</t>
        </is>
      </c>
      <c r="C20" s="6" t="n">
        <v>25</v>
      </c>
      <c r="D20" s="6" t="n"/>
      <c r="E20">
        <f>IFERROR((C20/C20)-(D20/D20),"")</f>
        <v/>
      </c>
    </row>
    <row r="21">
      <c r="C21" s="6" t="n"/>
      <c r="D21" s="6" t="n"/>
      <c r="E21" s="17">
        <f>IFERROR((C21/C20)-(D21/D20),"")</f>
        <v/>
      </c>
    </row>
    <row r="22">
      <c r="C22" s="6" t="n"/>
      <c r="D22" s="6" t="n"/>
      <c r="E22" s="17">
        <f>IFERROR((C22/C20)-(D22/D20),"")</f>
        <v/>
      </c>
    </row>
    <row r="23">
      <c r="A23" t="inlineStr">
        <is>
          <t>Houston-The Woodlands-Sugar Land, TX</t>
        </is>
      </c>
      <c r="B23" t="inlineStr">
        <is>
          <t>Branches</t>
        </is>
      </c>
      <c r="C23" s="6" t="n">
        <v>46</v>
      </c>
      <c r="D23" s="6" t="n"/>
      <c r="E23">
        <f>IFERROR((C23/C23)-(D23/D23),"")</f>
        <v/>
      </c>
    </row>
    <row r="24">
      <c r="C24" s="6" t="n"/>
      <c r="D24" s="6" t="n"/>
      <c r="E24" s="17">
        <f>IFERROR((C24/C23)-(D24/D23),"")</f>
        <v/>
      </c>
    </row>
    <row r="25">
      <c r="C25" s="6" t="n"/>
      <c r="D25" s="6" t="n"/>
      <c r="E25" s="17">
        <f>IFERROR((C25/C23)-(D25/D23),"")</f>
        <v/>
      </c>
    </row>
    <row r="26">
      <c r="A26" t="inlineStr">
        <is>
          <t>Louisville/Jefferson County, KY-IN</t>
        </is>
      </c>
      <c r="B26" t="inlineStr">
        <is>
          <t>Branches</t>
        </is>
      </c>
      <c r="C26" s="6" t="n">
        <v>30</v>
      </c>
      <c r="D26" s="6" t="n"/>
      <c r="E26">
        <f>IFERROR((C26/C26)-(D26/D26),"")</f>
        <v/>
      </c>
    </row>
    <row r="27">
      <c r="C27" s="6" t="n"/>
      <c r="D27" s="6" t="n"/>
      <c r="E27" s="17">
        <f>IFERROR((C27/C26)-(D27/D26),"")</f>
        <v/>
      </c>
    </row>
    <row r="28">
      <c r="C28" s="6" t="n"/>
      <c r="D28" s="6" t="n"/>
      <c r="E28" s="17">
        <f>IFERROR((C28/C26)-(D28/D26),"")</f>
        <v/>
      </c>
    </row>
    <row r="29">
      <c r="A29" t="inlineStr">
        <is>
          <t>Miami-Fort Lauderdale-Pompano Beach, FL</t>
        </is>
      </c>
      <c r="B29" t="inlineStr">
        <is>
          <t>Branches</t>
        </is>
      </c>
      <c r="C29" s="6" t="n">
        <v>32</v>
      </c>
      <c r="D29" s="6" t="n"/>
      <c r="E29">
        <f>IFERROR((C29/C29)-(D29/D29),"")</f>
        <v/>
      </c>
    </row>
    <row r="30">
      <c r="C30" s="6" t="n"/>
      <c r="D30" s="6" t="n"/>
      <c r="E30" s="17">
        <f>IFERROR((C30/C29)-(D30/D29),"")</f>
        <v/>
      </c>
    </row>
    <row r="31">
      <c r="C31" s="6" t="n"/>
      <c r="D31" s="6" t="n"/>
      <c r="E31" s="17">
        <f>IFERROR((C31/C29)-(D31/D29),"")</f>
        <v/>
      </c>
    </row>
    <row r="32">
      <c r="A32" t="inlineStr">
        <is>
          <t>Philadelphia-Camden-Wilmington, PA-NJ-DE-MD</t>
        </is>
      </c>
      <c r="B32" t="inlineStr">
        <is>
          <t>Branches</t>
        </is>
      </c>
      <c r="C32" s="6" t="n">
        <v>59</v>
      </c>
      <c r="D32" s="6" t="n"/>
      <c r="E32">
        <f>IFERROR((C32/C32)-(D32/D32),"")</f>
        <v/>
      </c>
    </row>
    <row r="33">
      <c r="C33" s="6" t="n"/>
      <c r="D33" s="6" t="n"/>
      <c r="E33" s="17">
        <f>IFERROR((C33/C32)-(D33/D32),"")</f>
        <v/>
      </c>
    </row>
    <row r="34">
      <c r="C34" s="6" t="n"/>
      <c r="D34" s="6" t="n"/>
      <c r="E34" s="17">
        <f>IFERROR((C34/C32)-(D34/D32),"")</f>
        <v/>
      </c>
    </row>
    <row r="35">
      <c r="A35" t="inlineStr">
        <is>
          <t>Phoenix-Mesa-Chandler, AZ</t>
        </is>
      </c>
      <c r="B35" t="inlineStr">
        <is>
          <t>Branches</t>
        </is>
      </c>
      <c r="C35" s="6" t="n">
        <v>39</v>
      </c>
      <c r="D35" s="6" t="n"/>
      <c r="E35">
        <f>IFERROR((C35/C35)-(D35/D35),"")</f>
        <v/>
      </c>
    </row>
    <row r="36">
      <c r="C36" s="6" t="n"/>
      <c r="D36" s="6" t="n"/>
      <c r="E36" s="17">
        <f>IFERROR((C36/C35)-(D36/D35),"")</f>
        <v/>
      </c>
    </row>
    <row r="37">
      <c r="C37" s="6" t="n"/>
      <c r="D37" s="6" t="n"/>
      <c r="E37" s="17">
        <f>IFERROR((C37/C35)-(D37/D35),"")</f>
        <v/>
      </c>
    </row>
    <row r="38">
      <c r="A38" t="inlineStr">
        <is>
          <t>Pittsburgh, PA</t>
        </is>
      </c>
      <c r="B38" t="inlineStr">
        <is>
          <t>Branches</t>
        </is>
      </c>
      <c r="C38" s="6" t="n">
        <v>56</v>
      </c>
      <c r="D38" s="6" t="n"/>
      <c r="E38">
        <f>IFERROR((C38/C38)-(D38/D38),"")</f>
        <v/>
      </c>
    </row>
    <row r="39">
      <c r="C39" s="6" t="n"/>
      <c r="D39" s="6" t="n"/>
      <c r="E39" s="17">
        <f>IFERROR((C39/C38)-(D39/D38),"")</f>
        <v/>
      </c>
    </row>
    <row r="40">
      <c r="C40" s="6" t="n"/>
      <c r="D40" s="6" t="n"/>
      <c r="E40" s="17">
        <f>IFERROR((C40/C38)-(D40/D38),"")</f>
        <v/>
      </c>
    </row>
    <row r="41">
      <c r="C41" s="6" t="n"/>
      <c r="D41" s="6" t="n"/>
    </row>
    <row r="42">
      <c r="C42" s="6" t="n"/>
      <c r="D42" s="6" t="n"/>
      <c r="E42" s="17">
        <f>IFERROR((C42/C41)-(D42/D41),"")</f>
        <v/>
      </c>
    </row>
    <row r="43">
      <c r="C43" s="6" t="n"/>
      <c r="D43" s="6" t="n"/>
      <c r="E43" s="17">
        <f>IFERROR((C43/C41)-(D43/D41),"")</f>
        <v/>
      </c>
    </row>
    <row r="44">
      <c r="C44" s="6" t="n"/>
      <c r="D44" s="6" t="n"/>
    </row>
    <row r="45">
      <c r="C45" s="6" t="n"/>
      <c r="D45" s="6" t="n"/>
      <c r="E45" s="17">
        <f>IFERROR((C45/C44)-(D45/D44),"")</f>
        <v/>
      </c>
    </row>
    <row r="46">
      <c r="C46" s="6" t="n"/>
      <c r="D46" s="6" t="n"/>
      <c r="E46" s="17">
        <f>IFERROR((C46/C44)-(D46/D44),"")</f>
        <v/>
      </c>
    </row>
    <row r="47">
      <c r="C47" s="6" t="n"/>
      <c r="D47" s="6" t="n"/>
    </row>
    <row r="48">
      <c r="C48" s="6" t="n"/>
      <c r="D48" s="6" t="n"/>
      <c r="E48" s="17">
        <f>IFERROR((C48/C47)-(D48/D47),"")</f>
        <v/>
      </c>
    </row>
    <row r="49">
      <c r="C49" s="6" t="n"/>
      <c r="D49" s="6" t="n"/>
      <c r="E49" s="17">
        <f>IFERROR((C49/C47)-(D49/D47),"")</f>
        <v/>
      </c>
    </row>
    <row r="50">
      <c r="C50" s="6" t="n"/>
      <c r="D50" s="6" t="n"/>
    </row>
    <row r="51">
      <c r="C51" s="6" t="n"/>
      <c r="D51" s="6" t="n"/>
      <c r="E51" s="17">
        <f>IFERROR((C51/C50)-(D51/D50),"")</f>
        <v/>
      </c>
    </row>
    <row r="52">
      <c r="C52" s="6" t="n"/>
      <c r="D52" s="6" t="n"/>
      <c r="E52" s="17">
        <f>IFERROR((C52/C50)-(D52/D50),"")</f>
        <v/>
      </c>
    </row>
    <row r="53">
      <c r="C53" s="6" t="n"/>
      <c r="D53" s="6" t="n"/>
    </row>
    <row r="54">
      <c r="C54" s="6" t="n"/>
      <c r="D54" s="6" t="n"/>
      <c r="E54" s="17">
        <f>IFERROR((C54/C53)-(D54/D53),"")</f>
        <v/>
      </c>
    </row>
    <row r="55">
      <c r="C55" s="6" t="n"/>
      <c r="D55" s="6" t="n"/>
      <c r="E55" s="17">
        <f>IFERROR((C55/C53)-(D55/D53),"")</f>
        <v/>
      </c>
    </row>
    <row r="56">
      <c r="C56" s="6" t="n"/>
      <c r="D56" s="6" t="n"/>
    </row>
    <row r="57">
      <c r="C57" s="6" t="n"/>
      <c r="D57" s="6" t="n"/>
      <c r="E57" s="17">
        <f>IFERROR((C57/C56)-(D57/D56),"")</f>
        <v/>
      </c>
    </row>
    <row r="58">
      <c r="C58" s="6" t="n"/>
      <c r="D58" s="6" t="n"/>
      <c r="E58" s="17">
        <f>IFERROR((C58/C56)-(D58/D56),"")</f>
        <v/>
      </c>
    </row>
    <row r="59">
      <c r="C59" s="6" t="n"/>
      <c r="D59" s="6" t="n"/>
    </row>
    <row r="60">
      <c r="C60" s="6" t="n"/>
      <c r="D60" s="6" t="n"/>
      <c r="E60" s="17">
        <f>IFERROR((C60/C59)-(D60/D59),"")</f>
        <v/>
      </c>
    </row>
    <row r="61">
      <c r="C61" s="6" t="n"/>
      <c r="D61" s="6" t="n"/>
      <c r="E61" s="17">
        <f>IFERROR((C61/C59)-(D61/D59),"")</f>
        <v/>
      </c>
    </row>
    <row r="62">
      <c r="C62" s="6" t="n"/>
      <c r="D62" s="6" t="n"/>
    </row>
    <row r="63">
      <c r="C63" s="6" t="n"/>
      <c r="D63" s="6" t="n"/>
      <c r="E63" s="17">
        <f>IFERROR((C63/C62)-(D63/D62),"")</f>
        <v/>
      </c>
    </row>
    <row r="64">
      <c r="C64" s="6" t="n"/>
      <c r="D64" s="6" t="n"/>
      <c r="E64" s="17">
        <f>IFERROR((C64/C62)-(D64/D62),"")</f>
        <v/>
      </c>
    </row>
    <row r="65">
      <c r="C65" s="6" t="n"/>
      <c r="D65" s="6" t="n"/>
    </row>
    <row r="66">
      <c r="C66" s="6" t="n"/>
      <c r="D66" s="6" t="n"/>
      <c r="E66" s="17">
        <f>IFERROR((C66/C65)-(D66/D65),"")</f>
        <v/>
      </c>
    </row>
    <row r="67">
      <c r="C67" s="6" t="n"/>
      <c r="D67" s="6" t="n"/>
      <c r="E67" s="17">
        <f>IFERROR((C67/C65)-(D67/D65),"")</f>
        <v/>
      </c>
    </row>
    <row r="68">
      <c r="C68" s="6" t="n"/>
      <c r="D68" s="6" t="n"/>
    </row>
    <row r="69">
      <c r="C69" s="6" t="n"/>
      <c r="D69" s="6" t="n"/>
      <c r="E69" s="17">
        <f>IFERROR((C69/C68)-(D69/D68),"")</f>
        <v/>
      </c>
    </row>
    <row r="70">
      <c r="C70" s="6" t="n"/>
      <c r="D70" s="6" t="n"/>
      <c r="E70" s="17">
        <f>IFERROR((C70/C68)-(D70/D68),"")</f>
        <v/>
      </c>
    </row>
    <row r="71">
      <c r="C71" s="6" t="n"/>
      <c r="D71" s="6" t="n"/>
    </row>
    <row r="72">
      <c r="C72" s="6" t="n"/>
      <c r="D72" s="6" t="n"/>
      <c r="E72" s="17">
        <f>IFERROR((C72/C71)-(D72/D71),"")</f>
        <v/>
      </c>
    </row>
    <row r="73">
      <c r="C73" s="6" t="n"/>
      <c r="D73" s="6" t="n"/>
      <c r="E73" s="17">
        <f>IFERROR((C73/C71)-(D73/D71),"")</f>
        <v/>
      </c>
    </row>
    <row r="74">
      <c r="C74" s="6" t="n"/>
      <c r="D74" s="6" t="n"/>
    </row>
    <row r="75">
      <c r="C75" s="6" t="n"/>
      <c r="D75" s="6" t="n"/>
      <c r="E75" s="17">
        <f>IFERROR((C75/C74)-(D75/D74),"")</f>
        <v/>
      </c>
    </row>
    <row r="76">
      <c r="C76" s="6" t="n"/>
      <c r="D76" s="6" t="n"/>
      <c r="E76" s="17">
        <f>IFERROR((C76/C74)-(D76/D74),"")</f>
        <v/>
      </c>
    </row>
    <row r="77">
      <c r="C77" s="6" t="n"/>
      <c r="D77" s="6" t="n"/>
    </row>
    <row r="78">
      <c r="C78" s="6" t="n"/>
      <c r="D78" s="6" t="n"/>
      <c r="E78" s="17">
        <f>IFERROR((C78/C77)-(D78/D77),"")</f>
        <v/>
      </c>
    </row>
    <row r="79">
      <c r="C79" s="6" t="n"/>
      <c r="D79" s="6" t="n"/>
      <c r="E79" s="17">
        <f>IFERROR((C79/C77)-(D79/D77),"")</f>
        <v/>
      </c>
    </row>
    <row r="80">
      <c r="C80" s="6" t="n"/>
      <c r="D80" s="6" t="n"/>
    </row>
    <row r="81">
      <c r="C81" s="6" t="n"/>
      <c r="D81" s="6" t="n"/>
      <c r="E81" s="17">
        <f>IFERROR((C81/C80)-(D81/D80),"")</f>
        <v/>
      </c>
    </row>
    <row r="82">
      <c r="C82" s="6" t="n"/>
      <c r="D82" s="6" t="n"/>
      <c r="E82" s="17">
        <f>IFERROR((C82/C80)-(D82/D80),"")</f>
        <v/>
      </c>
    </row>
    <row r="83">
      <c r="C83" s="6" t="n"/>
      <c r="D83" s="6" t="n"/>
    </row>
    <row r="84">
      <c r="C84" s="6" t="n"/>
      <c r="D84" s="6" t="n"/>
      <c r="E84" s="17">
        <f>IFERROR((C84/C83)-(D84/D83),"")</f>
        <v/>
      </c>
    </row>
    <row r="85">
      <c r="C85" s="6" t="n"/>
      <c r="D85" s="6" t="n"/>
      <c r="E85" s="17">
        <f>IFERROR((C85/C83)-(D85/D83),"")</f>
        <v/>
      </c>
    </row>
    <row r="86">
      <c r="C86" s="6" t="n"/>
      <c r="D86" s="6" t="n"/>
    </row>
    <row r="87">
      <c r="C87" s="6" t="n"/>
      <c r="D87" s="6" t="n"/>
      <c r="E87" s="17">
        <f>IFERROR((C87/C86)-(D87/D86),"")</f>
        <v/>
      </c>
    </row>
    <row r="88">
      <c r="C88" s="6" t="n"/>
      <c r="D88" s="6" t="n"/>
      <c r="E88" s="17">
        <f>IFERROR((C88/C86)-(D88/D86),"")</f>
        <v/>
      </c>
    </row>
    <row r="89">
      <c r="C89" s="6" t="n"/>
      <c r="D89" s="6" t="n"/>
    </row>
    <row r="90">
      <c r="C90" s="6" t="n"/>
      <c r="D90" s="6" t="n"/>
      <c r="E90" s="17">
        <f>IFERROR((C90/C89)-(D90/D89),"")</f>
        <v/>
      </c>
    </row>
    <row r="91">
      <c r="C91" s="6" t="n"/>
      <c r="D91" s="6" t="n"/>
      <c r="E91" s="17">
        <f>IFERROR((C91/C89)-(D91/D89),"")</f>
        <v/>
      </c>
    </row>
    <row r="92">
      <c r="C92" s="6" t="n"/>
      <c r="D92" s="6" t="n"/>
    </row>
    <row r="93">
      <c r="C93" s="6" t="n"/>
      <c r="D93" s="6" t="n"/>
      <c r="E93" s="17">
        <f>IFERROR((C93/C92)-(D93/D92),"")</f>
        <v/>
      </c>
    </row>
    <row r="94">
      <c r="C94" s="6" t="n"/>
      <c r="D94" s="6" t="n"/>
      <c r="E94" s="17">
        <f>IFERROR((C94/C92)-(D94/D92),"")</f>
        <v/>
      </c>
    </row>
    <row r="95">
      <c r="C95" s="6" t="n"/>
      <c r="D95" s="6" t="n"/>
    </row>
    <row r="96">
      <c r="C96" s="6" t="n"/>
      <c r="D96" s="6" t="n"/>
      <c r="E96" s="17">
        <f>IFERROR((C96/C95)-(D96/D95),"")</f>
        <v/>
      </c>
    </row>
    <row r="97">
      <c r="C97" s="6" t="n"/>
      <c r="D97" s="6" t="n"/>
      <c r="E97" s="17">
        <f>IFERROR((C97/C95)-(D97/D95),"")</f>
        <v/>
      </c>
    </row>
    <row r="98">
      <c r="C98" s="6" t="n"/>
      <c r="D98" s="6" t="n"/>
    </row>
    <row r="99">
      <c r="C99" s="6" t="n"/>
      <c r="D99" s="6" t="n"/>
      <c r="E99" s="17">
        <f>IFERROR((C99/C98)-(D99/D98),"")</f>
        <v/>
      </c>
    </row>
    <row r="100">
      <c r="C100" s="6" t="n"/>
      <c r="D100" s="6" t="n"/>
      <c r="E100" s="17">
        <f>IFERROR((C100/C98)-(D100/D98),"")</f>
        <v/>
      </c>
    </row>
    <row r="101">
      <c r="C101" s="6" t="n"/>
      <c r="D101" s="6" t="n"/>
    </row>
    <row r="102">
      <c r="C102" s="6" t="n"/>
      <c r="D102" s="6" t="n"/>
      <c r="E102" s="17">
        <f>IFERROR((C102/C101)-(D102/D101),"")</f>
        <v/>
      </c>
    </row>
    <row r="103">
      <c r="C103" s="6" t="n"/>
      <c r="D103" s="6" t="n"/>
      <c r="E103" s="17">
        <f>IFERROR((C103/C101)-(D103/D101),"")</f>
        <v/>
      </c>
    </row>
    <row r="104">
      <c r="C104" s="6" t="n"/>
      <c r="D104" s="6" t="n"/>
    </row>
    <row r="105">
      <c r="C105" s="6" t="n"/>
      <c r="D105" s="6" t="n"/>
      <c r="E105" s="17">
        <f>IFERROR((C105/C104)-(D105/D104),"")</f>
        <v/>
      </c>
    </row>
    <row r="106">
      <c r="C106" s="6" t="n"/>
      <c r="D106" s="6" t="n"/>
      <c r="E106" s="17">
        <f>IFERROR((C106/C104)-(D106/D104),"")</f>
        <v/>
      </c>
    </row>
    <row r="107">
      <c r="C107" s="6" t="n"/>
      <c r="D107" s="6" t="n"/>
    </row>
    <row r="108">
      <c r="C108" s="6" t="n"/>
      <c r="D108" s="6" t="n"/>
      <c r="E108" s="17">
        <f>IFERROR((C108/C107)-(D108/D107),"")</f>
        <v/>
      </c>
    </row>
    <row r="109">
      <c r="C109" s="6" t="n"/>
      <c r="D109" s="6" t="n"/>
      <c r="E109" s="17">
        <f>IFERROR((C109/C107)-(D109/D107),"")</f>
        <v/>
      </c>
    </row>
    <row r="110">
      <c r="C110" s="6" t="n"/>
      <c r="D110" s="6" t="n"/>
    </row>
    <row r="111">
      <c r="C111" s="6" t="n"/>
      <c r="D111" s="6" t="n"/>
      <c r="E111" s="17">
        <f>IFERROR((C111/C110)-(D111/D110),"")</f>
        <v/>
      </c>
    </row>
    <row r="112">
      <c r="C112" s="6" t="n"/>
      <c r="D112" s="6" t="n"/>
      <c r="E112" s="17">
        <f>IFERROR((C112/C110)-(D112/D110),"")</f>
        <v/>
      </c>
    </row>
    <row r="113">
      <c r="C113" s="6" t="n"/>
      <c r="D113" s="6" t="n"/>
    </row>
    <row r="114">
      <c r="C114" s="6" t="n"/>
      <c r="D114" s="6" t="n"/>
      <c r="E114" s="17">
        <f>IFERROR((C114/C113)-(D114/D113),"")</f>
        <v/>
      </c>
    </row>
    <row r="115">
      <c r="C115" s="6" t="n"/>
      <c r="D115" s="6" t="n"/>
      <c r="E115" s="17">
        <f>IFERROR((C115/C113)-(D115/D113),"")</f>
        <v/>
      </c>
    </row>
    <row r="116">
      <c r="C116" s="6" t="n"/>
      <c r="D116" s="6" t="n"/>
    </row>
    <row r="117">
      <c r="C117" s="6" t="n"/>
      <c r="D117" s="6" t="n"/>
      <c r="E117" s="17">
        <f>IFERROR((C117/C116)-(D117/D116),"")</f>
        <v/>
      </c>
    </row>
    <row r="118">
      <c r="C118" s="6" t="n"/>
      <c r="D118" s="6" t="n"/>
      <c r="E118" s="17">
        <f>IFERROR((C118/C116)-(D118/D116),"")</f>
        <v/>
      </c>
    </row>
    <row r="119">
      <c r="C119" s="6" t="n"/>
      <c r="D119" s="6" t="n"/>
    </row>
    <row r="120">
      <c r="C120" s="6" t="n"/>
      <c r="D120" s="6" t="n"/>
      <c r="E120" s="17">
        <f>IFERROR((C120/C119)-(D120/D119),"")</f>
        <v/>
      </c>
    </row>
    <row r="121">
      <c r="C121" s="6" t="n"/>
      <c r="D121" s="6" t="n"/>
      <c r="E121" s="17">
        <f>IFERROR((C121/C119)-(D121/D119),"")</f>
        <v/>
      </c>
    </row>
    <row r="122">
      <c r="C122" s="6" t="n"/>
      <c r="D122" s="6" t="n"/>
    </row>
    <row r="123">
      <c r="C123" s="6" t="n"/>
      <c r="D123" s="6" t="n"/>
      <c r="E123" s="17">
        <f>IFERROR((C123/C122)-(D123/D122),"")</f>
        <v/>
      </c>
    </row>
    <row r="124">
      <c r="C124" s="6" t="n"/>
      <c r="D124" s="6" t="n"/>
      <c r="E124" s="17">
        <f>IFERROR((C124/C122)-(D124/D122),"")</f>
        <v/>
      </c>
    </row>
    <row r="125">
      <c r="C125" s="6" t="n"/>
      <c r="D125" s="6" t="n"/>
    </row>
    <row r="126">
      <c r="C126" s="6" t="n"/>
      <c r="D126" s="6" t="n"/>
      <c r="E126" s="17">
        <f>IFERROR((C126/C125)-(D126/D125),"")</f>
        <v/>
      </c>
    </row>
    <row r="127">
      <c r="C127" s="6" t="n"/>
      <c r="D127" s="6" t="n"/>
      <c r="E127" s="17">
        <f>IFERROR((C127/C125)-(D127/D125),"")</f>
        <v/>
      </c>
    </row>
    <row r="128">
      <c r="C128" s="6" t="n"/>
      <c r="D128" s="6" t="n"/>
    </row>
    <row r="129">
      <c r="C129" s="6" t="n"/>
      <c r="D129" s="6" t="n"/>
      <c r="E129" s="17">
        <f>IFERROR((C129/C128)-(D129/D128),"")</f>
        <v/>
      </c>
    </row>
    <row r="130">
      <c r="C130" s="6" t="n"/>
      <c r="D130" s="6" t="n"/>
      <c r="E130" s="17">
        <f>IFERROR((C130/C128)-(D130/D128),"")</f>
        <v/>
      </c>
    </row>
    <row r="131">
      <c r="C131" s="6" t="n"/>
      <c r="D131" s="6" t="n"/>
    </row>
    <row r="132">
      <c r="C132" s="6" t="n"/>
      <c r="D132" s="6" t="n"/>
      <c r="E132" s="17">
        <f>IFERROR((C132/C131)-(D132/D131),"")</f>
        <v/>
      </c>
    </row>
    <row r="133">
      <c r="C133" s="6" t="n"/>
      <c r="D133" s="6" t="n"/>
      <c r="E133" s="17">
        <f>IFERROR(D133-E133,0)</f>
        <v/>
      </c>
    </row>
    <row r="134">
      <c r="C134" s="6" t="n"/>
      <c r="D134" s="6" t="n"/>
    </row>
    <row r="135">
      <c r="C135" s="6" t="n"/>
      <c r="D135" s="6" t="n"/>
      <c r="E135" s="17">
        <f>IFERROR(D135-E135,0)</f>
        <v/>
      </c>
    </row>
    <row r="136">
      <c r="C136" s="6" t="n"/>
      <c r="D136" s="6" t="n"/>
      <c r="E136" s="17">
        <f>IFERROR(D136-E136,0)</f>
        <v/>
      </c>
    </row>
    <row r="137">
      <c r="C137" s="6" t="n"/>
      <c r="D137" s="6" t="n"/>
    </row>
  </sheetData>
  <autoFilter ref="B1:E1"/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60" t="n"/>
      <c r="B1" s="60" t="n"/>
      <c r="C1" s="71" t="inlineStr">
        <is>
          <t>Sandy Spring Bank</t>
        </is>
      </c>
      <c r="D1" s="60" t="n"/>
      <c r="E1" s="60" t="n"/>
      <c r="F1" s="60" t="n"/>
      <c r="G1" s="60" t="n"/>
      <c r="H1" s="71" t="inlineStr">
        <is>
          <t>Other Banks</t>
        </is>
      </c>
      <c r="I1" s="60" t="n"/>
      <c r="J1" s="60" t="n"/>
      <c r="K1" s="60" t="n"/>
      <c r="L1" s="60" t="n"/>
    </row>
    <row r="2">
      <c r="A2" s="72" t="inlineStr">
        <is>
          <t>Sandy Spring Assessment Area</t>
        </is>
      </c>
      <c r="B2" s="60" t="n"/>
      <c r="C2" s="71" t="inlineStr">
        <is>
          <t>2018</t>
        </is>
      </c>
      <c r="D2" s="71" t="inlineStr">
        <is>
          <t>2019</t>
        </is>
      </c>
      <c r="E2" s="71" t="inlineStr">
        <is>
          <t>2020</t>
        </is>
      </c>
      <c r="F2" s="71" t="inlineStr">
        <is>
          <t>2021</t>
        </is>
      </c>
      <c r="G2" s="71" t="inlineStr">
        <is>
          <t>2022</t>
        </is>
      </c>
      <c r="H2" s="71" t="inlineStr">
        <is>
          <t>2018</t>
        </is>
      </c>
      <c r="I2" s="71" t="inlineStr">
        <is>
          <t>2019</t>
        </is>
      </c>
      <c r="J2" s="71" t="inlineStr">
        <is>
          <t>2020</t>
        </is>
      </c>
      <c r="K2" s="71" t="inlineStr">
        <is>
          <t>2021</t>
        </is>
      </c>
      <c r="L2" s="71" t="inlineStr">
        <is>
          <t>2022</t>
        </is>
      </c>
    </row>
    <row r="3">
      <c r="A3" s="46" t="inlineStr">
        <is>
          <t>Grand Total</t>
        </is>
      </c>
      <c r="B3" s="46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6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6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6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6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6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6" t="inlineStr">
        <is>
          <t>Washington-Baltimore-Arlington, DC-MD-VA Assessment Area</t>
        </is>
      </c>
      <c r="B9" s="46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6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6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6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6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6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D8"/>
    </sheetView>
  </sheetViews>
  <sheetFormatPr baseColWidth="8" defaultRowHeight="15"/>
  <cols>
    <col width="22.42578125" customWidth="1" style="52" min="1" max="5"/>
  </cols>
  <sheetData>
    <row r="1" ht="15" customFormat="1" customHeight="1" s="4">
      <c r="A1" s="73" t="n"/>
      <c r="B1" s="68" t="n"/>
      <c r="C1" s="67" t="inlineStr">
        <is>
          <t>Bank B</t>
        </is>
      </c>
      <c r="D1" s="67" t="inlineStr">
        <is>
          <t>Peers</t>
        </is>
      </c>
      <c r="E1" s="60" t="inlineStr">
        <is>
          <t>Difference</t>
        </is>
      </c>
    </row>
    <row r="2" ht="15" customHeight="1" s="52">
      <c r="A2" t="inlineStr">
        <is>
          <t>Grand Total</t>
        </is>
      </c>
      <c r="B2" t="inlineStr">
        <is>
          <t>Branches</t>
        </is>
      </c>
      <c r="C2" s="6" t="n">
        <v>95</v>
      </c>
      <c r="D2" s="6" t="n"/>
    </row>
    <row r="3" ht="15" customHeight="1" s="52">
      <c r="B3" t="inlineStr">
        <is>
          <t>LMICT</t>
        </is>
      </c>
      <c r="C3" s="6" t="n"/>
      <c r="D3" s="6" t="n"/>
      <c r="E3" s="17">
        <f>IFERROR((C3/C2)-(D3/D2),"")</f>
        <v/>
      </c>
    </row>
    <row r="4" ht="15" customHeight="1" s="52">
      <c r="B4" t="inlineStr">
        <is>
          <t>MMCT</t>
        </is>
      </c>
      <c r="C4" s="6" t="n"/>
      <c r="D4" s="6" t="n"/>
      <c r="E4" s="17">
        <f>IFERROR((C4/C2)-(D4/D2),"")</f>
        <v/>
      </c>
    </row>
    <row r="5" ht="15" customHeight="1" s="52">
      <c r="A5" t="inlineStr">
        <is>
          <t>Boulder, CO</t>
        </is>
      </c>
      <c r="B5" t="inlineStr">
        <is>
          <t>Branches</t>
        </is>
      </c>
      <c r="C5" s="6" t="n">
        <v>5</v>
      </c>
      <c r="D5" s="6" t="n"/>
      <c r="E5">
        <f>IFERROR((C5/C5)-(D5/D5),"")</f>
        <v/>
      </c>
    </row>
    <row r="6" ht="15" customHeight="1" s="52">
      <c r="B6" t="inlineStr">
        <is>
          <t>LMICT</t>
        </is>
      </c>
      <c r="C6" s="6" t="n"/>
      <c r="D6" s="6" t="n"/>
      <c r="E6" s="17">
        <f>IFERROR((C6/C5)-(D6/D5),"")</f>
        <v/>
      </c>
    </row>
    <row r="7" ht="15" customHeight="1" s="52">
      <c r="B7" t="inlineStr">
        <is>
          <t>MMCT</t>
        </is>
      </c>
      <c r="C7" s="6" t="n"/>
      <c r="D7" s="6" t="n"/>
      <c r="E7" s="17">
        <f>IFERROR((C7/C5)-(D7/D5),"")</f>
        <v/>
      </c>
    </row>
    <row r="8" ht="15" customHeight="1" s="52">
      <c r="A8" t="inlineStr">
        <is>
          <t>Breckenridge, CO</t>
        </is>
      </c>
      <c r="B8" t="inlineStr">
        <is>
          <t>Branches</t>
        </is>
      </c>
      <c r="C8" t="n">
        <v>2</v>
      </c>
      <c r="E8">
        <f>IFERROR((C8/C8)-(D8/D8),"")</f>
        <v/>
      </c>
    </row>
    <row r="9" ht="15" customHeight="1" s="52"/>
    <row r="10" ht="15" customHeight="1" s="52"/>
    <row r="11" ht="15" customHeight="1" s="52">
      <c r="A11" t="inlineStr">
        <is>
          <t>Colorado Springs, CO</t>
        </is>
      </c>
      <c r="B11" t="inlineStr">
        <is>
          <t>Branches</t>
        </is>
      </c>
      <c r="C11" t="n">
        <v>6</v>
      </c>
      <c r="E11">
        <f>IFERROR((C11/C11)-(D11/D11),"")</f>
        <v/>
      </c>
    </row>
    <row r="12" ht="15" customHeight="1" s="52"/>
    <row r="13" ht="15" customHeight="1" s="52"/>
    <row r="14" ht="15" customHeight="1" s="52">
      <c r="A14" t="inlineStr">
        <is>
          <t>Denver-Aurora-Lakewood, CO</t>
        </is>
      </c>
      <c r="B14" t="inlineStr">
        <is>
          <t>Branches</t>
        </is>
      </c>
      <c r="C14" t="n">
        <v>52</v>
      </c>
      <c r="E14">
        <f>IFERROR((C14/C14)-(D14/D14),"")</f>
        <v/>
      </c>
    </row>
    <row r="15" ht="15" customHeight="1" s="52"/>
    <row r="16" ht="15" customHeight="1" s="52"/>
    <row r="17" ht="15" customHeight="1" s="52">
      <c r="A17" t="inlineStr">
        <is>
          <t>Edwards, CO</t>
        </is>
      </c>
      <c r="B17" t="inlineStr">
        <is>
          <t>Branches</t>
        </is>
      </c>
      <c r="C17" t="n">
        <v>5</v>
      </c>
      <c r="E17">
        <f>IFERROR((C17/C17)-(D17/D17),"")</f>
        <v/>
      </c>
    </row>
    <row r="18" ht="15" customHeight="1" s="52"/>
    <row r="19" ht="15" customHeight="1" s="52"/>
    <row r="20" ht="15" customHeight="1" s="52">
      <c r="A20" t="inlineStr">
        <is>
          <t>Fort Collins, CO</t>
        </is>
      </c>
      <c r="B20" t="inlineStr">
        <is>
          <t>Branches</t>
        </is>
      </c>
      <c r="C20" t="n">
        <v>4</v>
      </c>
      <c r="E20">
        <f>IFERROR((C20/C20)-(D20/D20),"")</f>
        <v/>
      </c>
    </row>
    <row r="21" ht="15" customHeight="1" s="52"/>
    <row r="22" ht="15" customHeight="1" s="52"/>
    <row r="23" ht="15" customHeight="1" s="52">
      <c r="A23" t="inlineStr">
        <is>
          <t>Glenwood Springs, CO</t>
        </is>
      </c>
      <c r="B23" t="inlineStr">
        <is>
          <t>Branches</t>
        </is>
      </c>
      <c r="C23" t="n">
        <v>3</v>
      </c>
      <c r="E23">
        <f>IFERROR((C23/C23)-(D23/D23),"")</f>
        <v/>
      </c>
    </row>
    <row r="24" ht="15" customHeight="1" s="52"/>
    <row r="25" ht="15" customHeight="1" s="52"/>
    <row r="26" ht="15" customHeight="1" s="52">
      <c r="A26" t="inlineStr">
        <is>
          <t>Greeley, CO</t>
        </is>
      </c>
      <c r="B26" t="inlineStr">
        <is>
          <t>Branches</t>
        </is>
      </c>
      <c r="C26" t="n">
        <v>5</v>
      </c>
      <c r="E26">
        <f>IFERROR((C26/C26)-(D26/D26),"")</f>
        <v/>
      </c>
    </row>
    <row r="27" ht="15" customHeight="1" s="52"/>
    <row r="28" ht="15" customHeight="1" s="52"/>
    <row r="29" ht="15" customHeight="1" s="52">
      <c r="A29" t="inlineStr">
        <is>
          <t>Phoenix-Mesa-Chandler, AZ</t>
        </is>
      </c>
      <c r="B29" t="inlineStr">
        <is>
          <t>Branches</t>
        </is>
      </c>
      <c r="C29" t="n">
        <v>13</v>
      </c>
      <c r="E29">
        <f>IFERROR((C29/C29)-(D29/D29),"")</f>
        <v/>
      </c>
    </row>
    <row r="30" ht="15" customHeight="1" s="52"/>
    <row r="31" ht="15" customHeight="1" s="52"/>
    <row r="32" ht="15" customHeight="1" s="52"/>
    <row r="33" ht="15" customHeight="1" s="52"/>
    <row r="34" ht="15" customHeight="1" s="52"/>
    <row r="35" ht="15" customHeight="1" s="52"/>
    <row r="36" ht="15" customHeight="1" s="52"/>
    <row r="37" ht="15" customHeight="1" s="52"/>
    <row r="38" ht="15" customHeight="1" s="52"/>
    <row r="39" ht="15" customHeight="1" s="52"/>
    <row r="40" ht="15" customHeight="1" s="52"/>
    <row r="41" ht="15" customHeight="1" s="52"/>
    <row r="42" ht="15" customHeight="1" s="52"/>
    <row r="43" ht="15" customHeight="1" s="52"/>
    <row r="44" ht="15" customHeight="1" s="52"/>
    <row r="45" ht="15" customHeight="1" s="52"/>
    <row r="46" ht="15" customHeight="1" s="52"/>
    <row r="47" ht="15" customHeight="1" s="52"/>
    <row r="48" ht="15" customHeight="1" s="52"/>
    <row r="49" ht="15" customHeight="1" s="52"/>
    <row r="50" ht="15" customHeight="1" s="52"/>
    <row r="51" ht="15" customHeight="1" s="52"/>
    <row r="52" ht="15" customHeight="1" s="52"/>
    <row r="53" ht="15" customHeight="1" s="52"/>
    <row r="54" ht="15" customHeight="1" s="52"/>
    <row r="55" ht="15" customHeight="1" s="52"/>
    <row r="56" ht="15" customHeight="1" s="52"/>
    <row r="57" ht="15" customHeight="1" s="52"/>
    <row r="58" ht="15" customHeight="1" s="52"/>
    <row r="59" ht="15" customHeight="1" s="52"/>
    <row r="60" ht="15" customHeight="1" s="52"/>
    <row r="61" ht="15" customHeight="1" s="52"/>
    <row r="62" ht="15" customHeight="1" s="52"/>
    <row r="63" ht="15" customHeight="1" s="52"/>
    <row r="64" ht="15" customHeight="1" s="52"/>
    <row r="65" ht="15" customHeight="1" s="52"/>
    <row r="66" ht="15" customHeight="1" s="52"/>
    <row r="67" ht="15" customHeight="1" s="52"/>
    <row r="68" ht="15" customHeight="1" s="52"/>
    <row r="69" ht="15" customHeight="1" s="52"/>
    <row r="70" ht="15" customHeight="1" s="52"/>
    <row r="71" ht="15" customHeight="1" s="52"/>
    <row r="72" ht="15" customHeight="1" s="52"/>
    <row r="73" ht="15" customHeight="1" s="52"/>
    <row r="74" ht="15" customHeight="1" s="52"/>
    <row r="75" ht="15" customHeight="1" s="52"/>
    <row r="76" ht="15" customHeight="1" s="52"/>
    <row r="77" ht="15" customHeight="1" s="52"/>
    <row r="78" ht="15" customHeight="1" s="52"/>
    <row r="79" ht="15" customHeight="1" s="52"/>
    <row r="80" ht="15" customHeight="1" s="52"/>
    <row r="81" ht="15" customHeight="1" s="52"/>
    <row r="82" ht="15" customHeight="1" s="52"/>
    <row r="83" ht="15" customHeight="1" s="52"/>
    <row r="84" ht="15" customHeight="1" s="52"/>
    <row r="85" ht="15" customHeight="1" s="52"/>
    <row r="86" ht="15" customHeight="1" s="52"/>
    <row r="87" ht="15" customHeight="1" s="52"/>
    <row r="88" ht="15" customHeight="1" s="52"/>
    <row r="89" ht="15" customHeight="1" s="52"/>
    <row r="90" ht="15" customHeight="1" s="52"/>
    <row r="91" ht="15" customHeight="1" s="52"/>
    <row r="92" ht="15" customHeight="1" s="52"/>
    <row r="93" ht="15" customHeight="1" s="52"/>
    <row r="94" ht="15" customHeight="1" s="52"/>
    <row r="95" ht="15" customHeight="1" s="52"/>
    <row r="96" ht="15" customHeight="1" s="52"/>
    <row r="97" ht="15" customHeight="1" s="52"/>
    <row r="98" ht="15" customHeight="1" s="52"/>
    <row r="99" ht="15" customHeight="1" s="52"/>
    <row r="100" ht="15" customHeight="1" s="52"/>
    <row r="101" ht="15" customHeight="1" s="52"/>
    <row r="102" ht="15" customHeight="1" s="52"/>
    <row r="103" ht="15" customHeight="1" s="52"/>
    <row r="104" ht="15" customHeight="1" s="52"/>
    <row r="105" ht="15" customHeight="1" s="52"/>
    <row r="106" ht="15" customHeight="1" s="52"/>
    <row r="107" ht="15" customHeight="1" s="52"/>
    <row r="108" ht="15" customHeight="1" s="52"/>
    <row r="109" ht="15" customHeight="1" s="52"/>
    <row r="110" ht="15" customHeight="1" s="52"/>
    <row r="111" ht="15" customHeight="1" s="52"/>
    <row r="112" ht="15" customHeight="1" s="52"/>
    <row r="113" ht="15" customHeight="1" s="52"/>
    <row r="114" ht="15" customHeight="1" s="52"/>
    <row r="115" ht="15" customHeight="1" s="52"/>
    <row r="116" ht="15" customHeight="1" s="52"/>
    <row r="117" ht="15" customHeight="1" s="52"/>
    <row r="118" ht="15" customHeight="1" s="52"/>
    <row r="119" ht="15" customHeight="1" s="52"/>
    <row r="120" ht="15" customHeight="1" s="52"/>
    <row r="121" ht="15" customHeight="1" s="52"/>
    <row r="122" ht="15" customHeight="1" s="52"/>
    <row r="123" ht="15" customHeight="1" s="52"/>
    <row r="124" ht="15" customHeight="1" s="52"/>
    <row r="125" ht="15" customHeight="1" s="52"/>
    <row r="126" ht="15" customHeight="1" s="52"/>
    <row r="127" ht="15" customHeight="1" s="52"/>
    <row r="128" ht="15" customHeight="1" s="52"/>
    <row r="129" ht="15" customHeight="1" s="52"/>
    <row r="130" ht="15" customHeight="1" s="52"/>
    <row r="131" ht="15" customHeight="1" s="52"/>
    <row r="132" ht="15" customHeight="1" s="52"/>
    <row r="133" ht="15" customHeight="1" s="52"/>
    <row r="134" ht="15" customHeight="1" s="52"/>
    <row r="135" ht="15" customHeight="1" s="52"/>
    <row r="136" ht="15" customHeight="1" s="52"/>
    <row r="137" ht="15" customHeight="1" s="52"/>
    <row r="138" ht="15" customHeight="1" s="52"/>
    <row r="139" ht="15" customHeight="1" s="52"/>
    <row r="140" ht="15" customHeight="1" s="52"/>
    <row r="141" ht="15" customHeight="1" s="52"/>
    <row r="142" ht="15" customHeight="1" s="52"/>
    <row r="143" ht="15" customHeight="1" s="52"/>
    <row r="144" ht="15" customHeight="1" s="52"/>
    <row r="145" ht="15" customHeight="1" s="52"/>
    <row r="146" ht="15" customHeight="1" s="52"/>
    <row r="147" ht="15" customHeight="1" s="52"/>
    <row r="148" ht="15" customHeight="1" s="52"/>
    <row r="149" ht="15" customHeight="1" s="52"/>
    <row r="150" ht="15" customHeight="1" s="52"/>
    <row r="151" ht="15" customHeight="1" s="52"/>
    <row r="152" ht="15" customHeight="1" s="52"/>
    <row r="153" ht="15" customHeight="1" s="52"/>
    <row r="154" ht="15" customHeight="1" s="52"/>
    <row r="155" ht="15" customHeight="1" s="52"/>
    <row r="156" ht="15" customHeight="1" s="52"/>
    <row r="157" ht="15" customHeight="1" s="52"/>
    <row r="158" ht="15" customHeight="1" s="52"/>
    <row r="159" ht="15" customHeight="1" s="52"/>
    <row r="160" ht="15" customHeight="1" s="52"/>
    <row r="161" ht="15" customHeight="1" s="52"/>
    <row r="162" ht="15" customHeight="1" s="52"/>
    <row r="163" ht="15" customHeight="1" s="52"/>
    <row r="164" ht="15" customHeight="1" s="52"/>
    <row r="165" ht="15" customHeight="1" s="52"/>
    <row r="166" ht="15" customHeight="1" s="52"/>
    <row r="167" ht="15" customHeight="1" s="52"/>
    <row r="168" ht="15" customHeight="1" s="52"/>
    <row r="169" ht="15" customHeight="1" s="52"/>
    <row r="170" ht="15" customHeight="1" s="52"/>
    <row r="171" ht="15" customHeight="1" s="52"/>
    <row r="172" ht="15" customHeight="1" s="52"/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60" t="inlineStr">
        <is>
          <t>County, State</t>
        </is>
      </c>
      <c r="B1" s="60" t="inlineStr">
        <is>
          <t>GEOID5</t>
        </is>
      </c>
      <c r="C1" s="60" t="inlineStr">
        <is>
          <t>Pre-Merger HHI</t>
        </is>
      </c>
      <c r="D1" s="60" t="inlineStr">
        <is>
          <t>Post-Merger HHI</t>
        </is>
      </c>
      <c r="E1" s="60" t="inlineStr">
        <is>
          <t>HHI Change</t>
        </is>
      </c>
      <c r="F1" s="60" t="inlineStr">
        <is>
          <t>Pre-Merger Concentration</t>
        </is>
      </c>
      <c r="G1" s="60" t="inlineStr">
        <is>
          <t>Post-Merger Concentration</t>
        </is>
      </c>
    </row>
    <row r="2">
      <c r="A2" s="60" t="inlineStr">
        <is>
          <t>Maricopa County, Arizona</t>
        </is>
      </c>
      <c r="B2" s="60" t="inlineStr">
        <is>
          <t>04013</t>
        </is>
      </c>
      <c r="C2" s="60" t="n">
        <v>1608.63</v>
      </c>
      <c r="D2" s="60" t="n">
        <v>1611.32</v>
      </c>
      <c r="E2" s="60" t="n">
        <v>2.68</v>
      </c>
      <c r="F2" s="60" t="inlineStr">
        <is>
          <t>Moderate Concentration</t>
        </is>
      </c>
      <c r="G2" s="60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2025-11-19T20:20:57Z</dcterms:modified>
  <cp:lastModifiedBy>Jason Richardson</cp:lastModifiedBy>
</cp:coreProperties>
</file>