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Areas" sheetId="1" state="visible" r:id="rId1"/>
    <sheet name="PNC BANK Mortgage Data" sheetId="2" state="visible" r:id="rId2"/>
    <sheet name="FIRSTBANK Mortgage Data" sheetId="3" state="visible" r:id="rId3"/>
    <sheet name="PNC BANK SB Lending" sheetId="4" state="visible" r:id="rId4"/>
    <sheet name="FIRSTBANK SB Lending" sheetId="5" state="visible" r:id="rId5"/>
    <sheet name="PNC BANK Branches" sheetId="6" state="visible" r:id="rId6"/>
    <sheet name="FIRSTBANK Branches" sheetId="7" state="visible" r:id="rId7"/>
    <sheet name="Notes" sheetId="8" state="visible" r:id="rId8"/>
    <sheet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Alabama</t>
        </is>
      </c>
      <c r="B3" t="inlineStr">
        <is>
          <t>Birmingham-Hoover, AL</t>
        </is>
      </c>
      <c r="C3" t="inlineStr">
        <is>
          <t>Birmingham-Hoover, AL</t>
        </is>
      </c>
      <c r="D3" t="inlineStr">
        <is>
          <t>13820</t>
        </is>
      </c>
      <c r="E3" t="inlineStr">
        <is>
          <t>Chilton County, Alabama</t>
        </is>
      </c>
      <c r="F3" t="inlineStr">
        <is>
          <t>01021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Pinal County, Arizona</t>
        </is>
      </c>
      <c r="L3" t="inlineStr">
        <is>
          <t>04021</t>
        </is>
      </c>
    </row>
    <row r="4">
      <c r="A4" t="inlineStr">
        <is>
          <t>Alabama</t>
        </is>
      </c>
      <c r="B4" t="inlineStr">
        <is>
          <t>Birmingham-Hoover, AL</t>
        </is>
      </c>
      <c r="C4" t="inlineStr">
        <is>
          <t>Birmingham-Hoover, AL</t>
        </is>
      </c>
      <c r="D4" t="inlineStr">
        <is>
          <t>13820</t>
        </is>
      </c>
      <c r="E4" t="inlineStr">
        <is>
          <t>Shelby County, Alabama</t>
        </is>
      </c>
      <c r="F4" t="inlineStr">
        <is>
          <t>01117</t>
        </is>
      </c>
      <c r="G4" t="inlineStr">
        <is>
          <t>Arizona</t>
        </is>
      </c>
      <c r="H4" t="inlineStr">
        <is>
          <t>Phoenix-Mesa-Chandler, AZ</t>
        </is>
      </c>
      <c r="I4" t="inlineStr">
        <is>
          <t>Phoenix-Mesa-Chandler, AZ</t>
        </is>
      </c>
      <c r="J4" t="inlineStr">
        <is>
          <t>38060</t>
        </is>
      </c>
      <c r="K4" t="inlineStr">
        <is>
          <t>Maricopa County, Arizona</t>
        </is>
      </c>
      <c r="L4" t="inlineStr">
        <is>
          <t>04013</t>
        </is>
      </c>
    </row>
    <row r="5">
      <c r="A5" t="inlineStr">
        <is>
          <t>Alabama</t>
        </is>
      </c>
      <c r="B5" t="inlineStr">
        <is>
          <t>Birmingham-Hoover, AL</t>
        </is>
      </c>
      <c r="C5" t="inlineStr">
        <is>
          <t>Birmingham-Hoover, AL</t>
        </is>
      </c>
      <c r="D5" t="inlineStr">
        <is>
          <t>13820</t>
        </is>
      </c>
      <c r="E5" t="inlineStr">
        <is>
          <t>St. Clair County, Alabama</t>
        </is>
      </c>
      <c r="F5" t="inlineStr">
        <is>
          <t>01115</t>
        </is>
      </c>
      <c r="G5" t="inlineStr">
        <is>
          <t>Colorado</t>
        </is>
      </c>
      <c r="H5" t="inlineStr">
        <is>
          <t>Denver-Aurora-Lakewood, CO</t>
        </is>
      </c>
      <c r="I5" t="inlineStr">
        <is>
          <t>Denver-Aurora-Lakewood, CO</t>
        </is>
      </c>
      <c r="J5" t="inlineStr">
        <is>
          <t>19740</t>
        </is>
      </c>
      <c r="K5" t="inlineStr">
        <is>
          <t>Adams County, Colorado</t>
        </is>
      </c>
      <c r="L5" t="inlineStr">
        <is>
          <t>08001</t>
        </is>
      </c>
    </row>
    <row r="6">
      <c r="A6" t="inlineStr">
        <is>
          <t>Alabama</t>
        </is>
      </c>
      <c r="B6" t="inlineStr">
        <is>
          <t>Birmingham-Hoover, AL</t>
        </is>
      </c>
      <c r="C6" t="inlineStr">
        <is>
          <t>Birmingham-Hoover, AL</t>
        </is>
      </c>
      <c r="D6" t="inlineStr">
        <is>
          <t>13820</t>
        </is>
      </c>
      <c r="E6" t="inlineStr">
        <is>
          <t>Blount County, Alabama</t>
        </is>
      </c>
      <c r="F6" t="inlineStr">
        <is>
          <t>01009</t>
        </is>
      </c>
      <c r="G6" t="inlineStr">
        <is>
          <t>Colorado</t>
        </is>
      </c>
      <c r="H6" t="inlineStr">
        <is>
          <t>Greeley, CO</t>
        </is>
      </c>
      <c r="I6" t="inlineStr">
        <is>
          <t>Greeley, CO</t>
        </is>
      </c>
      <c r="J6" t="inlineStr">
        <is>
          <t>24540</t>
        </is>
      </c>
      <c r="K6" t="inlineStr">
        <is>
          <t>Weld County, Colorado</t>
        </is>
      </c>
      <c r="L6" t="inlineStr">
        <is>
          <t>08123</t>
        </is>
      </c>
    </row>
    <row r="7">
      <c r="A7" t="inlineStr">
        <is>
          <t>Alabama</t>
        </is>
      </c>
      <c r="B7" t="inlineStr">
        <is>
          <t>Birmingham-Hoover, AL</t>
        </is>
      </c>
      <c r="C7" t="inlineStr">
        <is>
          <t>Birmingham-Hoover, AL</t>
        </is>
      </c>
      <c r="D7" t="inlineStr">
        <is>
          <t>13820</t>
        </is>
      </c>
      <c r="E7" t="inlineStr">
        <is>
          <t>Bibb County, Alabama</t>
        </is>
      </c>
      <c r="F7" t="inlineStr">
        <is>
          <t>01007</t>
        </is>
      </c>
      <c r="G7" t="inlineStr">
        <is>
          <t>Colorado</t>
        </is>
      </c>
      <c r="H7" t="inlineStr">
        <is>
          <t>Denver-Aurora-Lakewood, CO</t>
        </is>
      </c>
      <c r="I7" t="inlineStr">
        <is>
          <t>Denver-Aurora-Lakewood, CO</t>
        </is>
      </c>
      <c r="J7" t="inlineStr">
        <is>
          <t>19740</t>
        </is>
      </c>
      <c r="K7" t="inlineStr">
        <is>
          <t>Arapahoe County, Colorado</t>
        </is>
      </c>
      <c r="L7" t="inlineStr">
        <is>
          <t>08005</t>
        </is>
      </c>
    </row>
    <row r="8">
      <c r="A8" t="inlineStr">
        <is>
          <t>Alabama</t>
        </is>
      </c>
      <c r="B8" t="inlineStr">
        <is>
          <t>Birmingham-Hoover, AL</t>
        </is>
      </c>
      <c r="C8" t="inlineStr">
        <is>
          <t>Birmingham-Hoover, AL</t>
        </is>
      </c>
      <c r="D8" t="inlineStr">
        <is>
          <t>13820</t>
        </is>
      </c>
      <c r="E8" t="inlineStr">
        <is>
          <t>Jefferson County, Alabama</t>
        </is>
      </c>
      <c r="F8" t="inlineStr">
        <is>
          <t>01073</t>
        </is>
      </c>
      <c r="G8" t="inlineStr">
        <is>
          <t>Colorado</t>
        </is>
      </c>
      <c r="H8" t="inlineStr">
        <is>
          <t>Boulder, CO</t>
        </is>
      </c>
      <c r="I8" t="inlineStr">
        <is>
          <t>Boulder, CO</t>
        </is>
      </c>
      <c r="J8" t="inlineStr">
        <is>
          <t>14500</t>
        </is>
      </c>
      <c r="K8" t="inlineStr">
        <is>
          <t>Boulder County, Colorado</t>
        </is>
      </c>
      <c r="L8" t="inlineStr">
        <is>
          <t>08013</t>
        </is>
      </c>
    </row>
    <row r="9">
      <c r="A9" t="inlineStr">
        <is>
          <t>Delaware</t>
        </is>
      </c>
      <c r="B9" t="inlineStr">
        <is>
          <t>Philadelphia-Camden-Wilmington, PA-NJ-DE-MD</t>
        </is>
      </c>
      <c r="C9" t="inlineStr">
        <is>
          <t>Philadelphia-Camden-Wilmington, PA-NJ-DE-MD</t>
        </is>
      </c>
      <c r="D9" t="inlineStr">
        <is>
          <t>37980</t>
        </is>
      </c>
      <c r="E9" t="inlineStr">
        <is>
          <t>New Castle County, Delaware</t>
        </is>
      </c>
      <c r="F9" t="inlineStr">
        <is>
          <t>10003</t>
        </is>
      </c>
      <c r="G9" t="inlineStr">
        <is>
          <t>Colorado</t>
        </is>
      </c>
      <c r="H9" t="inlineStr">
        <is>
          <t>Denver-Aurora-Lakewood, CO</t>
        </is>
      </c>
      <c r="I9" t="inlineStr">
        <is>
          <t>Denver-Aurora-Lakewood, CO</t>
        </is>
      </c>
      <c r="J9" t="inlineStr">
        <is>
          <t>19740</t>
        </is>
      </c>
      <c r="K9" t="inlineStr">
        <is>
          <t>Jefferson County, Colorado</t>
        </is>
      </c>
      <c r="L9" t="inlineStr">
        <is>
          <t>08059</t>
        </is>
      </c>
    </row>
    <row r="10">
      <c r="A10" t="inlineStr">
        <is>
          <t>District of Columbia</t>
        </is>
      </c>
      <c r="B10" t="inlineStr">
        <is>
          <t>Washington-Arlington-Alexandria, DC-VA-MD-WV</t>
        </is>
      </c>
      <c r="C10" t="inlineStr">
        <is>
          <t>Washington-Arlington-Alexandria, DC-VA-MD-WV</t>
        </is>
      </c>
      <c r="D10" t="inlineStr">
        <is>
          <t>47900</t>
        </is>
      </c>
      <c r="E10" t="inlineStr">
        <is>
          <t>District of Columbia, District of Columbia</t>
        </is>
      </c>
      <c r="F10" t="inlineStr">
        <is>
          <t>11001</t>
        </is>
      </c>
      <c r="G10" t="inlineStr">
        <is>
          <t>Colorado</t>
        </is>
      </c>
      <c r="H10" t="inlineStr">
        <is>
          <t>Denver-Aurora-Lakewood, CO</t>
        </is>
      </c>
      <c r="I10" t="inlineStr">
        <is>
          <t>Denver-Aurora-Lakewood, CO</t>
        </is>
      </c>
      <c r="J10" t="inlineStr">
        <is>
          <t>19740</t>
        </is>
      </c>
      <c r="K10" t="inlineStr">
        <is>
          <t>Gilpin County, Colorado</t>
        </is>
      </c>
      <c r="L10" t="inlineStr">
        <is>
          <t>08047</t>
        </is>
      </c>
    </row>
    <row r="11">
      <c r="A11" t="inlineStr">
        <is>
          <t>Florida</t>
        </is>
      </c>
      <c r="B11" t="inlineStr">
        <is>
          <t>Miami-Fort Lauderdale-Pompano Beach, FL</t>
        </is>
      </c>
      <c r="C11" t="inlineStr">
        <is>
          <t>Miami-Fort Lauderdale-Pompano Beach, FL</t>
        </is>
      </c>
      <c r="D11" t="inlineStr">
        <is>
          <t>33100</t>
        </is>
      </c>
      <c r="E11" t="inlineStr">
        <is>
          <t>Broward County, Florida</t>
        </is>
      </c>
      <c r="F11" t="inlineStr">
        <is>
          <t>12011</t>
        </is>
      </c>
      <c r="G11" t="inlineStr">
        <is>
          <t>Colorado</t>
        </is>
      </c>
      <c r="H11" t="inlineStr">
        <is>
          <t>Colorado Springs, CO</t>
        </is>
      </c>
      <c r="I11" t="inlineStr">
        <is>
          <t>Colorado Springs, CO</t>
        </is>
      </c>
      <c r="J11" t="inlineStr">
        <is>
          <t>17820</t>
        </is>
      </c>
      <c r="K11" t="inlineStr">
        <is>
          <t>Teller County, Colorado</t>
        </is>
      </c>
      <c r="L11" t="inlineStr">
        <is>
          <t>08119</t>
        </is>
      </c>
    </row>
    <row r="12">
      <c r="A12" t="inlineStr">
        <is>
          <t>Florida</t>
        </is>
      </c>
      <c r="B12" t="inlineStr">
        <is>
          <t>Miami-Fort Lauderdale-Pompano Beach, FL</t>
        </is>
      </c>
      <c r="C12" t="inlineStr">
        <is>
          <t>Miami-Fort Lauderdale-Pompano Beach, FL</t>
        </is>
      </c>
      <c r="D12" t="inlineStr">
        <is>
          <t>33100</t>
        </is>
      </c>
      <c r="E12" t="inlineStr">
        <is>
          <t>Palm Beach County, Florida</t>
        </is>
      </c>
      <c r="F12" t="inlineStr">
        <is>
          <t>12099</t>
        </is>
      </c>
      <c r="G12" t="inlineStr">
        <is>
          <t>Colorado</t>
        </is>
      </c>
      <c r="H12" t="inlineStr">
        <is>
          <t>Edwards, CO</t>
        </is>
      </c>
      <c r="I12" t="inlineStr">
        <is>
          <t>Edwards, CO</t>
        </is>
      </c>
      <c r="J12" t="inlineStr">
        <is>
          <t>20780</t>
        </is>
      </c>
      <c r="K12" t="inlineStr">
        <is>
          <t>Eagle County, Colorado</t>
        </is>
      </c>
      <c r="L12" t="inlineStr">
        <is>
          <t>08037</t>
        </is>
      </c>
    </row>
    <row r="13">
      <c r="A13" t="inlineStr">
        <is>
          <t>Florida</t>
        </is>
      </c>
      <c r="B13" t="inlineStr">
        <is>
          <t>Miami-Fort Lauderdale-Pompano Beach, FL</t>
        </is>
      </c>
      <c r="C13" t="inlineStr">
        <is>
          <t>Miami-Fort Lauderdale-Pompano Beach, FL</t>
        </is>
      </c>
      <c r="D13" t="inlineStr">
        <is>
          <t>33100</t>
        </is>
      </c>
      <c r="E13" t="inlineStr">
        <is>
          <t>Miami-Dade County, Florida</t>
        </is>
      </c>
      <c r="F13" t="inlineStr">
        <is>
          <t>12086</t>
        </is>
      </c>
      <c r="G13" t="inlineStr">
        <is>
          <t>Colorado</t>
        </is>
      </c>
      <c r="H13" t="inlineStr">
        <is>
          <t>Colorado Springs, CO</t>
        </is>
      </c>
      <c r="I13" t="inlineStr">
        <is>
          <t>Colorado Springs, CO</t>
        </is>
      </c>
      <c r="J13" t="inlineStr">
        <is>
          <t>17820</t>
        </is>
      </c>
      <c r="K13" t="inlineStr">
        <is>
          <t>El Paso County, Colorado</t>
        </is>
      </c>
      <c r="L13" t="inlineStr">
        <is>
          <t>08041</t>
        </is>
      </c>
    </row>
    <row r="14">
      <c r="A14" t="inlineStr">
        <is>
          <t>Illinois</t>
        </is>
      </c>
      <c r="B14" t="inlineStr">
        <is>
          <t>Chicago-Naperville-Elgin, IL-IN-WI</t>
        </is>
      </c>
      <c r="C14" t="inlineStr">
        <is>
          <t>Chicago-Naperville-Elgin, IL-IN-WI</t>
        </is>
      </c>
      <c r="D14" t="inlineStr">
        <is>
          <t>16980</t>
        </is>
      </c>
      <c r="E14" t="inlineStr">
        <is>
          <t>Grundy County, Illinois</t>
        </is>
      </c>
      <c r="F14" t="inlineStr">
        <is>
          <t>17063</t>
        </is>
      </c>
      <c r="G14" t="inlineStr">
        <is>
          <t>Colorado</t>
        </is>
      </c>
      <c r="H14" t="inlineStr">
        <is>
          <t>Breckenridge, CO</t>
        </is>
      </c>
      <c r="I14" t="inlineStr">
        <is>
          <t>Breckenridge, CO</t>
        </is>
      </c>
      <c r="J14" t="inlineStr">
        <is>
          <t>14720</t>
        </is>
      </c>
      <c r="K14" t="inlineStr">
        <is>
          <t>Summit County, Colorado</t>
        </is>
      </c>
      <c r="L14" t="inlineStr">
        <is>
          <t>08117</t>
        </is>
      </c>
    </row>
    <row r="15">
      <c r="A15" t="inlineStr">
        <is>
          <t>Illinois</t>
        </is>
      </c>
      <c r="B15" t="inlineStr">
        <is>
          <t>Chicago-Naperville-Elgin, IL-IN-WI</t>
        </is>
      </c>
      <c r="C15" t="inlineStr">
        <is>
          <t>Chicago-Naperville-Elgin, IL-IN-WI</t>
        </is>
      </c>
      <c r="D15" t="inlineStr">
        <is>
          <t>16980</t>
        </is>
      </c>
      <c r="E15" t="inlineStr">
        <is>
          <t>DeKalb County, Illinois</t>
        </is>
      </c>
      <c r="F15" t="inlineStr">
        <is>
          <t>17037</t>
        </is>
      </c>
      <c r="G15" t="inlineStr">
        <is>
          <t>Colorado</t>
        </is>
      </c>
      <c r="H15" t="inlineStr">
        <is>
          <t>Denver-Aurora-Lakewood, CO</t>
        </is>
      </c>
      <c r="I15" t="inlineStr">
        <is>
          <t>Denver-Aurora-Lakewood, CO</t>
        </is>
      </c>
      <c r="J15" t="inlineStr">
        <is>
          <t>19740</t>
        </is>
      </c>
      <c r="K15" t="inlineStr">
        <is>
          <t>Douglas County, Colorado</t>
        </is>
      </c>
      <c r="L15" t="inlineStr">
        <is>
          <t>08035</t>
        </is>
      </c>
    </row>
    <row r="16">
      <c r="A16" t="inlineStr">
        <is>
          <t>Illinois</t>
        </is>
      </c>
      <c r="B16" t="inlineStr">
        <is>
          <t>Chicago-Naperville-Elgin, IL-IN-WI</t>
        </is>
      </c>
      <c r="C16" t="inlineStr">
        <is>
          <t>Chicago-Naperville-Elgin, IL-IN-WI</t>
        </is>
      </c>
      <c r="D16" t="inlineStr">
        <is>
          <t>16980</t>
        </is>
      </c>
      <c r="E16" t="inlineStr">
        <is>
          <t>DuPage County, Illinois</t>
        </is>
      </c>
      <c r="F16" t="inlineStr">
        <is>
          <t>17043</t>
        </is>
      </c>
      <c r="G16" t="inlineStr">
        <is>
          <t>Colorado</t>
        </is>
      </c>
      <c r="H16" t="inlineStr">
        <is>
          <t>Denver-Aurora-Lakewood, CO</t>
        </is>
      </c>
      <c r="I16" t="inlineStr">
        <is>
          <t>Denver-Aurora-Lakewood, CO</t>
        </is>
      </c>
      <c r="J16" t="inlineStr">
        <is>
          <t>19740</t>
        </is>
      </c>
      <c r="K16" t="inlineStr">
        <is>
          <t>Broomfield County, Colorado</t>
        </is>
      </c>
      <c r="L16" t="inlineStr">
        <is>
          <t>08014</t>
        </is>
      </c>
    </row>
    <row r="17">
      <c r="A17" t="inlineStr">
        <is>
          <t>Illinois</t>
        </is>
      </c>
      <c r="B17" t="inlineStr">
        <is>
          <t>Chicago-Naperville-Elgin, IL-IN-WI</t>
        </is>
      </c>
      <c r="C17" t="inlineStr">
        <is>
          <t>Chicago-Naperville-Elgin, IL-IN-WI</t>
        </is>
      </c>
      <c r="D17" t="inlineStr">
        <is>
          <t>16980</t>
        </is>
      </c>
      <c r="E17" t="inlineStr">
        <is>
          <t>Kendall County, Illinois</t>
        </is>
      </c>
      <c r="F17" t="inlineStr">
        <is>
          <t>17093</t>
        </is>
      </c>
      <c r="G17" t="inlineStr">
        <is>
          <t>Colorado</t>
        </is>
      </c>
      <c r="H17" t="inlineStr">
        <is>
          <t>Denver-Aurora-Lakewood, CO</t>
        </is>
      </c>
      <c r="I17" t="inlineStr">
        <is>
          <t>Denver-Aurora-Lakewood, CO</t>
        </is>
      </c>
      <c r="J17" t="inlineStr">
        <is>
          <t>19740</t>
        </is>
      </c>
      <c r="K17" t="inlineStr">
        <is>
          <t>Clear Creek County, Colorado</t>
        </is>
      </c>
      <c r="L17" t="inlineStr">
        <is>
          <t>08019</t>
        </is>
      </c>
    </row>
    <row r="18">
      <c r="A18" t="inlineStr">
        <is>
          <t>Illinois</t>
        </is>
      </c>
      <c r="B18" t="inlineStr">
        <is>
          <t>Chicago-Naperville-Elgin, IL-IN-WI</t>
        </is>
      </c>
      <c r="C18" t="inlineStr">
        <is>
          <t>Chicago-Naperville-Elgin, IL-IN-WI</t>
        </is>
      </c>
      <c r="D18" t="inlineStr">
        <is>
          <t>16980</t>
        </is>
      </c>
      <c r="E18" t="inlineStr">
        <is>
          <t>Kane County, Illinois</t>
        </is>
      </c>
      <c r="F18" t="inlineStr">
        <is>
          <t>17089</t>
        </is>
      </c>
      <c r="G18" t="inlineStr">
        <is>
          <t>Colorado</t>
        </is>
      </c>
      <c r="H18" t="inlineStr">
        <is>
          <t>Fort Collins, CO</t>
        </is>
      </c>
      <c r="I18" t="inlineStr">
        <is>
          <t>Fort Collins, CO</t>
        </is>
      </c>
      <c r="J18" t="inlineStr">
        <is>
          <t>22660</t>
        </is>
      </c>
      <c r="K18" t="inlineStr">
        <is>
          <t>Larimer County, Colorado</t>
        </is>
      </c>
      <c r="L18" t="inlineStr">
        <is>
          <t>08069</t>
        </is>
      </c>
    </row>
    <row r="19">
      <c r="A19" t="inlineStr">
        <is>
          <t>Illinois</t>
        </is>
      </c>
      <c r="B19" t="inlineStr">
        <is>
          <t>Chicago-Naperville-Elgin, IL-IN-WI</t>
        </is>
      </c>
      <c r="C19" t="inlineStr">
        <is>
          <t>Chicago-Naperville-Elgin, IL-IN-WI</t>
        </is>
      </c>
      <c r="D19" t="inlineStr">
        <is>
          <t>16980</t>
        </is>
      </c>
      <c r="E19" t="inlineStr">
        <is>
          <t>McHenry County, Illinois</t>
        </is>
      </c>
      <c r="F19" t="inlineStr">
        <is>
          <t>17111</t>
        </is>
      </c>
      <c r="G19" t="inlineStr">
        <is>
          <t>Colorado</t>
        </is>
      </c>
      <c r="H19" t="inlineStr">
        <is>
          <t>Denver-Aurora-Lakewood, CO</t>
        </is>
      </c>
      <c r="I19" t="inlineStr">
        <is>
          <t>Denver-Aurora-Lakewood, CO</t>
        </is>
      </c>
      <c r="J19" t="inlineStr">
        <is>
          <t>19740</t>
        </is>
      </c>
      <c r="K19" t="inlineStr">
        <is>
          <t>Elbert County, Colorado</t>
        </is>
      </c>
      <c r="L19" t="inlineStr">
        <is>
          <t>08039</t>
        </is>
      </c>
    </row>
    <row r="20">
      <c r="A20" t="inlineStr">
        <is>
          <t>Illinois</t>
        </is>
      </c>
      <c r="B20" t="inlineStr">
        <is>
          <t>Chicago-Naperville-Elgin, IL-IN-WI</t>
        </is>
      </c>
      <c r="C20" t="inlineStr">
        <is>
          <t>Chicago-Naperville-Elgin, IL-IN-WI</t>
        </is>
      </c>
      <c r="D20" t="inlineStr">
        <is>
          <t>16980</t>
        </is>
      </c>
      <c r="E20" t="inlineStr">
        <is>
          <t>Cook County, Illinois</t>
        </is>
      </c>
      <c r="F20" t="inlineStr">
        <is>
          <t>17031</t>
        </is>
      </c>
      <c r="G20" t="inlineStr">
        <is>
          <t>Colorado</t>
        </is>
      </c>
      <c r="H20" t="inlineStr">
        <is>
          <t>Denver-Aurora-Lakewood, CO</t>
        </is>
      </c>
      <c r="I20" t="inlineStr">
        <is>
          <t>Denver-Aurora-Lakewood, CO</t>
        </is>
      </c>
      <c r="J20" t="inlineStr">
        <is>
          <t>19740</t>
        </is>
      </c>
      <c r="K20" t="inlineStr">
        <is>
          <t>Denver County, Colorado</t>
        </is>
      </c>
      <c r="L20" t="inlineStr">
        <is>
          <t>08031</t>
        </is>
      </c>
    </row>
    <row r="21">
      <c r="A21" t="inlineStr">
        <is>
          <t>Illinois</t>
        </is>
      </c>
      <c r="B21" t="inlineStr">
        <is>
          <t>Chicago-Naperville-Elgin, IL-IN-WI</t>
        </is>
      </c>
      <c r="C21" t="inlineStr">
        <is>
          <t>Chicago-Naperville-Elgin, IL-IN-WI</t>
        </is>
      </c>
      <c r="D21" t="inlineStr">
        <is>
          <t>16980</t>
        </is>
      </c>
      <c r="E21" t="inlineStr">
        <is>
          <t>Will County, Illinois</t>
        </is>
      </c>
      <c r="F21" t="inlineStr">
        <is>
          <t>17197</t>
        </is>
      </c>
      <c r="G21" t="inlineStr">
        <is>
          <t>Colorado</t>
        </is>
      </c>
      <c r="H21" t="inlineStr">
        <is>
          <t>Denver-Aurora-Lakewood, CO</t>
        </is>
      </c>
      <c r="I21" t="inlineStr">
        <is>
          <t>Denver-Aurora-Lakewood, CO</t>
        </is>
      </c>
      <c r="J21" t="inlineStr">
        <is>
          <t>19740</t>
        </is>
      </c>
      <c r="K21" t="inlineStr">
        <is>
          <t>Park County, Colorado</t>
        </is>
      </c>
      <c r="L21" t="inlineStr">
        <is>
          <t>08093</t>
        </is>
      </c>
    </row>
    <row r="22">
      <c r="A22" t="inlineStr">
        <is>
          <t>Illinois</t>
        </is>
      </c>
      <c r="B22" t="inlineStr">
        <is>
          <t>Chicago-Naperville-Elgin, IL-IN-WI</t>
        </is>
      </c>
      <c r="C22" t="inlineStr">
        <is>
          <t>Chicago-Naperville-Elgin, IL-IN-WI</t>
        </is>
      </c>
      <c r="D22" t="inlineStr">
        <is>
          <t>16980</t>
        </is>
      </c>
      <c r="E22" t="inlineStr">
        <is>
          <t>Lake County, Illinois</t>
        </is>
      </c>
      <c r="F22" t="inlineStr">
        <is>
          <t>17097</t>
        </is>
      </c>
    </row>
    <row r="23">
      <c r="A23" t="inlineStr">
        <is>
          <t>Indiana</t>
        </is>
      </c>
      <c r="B23" t="inlineStr">
        <is>
          <t>Indianapolis-Carmel-Anderson, IN</t>
        </is>
      </c>
      <c r="C23" t="inlineStr">
        <is>
          <t>Indianapolis-Carmel-Anderson, IN</t>
        </is>
      </c>
      <c r="D23" t="inlineStr">
        <is>
          <t>26900</t>
        </is>
      </c>
      <c r="E23" t="inlineStr">
        <is>
          <t>Hancock County, Indiana</t>
        </is>
      </c>
      <c r="F23" t="inlineStr">
        <is>
          <t>18059</t>
        </is>
      </c>
    </row>
    <row r="24">
      <c r="A24" t="inlineStr">
        <is>
          <t>Indiana</t>
        </is>
      </c>
      <c r="B24" t="inlineStr">
        <is>
          <t>Chicago-Naperville-Elgin, IL-IN-WI</t>
        </is>
      </c>
      <c r="C24" t="inlineStr">
        <is>
          <t>Chicago-Naperville-Elgin, IL-IN-WI</t>
        </is>
      </c>
      <c r="D24" t="inlineStr">
        <is>
          <t>16980</t>
        </is>
      </c>
      <c r="E24" t="inlineStr">
        <is>
          <t>Jasper County, Indiana</t>
        </is>
      </c>
      <c r="F24" t="inlineStr">
        <is>
          <t>18073</t>
        </is>
      </c>
    </row>
    <row r="25">
      <c r="A25" t="inlineStr">
        <is>
          <t>Indiana</t>
        </is>
      </c>
      <c r="B25" t="inlineStr">
        <is>
          <t>Indianapolis-Carmel-Anderson, IN</t>
        </is>
      </c>
      <c r="C25" t="inlineStr">
        <is>
          <t>Indianapolis-Carmel-Anderson, IN</t>
        </is>
      </c>
      <c r="D25" t="inlineStr">
        <is>
          <t>26900</t>
        </is>
      </c>
      <c r="E25" t="inlineStr">
        <is>
          <t>Shelby County, Indiana</t>
        </is>
      </c>
      <c r="F25" t="inlineStr">
        <is>
          <t>18145</t>
        </is>
      </c>
    </row>
    <row r="26">
      <c r="A26" t="inlineStr">
        <is>
          <t>Indiana</t>
        </is>
      </c>
      <c r="B26" t="inlineStr">
        <is>
          <t>Indianapolis-Carmel-Anderson, IN</t>
        </is>
      </c>
      <c r="C26" t="inlineStr">
        <is>
          <t>Indianapolis-Carmel-Anderson, IN</t>
        </is>
      </c>
      <c r="D26" t="inlineStr">
        <is>
          <t>26900</t>
        </is>
      </c>
      <c r="E26" t="inlineStr">
        <is>
          <t>Madison County, Indiana</t>
        </is>
      </c>
      <c r="F26" t="inlineStr">
        <is>
          <t>18095</t>
        </is>
      </c>
    </row>
    <row r="27">
      <c r="A27" t="inlineStr">
        <is>
          <t>Indiana</t>
        </is>
      </c>
      <c r="B27" t="inlineStr">
        <is>
          <t>Indianapolis-Carmel-Anderson, IN</t>
        </is>
      </c>
      <c r="C27" t="inlineStr">
        <is>
          <t>Indianapolis-Carmel-Anderson, IN</t>
        </is>
      </c>
      <c r="D27" t="inlineStr">
        <is>
          <t>26900</t>
        </is>
      </c>
      <c r="E27" t="inlineStr">
        <is>
          <t>Morgan County, Indiana</t>
        </is>
      </c>
      <c r="F27" t="inlineStr">
        <is>
          <t>18109</t>
        </is>
      </c>
    </row>
    <row r="28">
      <c r="A28" t="inlineStr">
        <is>
          <t>Indiana</t>
        </is>
      </c>
      <c r="B28" t="inlineStr">
        <is>
          <t>Indianapolis-Carmel-Anderson, IN</t>
        </is>
      </c>
      <c r="C28" t="inlineStr">
        <is>
          <t>Indianapolis-Carmel-Anderson, IN</t>
        </is>
      </c>
      <c r="D28" t="inlineStr">
        <is>
          <t>26900</t>
        </is>
      </c>
      <c r="E28" t="inlineStr">
        <is>
          <t>Hamilton County, Indiana</t>
        </is>
      </c>
      <c r="F28" t="inlineStr">
        <is>
          <t>18057</t>
        </is>
      </c>
    </row>
    <row r="29">
      <c r="A29" t="inlineStr">
        <is>
          <t>Indiana</t>
        </is>
      </c>
      <c r="B29" t="inlineStr">
        <is>
          <t>Chicago-Naperville-Elgin, IL-IN-WI</t>
        </is>
      </c>
      <c r="C29" t="inlineStr">
        <is>
          <t>Chicago-Naperville-Elgin, IL-IN-WI</t>
        </is>
      </c>
      <c r="D29" t="inlineStr">
        <is>
          <t>16980</t>
        </is>
      </c>
      <c r="E29" t="inlineStr">
        <is>
          <t>Lake County, Indiana</t>
        </is>
      </c>
      <c r="F29" t="inlineStr">
        <is>
          <t>18089</t>
        </is>
      </c>
    </row>
    <row r="30">
      <c r="A30" t="inlineStr">
        <is>
          <t>Indiana</t>
        </is>
      </c>
      <c r="B30" t="inlineStr">
        <is>
          <t>Cincinnati, OH-KY-IN</t>
        </is>
      </c>
      <c r="C30" t="inlineStr">
        <is>
          <t>Cincinnati, OH-KY-IN</t>
        </is>
      </c>
      <c r="D30" t="inlineStr">
        <is>
          <t>17140</t>
        </is>
      </c>
      <c r="E30" t="inlineStr">
        <is>
          <t>Union County, Indiana</t>
        </is>
      </c>
      <c r="F30" t="inlineStr">
        <is>
          <t>18161</t>
        </is>
      </c>
    </row>
    <row r="31">
      <c r="A31" t="inlineStr">
        <is>
          <t>Indiana</t>
        </is>
      </c>
      <c r="B31" t="inlineStr">
        <is>
          <t>Cincinnati, OH-KY-IN</t>
        </is>
      </c>
      <c r="C31" t="inlineStr">
        <is>
          <t>Cincinnati, OH-KY-IN</t>
        </is>
      </c>
      <c r="D31" t="inlineStr">
        <is>
          <t>17140</t>
        </is>
      </c>
      <c r="E31" t="inlineStr">
        <is>
          <t>Ohio County, Indiana</t>
        </is>
      </c>
      <c r="F31" t="inlineStr">
        <is>
          <t>18115</t>
        </is>
      </c>
    </row>
    <row r="32">
      <c r="A32" t="inlineStr">
        <is>
          <t>Indiana</t>
        </is>
      </c>
      <c r="B32" t="inlineStr">
        <is>
          <t>Chicago-Naperville-Elgin, IL-IN-WI</t>
        </is>
      </c>
      <c r="C32" t="inlineStr">
        <is>
          <t>Chicago-Naperville-Elgin, IL-IN-WI</t>
        </is>
      </c>
      <c r="D32" t="inlineStr">
        <is>
          <t>16980</t>
        </is>
      </c>
      <c r="E32" t="inlineStr">
        <is>
          <t>Porter County, Indiana</t>
        </is>
      </c>
      <c r="F32" t="inlineStr">
        <is>
          <t>18127</t>
        </is>
      </c>
    </row>
    <row r="33">
      <c r="A33" t="inlineStr">
        <is>
          <t>Indiana</t>
        </is>
      </c>
      <c r="B33" t="inlineStr">
        <is>
          <t>Louisville/Jefferson County, KY-IN</t>
        </is>
      </c>
      <c r="C33" t="inlineStr">
        <is>
          <t>Louisville/Jefferson County, KY-IN</t>
        </is>
      </c>
      <c r="D33" t="inlineStr">
        <is>
          <t>31140</t>
        </is>
      </c>
      <c r="E33" t="inlineStr">
        <is>
          <t>Clark County, Indiana</t>
        </is>
      </c>
      <c r="F33" t="inlineStr">
        <is>
          <t>18019</t>
        </is>
      </c>
    </row>
    <row r="34">
      <c r="A34" t="inlineStr">
        <is>
          <t>Indiana</t>
        </is>
      </c>
      <c r="B34" t="inlineStr">
        <is>
          <t>Indianapolis-Carmel-Anderson, IN</t>
        </is>
      </c>
      <c r="C34" t="inlineStr">
        <is>
          <t>Indianapolis-Carmel-Anderson, IN</t>
        </is>
      </c>
      <c r="D34" t="inlineStr">
        <is>
          <t>26900</t>
        </is>
      </c>
      <c r="E34" t="inlineStr">
        <is>
          <t>Brown County, Indiana</t>
        </is>
      </c>
      <c r="F34" t="inlineStr">
        <is>
          <t>18013</t>
        </is>
      </c>
    </row>
    <row r="35">
      <c r="A35" t="inlineStr">
        <is>
          <t>Indiana</t>
        </is>
      </c>
      <c r="B35" t="inlineStr">
        <is>
          <t>Cincinnati, OH-KY-IN</t>
        </is>
      </c>
      <c r="C35" t="inlineStr">
        <is>
          <t>Cincinnati, OH-KY-IN</t>
        </is>
      </c>
      <c r="D35" t="inlineStr">
        <is>
          <t>17140</t>
        </is>
      </c>
      <c r="E35" t="inlineStr">
        <is>
          <t>Dearborn County, Indiana</t>
        </is>
      </c>
      <c r="F35" t="inlineStr">
        <is>
          <t>18029</t>
        </is>
      </c>
    </row>
    <row r="36">
      <c r="A36" t="inlineStr">
        <is>
          <t>Indiana</t>
        </is>
      </c>
      <c r="B36" t="inlineStr">
        <is>
          <t>Indianapolis-Carmel-Anderson, IN</t>
        </is>
      </c>
      <c r="C36" t="inlineStr">
        <is>
          <t>Indianapolis-Carmel-Anderson, IN</t>
        </is>
      </c>
      <c r="D36" t="inlineStr">
        <is>
          <t>26900</t>
        </is>
      </c>
      <c r="E36" t="inlineStr">
        <is>
          <t>Hendricks County, Indiana</t>
        </is>
      </c>
      <c r="F36" t="inlineStr">
        <is>
          <t>18063</t>
        </is>
      </c>
    </row>
    <row r="37">
      <c r="A37" t="inlineStr">
        <is>
          <t>Indiana</t>
        </is>
      </c>
      <c r="B37" t="inlineStr">
        <is>
          <t>Indianapolis-Carmel-Anderson, IN</t>
        </is>
      </c>
      <c r="C37" t="inlineStr">
        <is>
          <t>Indianapolis-Carmel-Anderson, IN</t>
        </is>
      </c>
      <c r="D37" t="inlineStr">
        <is>
          <t>26900</t>
        </is>
      </c>
      <c r="E37" t="inlineStr">
        <is>
          <t>Johnson County, Indiana</t>
        </is>
      </c>
      <c r="F37" t="inlineStr">
        <is>
          <t>18081</t>
        </is>
      </c>
    </row>
    <row r="38">
      <c r="A38" t="inlineStr">
        <is>
          <t>Indiana</t>
        </is>
      </c>
      <c r="B38" t="inlineStr">
        <is>
          <t>Cincinnati, OH-KY-IN</t>
        </is>
      </c>
      <c r="C38" t="inlineStr">
        <is>
          <t>Cincinnati, OH-KY-IN</t>
        </is>
      </c>
      <c r="D38" t="inlineStr">
        <is>
          <t>17140</t>
        </is>
      </c>
      <c r="E38" t="inlineStr">
        <is>
          <t>Franklin County, Indiana</t>
        </is>
      </c>
      <c r="F38" t="inlineStr">
        <is>
          <t>18047</t>
        </is>
      </c>
    </row>
    <row r="39">
      <c r="A39" t="inlineStr">
        <is>
          <t>Indiana</t>
        </is>
      </c>
      <c r="B39" t="inlineStr">
        <is>
          <t>Indianapolis-Carmel-Anderson, IN</t>
        </is>
      </c>
      <c r="C39" t="inlineStr">
        <is>
          <t>Indianapolis-Carmel-Anderson, IN</t>
        </is>
      </c>
      <c r="D39" t="inlineStr">
        <is>
          <t>26900</t>
        </is>
      </c>
      <c r="E39" t="inlineStr">
        <is>
          <t>Putnam County, Indiana</t>
        </is>
      </c>
      <c r="F39" t="inlineStr">
        <is>
          <t>18133</t>
        </is>
      </c>
    </row>
    <row r="40">
      <c r="A40" t="inlineStr">
        <is>
          <t>Indiana</t>
        </is>
      </c>
      <c r="B40" t="inlineStr">
        <is>
          <t>Indianapolis-Carmel-Anderson, IN</t>
        </is>
      </c>
      <c r="C40" t="inlineStr">
        <is>
          <t>Indianapolis-Carmel-Anderson, IN</t>
        </is>
      </c>
      <c r="D40" t="inlineStr">
        <is>
          <t>26900</t>
        </is>
      </c>
      <c r="E40" t="inlineStr">
        <is>
          <t>Boone County, Indiana</t>
        </is>
      </c>
      <c r="F40" t="inlineStr">
        <is>
          <t>18011</t>
        </is>
      </c>
    </row>
    <row r="41">
      <c r="A41" t="inlineStr">
        <is>
          <t>Indiana</t>
        </is>
      </c>
      <c r="B41" t="inlineStr">
        <is>
          <t>Chicago-Naperville-Elgin, IL-IN-WI</t>
        </is>
      </c>
      <c r="C41" t="inlineStr">
        <is>
          <t>Chicago-Naperville-Elgin, IL-IN-WI</t>
        </is>
      </c>
      <c r="D41" t="inlineStr">
        <is>
          <t>16980</t>
        </is>
      </c>
      <c r="E41" t="inlineStr">
        <is>
          <t>Newton County, Indiana</t>
        </is>
      </c>
      <c r="F41" t="inlineStr">
        <is>
          <t>18111</t>
        </is>
      </c>
    </row>
    <row r="42">
      <c r="A42" t="inlineStr">
        <is>
          <t>Indiana</t>
        </is>
      </c>
      <c r="B42" t="inlineStr">
        <is>
          <t>Indianapolis-Carmel-Anderson, IN</t>
        </is>
      </c>
      <c r="C42" t="inlineStr">
        <is>
          <t>Indianapolis-Carmel-Anderson, IN</t>
        </is>
      </c>
      <c r="D42" t="inlineStr">
        <is>
          <t>26900</t>
        </is>
      </c>
      <c r="E42" t="inlineStr">
        <is>
          <t>Marion County, Indiana</t>
        </is>
      </c>
      <c r="F42" t="inlineStr">
        <is>
          <t>18097</t>
        </is>
      </c>
    </row>
    <row r="43">
      <c r="A43" t="inlineStr">
        <is>
          <t>Indiana</t>
        </is>
      </c>
      <c r="B43" t="inlineStr">
        <is>
          <t>Louisville/Jefferson County, KY-IN</t>
        </is>
      </c>
      <c r="C43" t="inlineStr">
        <is>
          <t>Louisville/Jefferson County, KY-IN</t>
        </is>
      </c>
      <c r="D43" t="inlineStr">
        <is>
          <t>31140</t>
        </is>
      </c>
      <c r="E43" t="inlineStr">
        <is>
          <t>Washington County, Indiana</t>
        </is>
      </c>
      <c r="F43" t="inlineStr">
        <is>
          <t>18175</t>
        </is>
      </c>
    </row>
    <row r="44">
      <c r="A44" t="inlineStr">
        <is>
          <t>Indiana</t>
        </is>
      </c>
      <c r="B44" t="inlineStr">
        <is>
          <t>Louisville/Jefferson County, KY-IN</t>
        </is>
      </c>
      <c r="C44" t="inlineStr">
        <is>
          <t>Louisville/Jefferson County, KY-IN</t>
        </is>
      </c>
      <c r="D44" t="inlineStr">
        <is>
          <t>31140</t>
        </is>
      </c>
      <c r="E44" t="inlineStr">
        <is>
          <t>Floyd County, Indiana</t>
        </is>
      </c>
      <c r="F44" t="inlineStr">
        <is>
          <t>18043</t>
        </is>
      </c>
    </row>
    <row r="45">
      <c r="A45" t="inlineStr">
        <is>
          <t>Indiana</t>
        </is>
      </c>
      <c r="B45" t="inlineStr">
        <is>
          <t>Louisville/Jefferson County, KY-IN</t>
        </is>
      </c>
      <c r="C45" t="inlineStr">
        <is>
          <t>Louisville/Jefferson County, KY-IN</t>
        </is>
      </c>
      <c r="D45" t="inlineStr">
        <is>
          <t>31140</t>
        </is>
      </c>
      <c r="E45" t="inlineStr">
        <is>
          <t>Harrison County, Indiana</t>
        </is>
      </c>
      <c r="F45" t="inlineStr">
        <is>
          <t>18061</t>
        </is>
      </c>
    </row>
    <row r="46">
      <c r="A46" t="inlineStr">
        <is>
          <t>Kentucky</t>
        </is>
      </c>
      <c r="B46" t="inlineStr">
        <is>
          <t>Cincinnati, OH-KY-IN</t>
        </is>
      </c>
      <c r="C46" t="inlineStr">
        <is>
          <t>Cincinnati, OH-KY-IN</t>
        </is>
      </c>
      <c r="D46" t="inlineStr">
        <is>
          <t>17140</t>
        </is>
      </c>
      <c r="E46" t="inlineStr">
        <is>
          <t>Gallatin County, Kentucky</t>
        </is>
      </c>
      <c r="F46" t="inlineStr">
        <is>
          <t>21077</t>
        </is>
      </c>
    </row>
    <row r="47">
      <c r="A47" t="inlineStr">
        <is>
          <t>Kentucky</t>
        </is>
      </c>
      <c r="B47" t="inlineStr">
        <is>
          <t>Louisville/Jefferson County, KY-IN</t>
        </is>
      </c>
      <c r="C47" t="inlineStr">
        <is>
          <t>Louisville/Jefferson County, KY-IN</t>
        </is>
      </c>
      <c r="D47" t="inlineStr">
        <is>
          <t>31140</t>
        </is>
      </c>
      <c r="E47" t="inlineStr">
        <is>
          <t>Henry County, Kentucky</t>
        </is>
      </c>
      <c r="F47" t="inlineStr">
        <is>
          <t>21103</t>
        </is>
      </c>
    </row>
    <row r="48">
      <c r="A48" t="inlineStr">
        <is>
          <t>Kentucky</t>
        </is>
      </c>
      <c r="B48" t="inlineStr">
        <is>
          <t>Louisville/Jefferson County, KY-IN</t>
        </is>
      </c>
      <c r="C48" t="inlineStr">
        <is>
          <t>Louisville/Jefferson County, KY-IN</t>
        </is>
      </c>
      <c r="D48" t="inlineStr">
        <is>
          <t>31140</t>
        </is>
      </c>
      <c r="E48" t="inlineStr">
        <is>
          <t>Bullitt County, Kentucky</t>
        </is>
      </c>
      <c r="F48" t="inlineStr">
        <is>
          <t>21029</t>
        </is>
      </c>
    </row>
    <row r="49">
      <c r="A49" t="inlineStr">
        <is>
          <t>Kentucky</t>
        </is>
      </c>
      <c r="B49" t="inlineStr">
        <is>
          <t>Cincinnati, OH-KY-IN</t>
        </is>
      </c>
      <c r="C49" t="inlineStr">
        <is>
          <t>Cincinnati, OH-KY-IN</t>
        </is>
      </c>
      <c r="D49" t="inlineStr">
        <is>
          <t>17140</t>
        </is>
      </c>
      <c r="E49" t="inlineStr">
        <is>
          <t>Bracken County, Kentucky</t>
        </is>
      </c>
      <c r="F49" t="inlineStr">
        <is>
          <t>21023</t>
        </is>
      </c>
    </row>
    <row r="50">
      <c r="A50" t="inlineStr">
        <is>
          <t>Kentucky</t>
        </is>
      </c>
      <c r="B50" t="inlineStr">
        <is>
          <t>Louisville/Jefferson County, KY-IN</t>
        </is>
      </c>
      <c r="C50" t="inlineStr">
        <is>
          <t>Louisville/Jefferson County, KY-IN</t>
        </is>
      </c>
      <c r="D50" t="inlineStr">
        <is>
          <t>31140</t>
        </is>
      </c>
      <c r="E50" t="inlineStr">
        <is>
          <t>Shelby County, Kentucky</t>
        </is>
      </c>
      <c r="F50" t="inlineStr">
        <is>
          <t>21211</t>
        </is>
      </c>
    </row>
    <row r="51">
      <c r="A51" t="inlineStr">
        <is>
          <t>Kentucky</t>
        </is>
      </c>
      <c r="B51" t="inlineStr">
        <is>
          <t>Louisville/Jefferson County, KY-IN</t>
        </is>
      </c>
      <c r="C51" t="inlineStr">
        <is>
          <t>Louisville/Jefferson County, KY-IN</t>
        </is>
      </c>
      <c r="D51" t="inlineStr">
        <is>
          <t>31140</t>
        </is>
      </c>
      <c r="E51" t="inlineStr">
        <is>
          <t>Oldham County, Kentucky</t>
        </is>
      </c>
      <c r="F51" t="inlineStr">
        <is>
          <t>21185</t>
        </is>
      </c>
    </row>
    <row r="52">
      <c r="A52" t="inlineStr">
        <is>
          <t>Kentucky</t>
        </is>
      </c>
      <c r="B52" t="inlineStr">
        <is>
          <t>Cincinnati, OH-KY-IN</t>
        </is>
      </c>
      <c r="C52" t="inlineStr">
        <is>
          <t>Cincinnati, OH-KY-IN</t>
        </is>
      </c>
      <c r="D52" t="inlineStr">
        <is>
          <t>17140</t>
        </is>
      </c>
      <c r="E52" t="inlineStr">
        <is>
          <t>Boone County, Kentucky</t>
        </is>
      </c>
      <c r="F52" t="inlineStr">
        <is>
          <t>21015</t>
        </is>
      </c>
    </row>
    <row r="53">
      <c r="A53" t="inlineStr">
        <is>
          <t>Kentucky</t>
        </is>
      </c>
      <c r="B53" t="inlineStr">
        <is>
          <t>Cincinnati, OH-KY-IN</t>
        </is>
      </c>
      <c r="C53" t="inlineStr">
        <is>
          <t>Cincinnati, OH-KY-IN</t>
        </is>
      </c>
      <c r="D53" t="inlineStr">
        <is>
          <t>17140</t>
        </is>
      </c>
      <c r="E53" t="inlineStr">
        <is>
          <t>Kenton County, Kentucky</t>
        </is>
      </c>
      <c r="F53" t="inlineStr">
        <is>
          <t>21117</t>
        </is>
      </c>
    </row>
    <row r="54">
      <c r="A54" t="inlineStr">
        <is>
          <t>Kentucky</t>
        </is>
      </c>
      <c r="B54" t="inlineStr">
        <is>
          <t>Cincinnati, OH-KY-IN</t>
        </is>
      </c>
      <c r="C54" t="inlineStr">
        <is>
          <t>Cincinnati, OH-KY-IN</t>
        </is>
      </c>
      <c r="D54" t="inlineStr">
        <is>
          <t>17140</t>
        </is>
      </c>
      <c r="E54" t="inlineStr">
        <is>
          <t>Pendleton County, Kentucky</t>
        </is>
      </c>
      <c r="F54" t="inlineStr">
        <is>
          <t>21191</t>
        </is>
      </c>
    </row>
    <row r="55">
      <c r="A55" t="inlineStr">
        <is>
          <t>Kentucky</t>
        </is>
      </c>
      <c r="B55" t="inlineStr">
        <is>
          <t>Cincinnati, OH-KY-IN</t>
        </is>
      </c>
      <c r="C55" t="inlineStr">
        <is>
          <t>Cincinnati, OH-KY-IN</t>
        </is>
      </c>
      <c r="D55" t="inlineStr">
        <is>
          <t>17140</t>
        </is>
      </c>
      <c r="E55" t="inlineStr">
        <is>
          <t>Campbell County, Kentucky</t>
        </is>
      </c>
      <c r="F55" t="inlineStr">
        <is>
          <t>21037</t>
        </is>
      </c>
    </row>
    <row r="56">
      <c r="A56" t="inlineStr">
        <is>
          <t>Kentucky</t>
        </is>
      </c>
      <c r="B56" t="inlineStr">
        <is>
          <t>Louisville/Jefferson County, KY-IN</t>
        </is>
      </c>
      <c r="C56" t="inlineStr">
        <is>
          <t>Louisville/Jefferson County, KY-IN</t>
        </is>
      </c>
      <c r="D56" t="inlineStr">
        <is>
          <t>31140</t>
        </is>
      </c>
      <c r="E56" t="inlineStr">
        <is>
          <t>Jefferson County, Kentucky</t>
        </is>
      </c>
      <c r="F56" t="inlineStr">
        <is>
          <t>21111</t>
        </is>
      </c>
    </row>
    <row r="57">
      <c r="A57" t="inlineStr">
        <is>
          <t>Kentucky</t>
        </is>
      </c>
      <c r="B57" t="inlineStr">
        <is>
          <t>Cincinnati, OH-KY-IN</t>
        </is>
      </c>
      <c r="C57" t="inlineStr">
        <is>
          <t>Cincinnati, OH-KY-IN</t>
        </is>
      </c>
      <c r="D57" t="inlineStr">
        <is>
          <t>17140</t>
        </is>
      </c>
      <c r="E57" t="inlineStr">
        <is>
          <t>Grant County, Kentucky</t>
        </is>
      </c>
      <c r="F57" t="inlineStr">
        <is>
          <t>21081</t>
        </is>
      </c>
    </row>
    <row r="58">
      <c r="A58" t="inlineStr">
        <is>
          <t>Kentucky</t>
        </is>
      </c>
      <c r="B58" t="inlineStr">
        <is>
          <t>Louisville/Jefferson County, KY-IN</t>
        </is>
      </c>
      <c r="C58" t="inlineStr">
        <is>
          <t>Louisville/Jefferson County, KY-IN</t>
        </is>
      </c>
      <c r="D58" t="inlineStr">
        <is>
          <t>31140</t>
        </is>
      </c>
      <c r="E58" t="inlineStr">
        <is>
          <t>Spencer County, Kentucky</t>
        </is>
      </c>
      <c r="F58" t="inlineStr">
        <is>
          <t>21215</t>
        </is>
      </c>
    </row>
    <row r="59">
      <c r="A59" t="inlineStr">
        <is>
          <t>Maryland</t>
        </is>
      </c>
      <c r="B59" t="inlineStr">
        <is>
          <t>Baltimore-Columbia-Towson, MD</t>
        </is>
      </c>
      <c r="C59" t="inlineStr">
        <is>
          <t>Baltimore-Columbia-Towson, MD</t>
        </is>
      </c>
      <c r="D59" t="inlineStr">
        <is>
          <t>12580</t>
        </is>
      </c>
      <c r="E59" t="inlineStr">
        <is>
          <t>Carroll County, Maryland</t>
        </is>
      </c>
      <c r="F59" t="inlineStr">
        <is>
          <t>24013</t>
        </is>
      </c>
    </row>
    <row r="60">
      <c r="A60" t="inlineStr">
        <is>
          <t>Maryland</t>
        </is>
      </c>
      <c r="B60" t="inlineStr">
        <is>
          <t>Washington-Arlington-Alexandria, DC-VA-MD-WV</t>
        </is>
      </c>
      <c r="C60" t="inlineStr">
        <is>
          <t>Washington-Arlington-Alexandria, DC-VA-MD-WV</t>
        </is>
      </c>
      <c r="D60" t="inlineStr">
        <is>
          <t>47900</t>
        </is>
      </c>
      <c r="E60" t="inlineStr">
        <is>
          <t>Frederick County, Maryland</t>
        </is>
      </c>
      <c r="F60" t="inlineStr">
        <is>
          <t>24021</t>
        </is>
      </c>
    </row>
    <row r="61">
      <c r="A61" t="inlineStr">
        <is>
          <t>Maryland</t>
        </is>
      </c>
      <c r="B61" t="inlineStr">
        <is>
          <t>Baltimore-Columbia-Towson, MD</t>
        </is>
      </c>
      <c r="C61" t="inlineStr">
        <is>
          <t>Baltimore-Columbia-Towson, MD</t>
        </is>
      </c>
      <c r="D61" t="inlineStr">
        <is>
          <t>12580</t>
        </is>
      </c>
      <c r="E61" t="inlineStr">
        <is>
          <t>Anne Arundel County, Maryland</t>
        </is>
      </c>
      <c r="F61" t="inlineStr">
        <is>
          <t>24003</t>
        </is>
      </c>
    </row>
    <row r="62">
      <c r="A62" t="inlineStr">
        <is>
          <t>Maryland</t>
        </is>
      </c>
      <c r="B62" t="inlineStr">
        <is>
          <t>Baltimore-Columbia-Towson, MD</t>
        </is>
      </c>
      <c r="C62" t="inlineStr">
        <is>
          <t>Baltimore-Columbia-Towson, MD</t>
        </is>
      </c>
      <c r="D62" t="inlineStr">
        <is>
          <t>12580</t>
        </is>
      </c>
      <c r="E62" t="inlineStr">
        <is>
          <t>Queen Anne's County, Maryland</t>
        </is>
      </c>
      <c r="F62" t="inlineStr">
        <is>
          <t>24035</t>
        </is>
      </c>
    </row>
    <row r="63">
      <c r="A63" t="inlineStr">
        <is>
          <t>Maryland</t>
        </is>
      </c>
      <c r="B63" t="inlineStr">
        <is>
          <t>Baltimore-Columbia-Towson, MD</t>
        </is>
      </c>
      <c r="C63" t="inlineStr">
        <is>
          <t>Baltimore-Columbia-Towson, MD</t>
        </is>
      </c>
      <c r="D63" t="inlineStr">
        <is>
          <t>12580</t>
        </is>
      </c>
      <c r="E63" t="inlineStr">
        <is>
          <t>Baltimore County, Maryland</t>
        </is>
      </c>
      <c r="F63" t="inlineStr">
        <is>
          <t>24005</t>
        </is>
      </c>
    </row>
    <row r="64">
      <c r="A64" t="inlineStr">
        <is>
          <t>Maryland</t>
        </is>
      </c>
      <c r="B64" t="inlineStr">
        <is>
          <t>Washington-Arlington-Alexandria, DC-VA-MD-WV</t>
        </is>
      </c>
      <c r="C64" t="inlineStr">
        <is>
          <t>Washington-Arlington-Alexandria, DC-VA-MD-WV</t>
        </is>
      </c>
      <c r="D64" t="inlineStr">
        <is>
          <t>47900</t>
        </is>
      </c>
      <c r="E64" t="inlineStr">
        <is>
          <t>Charles County, Maryland</t>
        </is>
      </c>
      <c r="F64" t="inlineStr">
        <is>
          <t>24017</t>
        </is>
      </c>
    </row>
    <row r="65">
      <c r="A65" t="inlineStr">
        <is>
          <t>Maryland</t>
        </is>
      </c>
      <c r="B65" t="inlineStr">
        <is>
          <t>Baltimore-Columbia-Towson, MD</t>
        </is>
      </c>
      <c r="C65" t="inlineStr">
        <is>
          <t>Baltimore-Columbia-Towson, MD</t>
        </is>
      </c>
      <c r="D65" t="inlineStr">
        <is>
          <t>12580</t>
        </is>
      </c>
      <c r="E65" t="inlineStr">
        <is>
          <t>Harford County, Maryland</t>
        </is>
      </c>
      <c r="F65" t="inlineStr">
        <is>
          <t>24025</t>
        </is>
      </c>
    </row>
    <row r="66">
      <c r="A66" t="inlineStr">
        <is>
          <t>Maryland</t>
        </is>
      </c>
      <c r="B66" t="inlineStr">
        <is>
          <t>Washington-Arlington-Alexandria, DC-VA-MD-WV</t>
        </is>
      </c>
      <c r="C66" t="inlineStr">
        <is>
          <t>Washington-Arlington-Alexandria, DC-VA-MD-WV</t>
        </is>
      </c>
      <c r="D66" t="inlineStr">
        <is>
          <t>47900</t>
        </is>
      </c>
      <c r="E66" t="inlineStr">
        <is>
          <t>Prince George's County, Maryland</t>
        </is>
      </c>
      <c r="F66" t="inlineStr">
        <is>
          <t>24033</t>
        </is>
      </c>
    </row>
    <row r="67">
      <c r="A67" t="inlineStr">
        <is>
          <t>Maryland</t>
        </is>
      </c>
      <c r="B67" t="inlineStr">
        <is>
          <t>Washington-Arlington-Alexandria, DC-VA-MD-WV</t>
        </is>
      </c>
      <c r="C67" t="inlineStr">
        <is>
          <t>Washington-Arlington-Alexandria, DC-VA-MD-WV</t>
        </is>
      </c>
      <c r="D67" t="inlineStr">
        <is>
          <t>47900</t>
        </is>
      </c>
      <c r="E67" t="inlineStr">
        <is>
          <t>Calvert County, Maryland</t>
        </is>
      </c>
      <c r="F67" t="inlineStr">
        <is>
          <t>24009</t>
        </is>
      </c>
    </row>
    <row r="68">
      <c r="A68" t="inlineStr">
        <is>
          <t>Maryland</t>
        </is>
      </c>
      <c r="B68" t="inlineStr">
        <is>
          <t>Baltimore-Columbia-Towson, MD</t>
        </is>
      </c>
      <c r="C68" t="inlineStr">
        <is>
          <t>Baltimore-Columbia-Towson, MD</t>
        </is>
      </c>
      <c r="D68" t="inlineStr">
        <is>
          <t>12580</t>
        </is>
      </c>
      <c r="E68" t="inlineStr">
        <is>
          <t>Howard County, Maryland</t>
        </is>
      </c>
      <c r="F68" t="inlineStr">
        <is>
          <t>24027</t>
        </is>
      </c>
    </row>
    <row r="69">
      <c r="A69" t="inlineStr">
        <is>
          <t>Maryland</t>
        </is>
      </c>
      <c r="B69" t="inlineStr">
        <is>
          <t>Philadelphia-Camden-Wilmington, PA-NJ-DE-MD</t>
        </is>
      </c>
      <c r="C69" t="inlineStr">
        <is>
          <t>Philadelphia-Camden-Wilmington, PA-NJ-DE-MD</t>
        </is>
      </c>
      <c r="D69" t="inlineStr">
        <is>
          <t>37980</t>
        </is>
      </c>
      <c r="E69" t="inlineStr">
        <is>
          <t>Cecil County, Maryland</t>
        </is>
      </c>
      <c r="F69" t="inlineStr">
        <is>
          <t>24015</t>
        </is>
      </c>
    </row>
    <row r="70">
      <c r="A70" t="inlineStr">
        <is>
          <t>Maryland</t>
        </is>
      </c>
      <c r="B70" t="inlineStr">
        <is>
          <t>Baltimore-Columbia-Towson, MD</t>
        </is>
      </c>
      <c r="C70" t="inlineStr">
        <is>
          <t>Baltimore-Columbia-Towson, MD</t>
        </is>
      </c>
      <c r="D70" t="inlineStr">
        <is>
          <t>12580</t>
        </is>
      </c>
      <c r="E70" t="inlineStr">
        <is>
          <t>Baltimore city, Maryland</t>
        </is>
      </c>
      <c r="F70" t="inlineStr">
        <is>
          <t>24510</t>
        </is>
      </c>
    </row>
    <row r="71">
      <c r="A71" t="inlineStr">
        <is>
          <t>Maryland</t>
        </is>
      </c>
      <c r="B71" t="inlineStr">
        <is>
          <t>Washington-Arlington-Alexandria, DC-VA-MD-WV</t>
        </is>
      </c>
      <c r="C71" t="inlineStr">
        <is>
          <t>Washington-Arlington-Alexandria, DC-VA-MD-WV</t>
        </is>
      </c>
      <c r="D71" t="inlineStr">
        <is>
          <t>47900</t>
        </is>
      </c>
      <c r="E71" t="inlineStr">
        <is>
          <t>Montgomery County, Maryland</t>
        </is>
      </c>
      <c r="F71" t="inlineStr">
        <is>
          <t>24031</t>
        </is>
      </c>
    </row>
    <row r="72">
      <c r="A72" t="inlineStr">
        <is>
          <t>Michigan</t>
        </is>
      </c>
      <c r="B72" t="inlineStr">
        <is>
          <t>Detroit-Warren-Dearborn, MI</t>
        </is>
      </c>
      <c r="C72" t="inlineStr">
        <is>
          <t>Detroit-Warren-Dearborn, MI</t>
        </is>
      </c>
      <c r="D72" t="inlineStr">
        <is>
          <t>19820</t>
        </is>
      </c>
      <c r="E72" t="inlineStr">
        <is>
          <t>Macomb County, Michigan</t>
        </is>
      </c>
      <c r="F72" t="inlineStr">
        <is>
          <t>26099</t>
        </is>
      </c>
    </row>
    <row r="73">
      <c r="A73" t="inlineStr">
        <is>
          <t>Michigan</t>
        </is>
      </c>
      <c r="B73" t="inlineStr">
        <is>
          <t>Detroit-Warren-Dearborn, MI</t>
        </is>
      </c>
      <c r="C73" t="inlineStr">
        <is>
          <t>Detroit-Warren-Dearborn, MI</t>
        </is>
      </c>
      <c r="D73" t="inlineStr">
        <is>
          <t>19820</t>
        </is>
      </c>
      <c r="E73" t="inlineStr">
        <is>
          <t>Livingston County, Michigan</t>
        </is>
      </c>
      <c r="F73" t="inlineStr">
        <is>
          <t>26093</t>
        </is>
      </c>
    </row>
    <row r="74">
      <c r="A74" t="inlineStr">
        <is>
          <t>Michigan</t>
        </is>
      </c>
      <c r="B74" t="inlineStr">
        <is>
          <t>Detroit-Warren-Dearborn, MI</t>
        </is>
      </c>
      <c r="C74" t="inlineStr">
        <is>
          <t>Detroit-Warren-Dearborn, MI</t>
        </is>
      </c>
      <c r="D74" t="inlineStr">
        <is>
          <t>19820</t>
        </is>
      </c>
      <c r="E74" t="inlineStr">
        <is>
          <t>St. Clair County, Michigan</t>
        </is>
      </c>
      <c r="F74" t="inlineStr">
        <is>
          <t>26147</t>
        </is>
      </c>
    </row>
    <row r="75">
      <c r="A75" t="inlineStr">
        <is>
          <t>Michigan</t>
        </is>
      </c>
      <c r="B75" t="inlineStr">
        <is>
          <t>Detroit-Warren-Dearborn, MI</t>
        </is>
      </c>
      <c r="C75" t="inlineStr">
        <is>
          <t>Detroit-Warren-Dearborn, MI</t>
        </is>
      </c>
      <c r="D75" t="inlineStr">
        <is>
          <t>19820</t>
        </is>
      </c>
      <c r="E75" t="inlineStr">
        <is>
          <t>Wayne County, Michigan</t>
        </is>
      </c>
      <c r="F75" t="inlineStr">
        <is>
          <t>26163</t>
        </is>
      </c>
    </row>
    <row r="76">
      <c r="A76" t="inlineStr">
        <is>
          <t>Michigan</t>
        </is>
      </c>
      <c r="B76" t="inlineStr">
        <is>
          <t>Detroit-Warren-Dearborn, MI</t>
        </is>
      </c>
      <c r="C76" t="inlineStr">
        <is>
          <t>Detroit-Warren-Dearborn, MI</t>
        </is>
      </c>
      <c r="D76" t="inlineStr">
        <is>
          <t>19820</t>
        </is>
      </c>
      <c r="E76" t="inlineStr">
        <is>
          <t>Oakland County, Michigan</t>
        </is>
      </c>
      <c r="F76" t="inlineStr">
        <is>
          <t>26125</t>
        </is>
      </c>
    </row>
    <row r="77">
      <c r="A77" t="inlineStr">
        <is>
          <t>Michigan</t>
        </is>
      </c>
      <c r="B77" t="inlineStr">
        <is>
          <t>Detroit-Warren-Dearborn, MI</t>
        </is>
      </c>
      <c r="C77" t="inlineStr">
        <is>
          <t>Detroit-Warren-Dearborn, MI</t>
        </is>
      </c>
      <c r="D77" t="inlineStr">
        <is>
          <t>19820</t>
        </is>
      </c>
      <c r="E77" t="inlineStr">
        <is>
          <t>Lapeer County, Michigan</t>
        </is>
      </c>
      <c r="F77" t="inlineStr">
        <is>
          <t>26087</t>
        </is>
      </c>
    </row>
    <row r="78">
      <c r="A78" t="inlineStr">
        <is>
          <t>New Jersey</t>
        </is>
      </c>
      <c r="B78" t="inlineStr">
        <is>
          <t>New York-Newark-Jersey City, NY-NJ-PA</t>
        </is>
      </c>
      <c r="C78" t="inlineStr">
        <is>
          <t>New York-Newark-Jersey City, NY-NJ-PA</t>
        </is>
      </c>
      <c r="D78" t="inlineStr">
        <is>
          <t>35620</t>
        </is>
      </c>
      <c r="E78" t="inlineStr">
        <is>
          <t>Essex County, New Jersey</t>
        </is>
      </c>
      <c r="F78" t="inlineStr">
        <is>
          <t>34013</t>
        </is>
      </c>
    </row>
    <row r="79">
      <c r="A79" t="inlineStr">
        <is>
          <t>New Jersey</t>
        </is>
      </c>
      <c r="B79" t="inlineStr">
        <is>
          <t>New York-Newark-Jersey City, NY-NJ-PA</t>
        </is>
      </c>
      <c r="C79" t="inlineStr">
        <is>
          <t>New York-Newark-Jersey City, NY-NJ-PA</t>
        </is>
      </c>
      <c r="D79" t="inlineStr">
        <is>
          <t>35620</t>
        </is>
      </c>
      <c r="E79" t="inlineStr">
        <is>
          <t>Hunterdon County, New Jersey</t>
        </is>
      </c>
      <c r="F79" t="inlineStr">
        <is>
          <t>34019</t>
        </is>
      </c>
    </row>
    <row r="80">
      <c r="A80" t="inlineStr">
        <is>
          <t>New Jersey</t>
        </is>
      </c>
      <c r="B80" t="inlineStr">
        <is>
          <t>New York-Newark-Jersey City, NY-NJ-PA</t>
        </is>
      </c>
      <c r="C80" t="inlineStr">
        <is>
          <t>New York-Newark-Jersey City, NY-NJ-PA</t>
        </is>
      </c>
      <c r="D80" t="inlineStr">
        <is>
          <t>35620</t>
        </is>
      </c>
      <c r="E80" t="inlineStr">
        <is>
          <t>Middlesex County, New Jersey</t>
        </is>
      </c>
      <c r="F80" t="inlineStr">
        <is>
          <t>34023</t>
        </is>
      </c>
    </row>
    <row r="81">
      <c r="A81" t="inlineStr">
        <is>
          <t>New Jersey</t>
        </is>
      </c>
      <c r="B81" t="inlineStr">
        <is>
          <t>Philadelphia-Camden-Wilmington, PA-NJ-DE-MD</t>
        </is>
      </c>
      <c r="C81" t="inlineStr">
        <is>
          <t>Philadelphia-Camden-Wilmington, PA-NJ-DE-MD</t>
        </is>
      </c>
      <c r="D81" t="inlineStr">
        <is>
          <t>37980</t>
        </is>
      </c>
      <c r="E81" t="inlineStr">
        <is>
          <t>Salem County, New Jersey</t>
        </is>
      </c>
      <c r="F81" t="inlineStr">
        <is>
          <t>34033</t>
        </is>
      </c>
    </row>
    <row r="82">
      <c r="A82" t="inlineStr">
        <is>
          <t>New Jersey</t>
        </is>
      </c>
      <c r="B82" t="inlineStr">
        <is>
          <t>New York-Newark-Jersey City, NY-NJ-PA</t>
        </is>
      </c>
      <c r="C82" t="inlineStr">
        <is>
          <t>New York-Newark-Jersey City, NY-NJ-PA</t>
        </is>
      </c>
      <c r="D82" t="inlineStr">
        <is>
          <t>35620</t>
        </is>
      </c>
      <c r="E82" t="inlineStr">
        <is>
          <t>Passaic County, New Jersey</t>
        </is>
      </c>
      <c r="F82" t="inlineStr">
        <is>
          <t>34031</t>
        </is>
      </c>
    </row>
    <row r="83">
      <c r="A83" t="inlineStr">
        <is>
          <t>New Jersey</t>
        </is>
      </c>
      <c r="B83" t="inlineStr">
        <is>
          <t>Philadelphia-Camden-Wilmington, PA-NJ-DE-MD</t>
        </is>
      </c>
      <c r="C83" t="inlineStr">
        <is>
          <t>Philadelphia-Camden-Wilmington, PA-NJ-DE-MD</t>
        </is>
      </c>
      <c r="D83" t="inlineStr">
        <is>
          <t>37980</t>
        </is>
      </c>
      <c r="E83" t="inlineStr">
        <is>
          <t>Gloucester County, New Jersey</t>
        </is>
      </c>
      <c r="F83" t="inlineStr">
        <is>
          <t>34015</t>
        </is>
      </c>
    </row>
    <row r="84">
      <c r="A84" t="inlineStr">
        <is>
          <t>New Jersey</t>
        </is>
      </c>
      <c r="B84" t="inlineStr">
        <is>
          <t>Philadelphia-Camden-Wilmington, PA-NJ-DE-MD</t>
        </is>
      </c>
      <c r="C84" t="inlineStr">
        <is>
          <t>Philadelphia-Camden-Wilmington, PA-NJ-DE-MD</t>
        </is>
      </c>
      <c r="D84" t="inlineStr">
        <is>
          <t>37980</t>
        </is>
      </c>
      <c r="E84" t="inlineStr">
        <is>
          <t>Camden County, New Jersey</t>
        </is>
      </c>
      <c r="F84" t="inlineStr">
        <is>
          <t>34007</t>
        </is>
      </c>
    </row>
    <row r="85">
      <c r="A85" t="inlineStr">
        <is>
          <t>New Jersey</t>
        </is>
      </c>
      <c r="B85" t="inlineStr">
        <is>
          <t>Philadelphia-Camden-Wilmington, PA-NJ-DE-MD</t>
        </is>
      </c>
      <c r="C85" t="inlineStr">
        <is>
          <t>Philadelphia-Camden-Wilmington, PA-NJ-DE-MD</t>
        </is>
      </c>
      <c r="D85" t="inlineStr">
        <is>
          <t>37980</t>
        </is>
      </c>
      <c r="E85" t="inlineStr">
        <is>
          <t>Burlington County, New Jersey</t>
        </is>
      </c>
      <c r="F85" t="inlineStr">
        <is>
          <t>34005</t>
        </is>
      </c>
    </row>
    <row r="86">
      <c r="A86" t="inlineStr">
        <is>
          <t>New Jersey</t>
        </is>
      </c>
      <c r="B86" t="inlineStr">
        <is>
          <t>New York-Newark-Jersey City, NY-NJ-PA</t>
        </is>
      </c>
      <c r="C86" t="inlineStr">
        <is>
          <t>New York-Newark-Jersey City, NY-NJ-PA</t>
        </is>
      </c>
      <c r="D86" t="inlineStr">
        <is>
          <t>35620</t>
        </is>
      </c>
      <c r="E86" t="inlineStr">
        <is>
          <t>Union County, New Jersey</t>
        </is>
      </c>
      <c r="F86" t="inlineStr">
        <is>
          <t>34039</t>
        </is>
      </c>
    </row>
    <row r="87">
      <c r="A87" t="inlineStr">
        <is>
          <t>New Jersey</t>
        </is>
      </c>
      <c r="B87" t="inlineStr">
        <is>
          <t>New York-Newark-Jersey City, NY-NJ-PA</t>
        </is>
      </c>
      <c r="C87" t="inlineStr">
        <is>
          <t>New York-Newark-Jersey City, NY-NJ-PA</t>
        </is>
      </c>
      <c r="D87" t="inlineStr">
        <is>
          <t>35620</t>
        </is>
      </c>
      <c r="E87" t="inlineStr">
        <is>
          <t>Morris County, New Jersey</t>
        </is>
      </c>
      <c r="F87" t="inlineStr">
        <is>
          <t>34027</t>
        </is>
      </c>
    </row>
    <row r="88">
      <c r="A88" t="inlineStr">
        <is>
          <t>New Jersey</t>
        </is>
      </c>
      <c r="B88" t="inlineStr">
        <is>
          <t>New York-Newark-Jersey City, NY-NJ-PA</t>
        </is>
      </c>
      <c r="C88" t="inlineStr">
        <is>
          <t>New York-Newark-Jersey City, NY-NJ-PA</t>
        </is>
      </c>
      <c r="D88" t="inlineStr">
        <is>
          <t>35620</t>
        </is>
      </c>
      <c r="E88" t="inlineStr">
        <is>
          <t>Bergen County, New Jersey</t>
        </is>
      </c>
      <c r="F88" t="inlineStr">
        <is>
          <t>34003</t>
        </is>
      </c>
    </row>
    <row r="89">
      <c r="A89" t="inlineStr">
        <is>
          <t>New Jersey</t>
        </is>
      </c>
      <c r="B89" t="inlineStr">
        <is>
          <t>New York-Newark-Jersey City, NY-NJ-PA</t>
        </is>
      </c>
      <c r="C89" t="inlineStr">
        <is>
          <t>New York-Newark-Jersey City, NY-NJ-PA</t>
        </is>
      </c>
      <c r="D89" t="inlineStr">
        <is>
          <t>35620</t>
        </is>
      </c>
      <c r="E89" t="inlineStr">
        <is>
          <t>Ocean County, New Jersey</t>
        </is>
      </c>
      <c r="F89" t="inlineStr">
        <is>
          <t>34029</t>
        </is>
      </c>
    </row>
    <row r="90">
      <c r="A90" t="inlineStr">
        <is>
          <t>New Jersey</t>
        </is>
      </c>
      <c r="B90" t="inlineStr">
        <is>
          <t>New York-Newark-Jersey City, NY-NJ-PA</t>
        </is>
      </c>
      <c r="C90" t="inlineStr">
        <is>
          <t>New York-Newark-Jersey City, NY-NJ-PA</t>
        </is>
      </c>
      <c r="D90" t="inlineStr">
        <is>
          <t>35620</t>
        </is>
      </c>
      <c r="E90" t="inlineStr">
        <is>
          <t>Monmouth County, New Jersey</t>
        </is>
      </c>
      <c r="F90" t="inlineStr">
        <is>
          <t>34025</t>
        </is>
      </c>
    </row>
    <row r="91">
      <c r="A91" t="inlineStr">
        <is>
          <t>New Jersey</t>
        </is>
      </c>
      <c r="B91" t="inlineStr">
        <is>
          <t>New York-Newark-Jersey City, NY-NJ-PA</t>
        </is>
      </c>
      <c r="C91" t="inlineStr">
        <is>
          <t>New York-Newark-Jersey City, NY-NJ-PA</t>
        </is>
      </c>
      <c r="D91" t="inlineStr">
        <is>
          <t>35620</t>
        </is>
      </c>
      <c r="E91" t="inlineStr">
        <is>
          <t>Sussex County, New Jersey</t>
        </is>
      </c>
      <c r="F91" t="inlineStr">
        <is>
          <t>34037</t>
        </is>
      </c>
    </row>
    <row r="92">
      <c r="A92" t="inlineStr">
        <is>
          <t>New Jersey</t>
        </is>
      </c>
      <c r="B92" t="inlineStr">
        <is>
          <t>New York-Newark-Jersey City, NY-NJ-PA</t>
        </is>
      </c>
      <c r="C92" t="inlineStr">
        <is>
          <t>New York-Newark-Jersey City, NY-NJ-PA</t>
        </is>
      </c>
      <c r="D92" t="inlineStr">
        <is>
          <t>35620</t>
        </is>
      </c>
      <c r="E92" t="inlineStr">
        <is>
          <t>Hudson County, New Jersey</t>
        </is>
      </c>
      <c r="F92" t="inlineStr">
        <is>
          <t>34017</t>
        </is>
      </c>
    </row>
    <row r="93">
      <c r="A93" t="inlineStr">
        <is>
          <t>New Jersey</t>
        </is>
      </c>
      <c r="B93" t="inlineStr">
        <is>
          <t>New York-Newark-Jersey City, NY-NJ-PA</t>
        </is>
      </c>
      <c r="C93" t="inlineStr">
        <is>
          <t>New York-Newark-Jersey City, NY-NJ-PA</t>
        </is>
      </c>
      <c r="D93" t="inlineStr">
        <is>
          <t>35620</t>
        </is>
      </c>
      <c r="E93" t="inlineStr">
        <is>
          <t>Somerset County, New Jersey</t>
        </is>
      </c>
      <c r="F93" t="inlineStr">
        <is>
          <t>34035</t>
        </is>
      </c>
    </row>
    <row r="94">
      <c r="A94" t="inlineStr">
        <is>
          <t>New York</t>
        </is>
      </c>
      <c r="B94" t="inlineStr">
        <is>
          <t>New York-Newark-Jersey City, NY-NJ-PA</t>
        </is>
      </c>
      <c r="C94" t="inlineStr">
        <is>
          <t>New York-Newark-Jersey City, NY-NJ-PA</t>
        </is>
      </c>
      <c r="D94" t="inlineStr">
        <is>
          <t>35620</t>
        </is>
      </c>
      <c r="E94" t="inlineStr">
        <is>
          <t>Bronx County, New York</t>
        </is>
      </c>
      <c r="F94" t="inlineStr">
        <is>
          <t>36005</t>
        </is>
      </c>
    </row>
    <row r="95">
      <c r="A95" t="inlineStr">
        <is>
          <t>New York</t>
        </is>
      </c>
      <c r="B95" t="inlineStr">
        <is>
          <t>New York-Newark-Jersey City, NY-NJ-PA</t>
        </is>
      </c>
      <c r="C95" t="inlineStr">
        <is>
          <t>New York-Newark-Jersey City, NY-NJ-PA</t>
        </is>
      </c>
      <c r="D95" t="inlineStr">
        <is>
          <t>35620</t>
        </is>
      </c>
      <c r="E95" t="inlineStr">
        <is>
          <t>Rockland County, New York</t>
        </is>
      </c>
      <c r="F95" t="inlineStr">
        <is>
          <t>36087</t>
        </is>
      </c>
    </row>
    <row r="96">
      <c r="A96" t="inlineStr">
        <is>
          <t>New York</t>
        </is>
      </c>
      <c r="B96" t="inlineStr">
        <is>
          <t>New York-Newark-Jersey City, NY-NJ-PA</t>
        </is>
      </c>
      <c r="C96" t="inlineStr">
        <is>
          <t>New York-Newark-Jersey City, NY-NJ-PA</t>
        </is>
      </c>
      <c r="D96" t="inlineStr">
        <is>
          <t>35620</t>
        </is>
      </c>
      <c r="E96" t="inlineStr">
        <is>
          <t>Westchester County, New York</t>
        </is>
      </c>
      <c r="F96" t="inlineStr">
        <is>
          <t>36119</t>
        </is>
      </c>
    </row>
    <row r="97">
      <c r="A97" t="inlineStr">
        <is>
          <t>New York</t>
        </is>
      </c>
      <c r="B97" t="inlineStr">
        <is>
          <t>New York-Newark-Jersey City, NY-NJ-PA</t>
        </is>
      </c>
      <c r="C97" t="inlineStr">
        <is>
          <t>New York-Newark-Jersey City, NY-NJ-PA</t>
        </is>
      </c>
      <c r="D97" t="inlineStr">
        <is>
          <t>35620</t>
        </is>
      </c>
      <c r="E97" t="inlineStr">
        <is>
          <t>Putnam County, New York</t>
        </is>
      </c>
      <c r="F97" t="inlineStr">
        <is>
          <t>36079</t>
        </is>
      </c>
    </row>
    <row r="98">
      <c r="A98" t="inlineStr">
        <is>
          <t>New York</t>
        </is>
      </c>
      <c r="B98" t="inlineStr">
        <is>
          <t>New York-Newark-Jersey City, NY-NJ-PA</t>
        </is>
      </c>
      <c r="C98" t="inlineStr">
        <is>
          <t>New York-Newark-Jersey City, NY-NJ-PA</t>
        </is>
      </c>
      <c r="D98" t="inlineStr">
        <is>
          <t>35620</t>
        </is>
      </c>
      <c r="E98" t="inlineStr">
        <is>
          <t>Richmond County, New York</t>
        </is>
      </c>
      <c r="F98" t="inlineStr">
        <is>
          <t>36085</t>
        </is>
      </c>
    </row>
    <row r="99">
      <c r="A99" t="inlineStr">
        <is>
          <t>New York</t>
        </is>
      </c>
      <c r="B99" t="inlineStr">
        <is>
          <t>New York-Newark-Jersey City, NY-NJ-PA</t>
        </is>
      </c>
      <c r="C99" t="inlineStr">
        <is>
          <t>New York-Newark-Jersey City, NY-NJ-PA</t>
        </is>
      </c>
      <c r="D99" t="inlineStr">
        <is>
          <t>35620</t>
        </is>
      </c>
      <c r="E99" t="inlineStr">
        <is>
          <t>Suffolk County, New York</t>
        </is>
      </c>
      <c r="F99" t="inlineStr">
        <is>
          <t>36103</t>
        </is>
      </c>
    </row>
    <row r="100">
      <c r="A100" t="inlineStr">
        <is>
          <t>New York</t>
        </is>
      </c>
      <c r="B100" t="inlineStr">
        <is>
          <t>New York-Newark-Jersey City, NY-NJ-PA</t>
        </is>
      </c>
      <c r="C100" t="inlineStr">
        <is>
          <t>New York-Newark-Jersey City, NY-NJ-PA</t>
        </is>
      </c>
      <c r="D100" t="inlineStr">
        <is>
          <t>35620</t>
        </is>
      </c>
      <c r="E100" t="inlineStr">
        <is>
          <t>Nassau County, New York</t>
        </is>
      </c>
      <c r="F100" t="inlineStr">
        <is>
          <t>36059</t>
        </is>
      </c>
    </row>
    <row r="101">
      <c r="A101" t="inlineStr">
        <is>
          <t>New York</t>
        </is>
      </c>
      <c r="B101" t="inlineStr">
        <is>
          <t>New York-Newark-Jersey City, NY-NJ-PA</t>
        </is>
      </c>
      <c r="C101" t="inlineStr">
        <is>
          <t>New York-Newark-Jersey City, NY-NJ-PA</t>
        </is>
      </c>
      <c r="D101" t="inlineStr">
        <is>
          <t>35620</t>
        </is>
      </c>
      <c r="E101" t="inlineStr">
        <is>
          <t>Kings County, New York</t>
        </is>
      </c>
      <c r="F101" t="inlineStr">
        <is>
          <t>36047</t>
        </is>
      </c>
    </row>
    <row r="102">
      <c r="A102" t="inlineStr">
        <is>
          <t>New York</t>
        </is>
      </c>
      <c r="B102" t="inlineStr">
        <is>
          <t>New York-Newark-Jersey City, NY-NJ-PA</t>
        </is>
      </c>
      <c r="C102" t="inlineStr">
        <is>
          <t>New York-Newark-Jersey City, NY-NJ-PA</t>
        </is>
      </c>
      <c r="D102" t="inlineStr">
        <is>
          <t>35620</t>
        </is>
      </c>
      <c r="E102" t="inlineStr">
        <is>
          <t>Queens County, New York</t>
        </is>
      </c>
      <c r="F102" t="inlineStr">
        <is>
          <t>36081</t>
        </is>
      </c>
    </row>
    <row r="103">
      <c r="A103" t="inlineStr">
        <is>
          <t>New York</t>
        </is>
      </c>
      <c r="B103" t="inlineStr">
        <is>
          <t>New York-Newark-Jersey City, NY-NJ-PA</t>
        </is>
      </c>
      <c r="C103" t="inlineStr">
        <is>
          <t>New York-Newark-Jersey City, NY-NJ-PA</t>
        </is>
      </c>
      <c r="D103" t="inlineStr">
        <is>
          <t>35620</t>
        </is>
      </c>
      <c r="E103" t="inlineStr">
        <is>
          <t>New York County, New York</t>
        </is>
      </c>
      <c r="F103" t="inlineStr">
        <is>
          <t>36061</t>
        </is>
      </c>
    </row>
    <row r="104">
      <c r="A104" t="inlineStr">
        <is>
          <t>Ohio</t>
        </is>
      </c>
      <c r="B104" t="inlineStr">
        <is>
          <t>Columbus, OH</t>
        </is>
      </c>
      <c r="C104" t="inlineStr">
        <is>
          <t>Columbus, OH</t>
        </is>
      </c>
      <c r="D104" t="inlineStr">
        <is>
          <t>18140</t>
        </is>
      </c>
      <c r="E104" t="inlineStr">
        <is>
          <t>Fairfield County, Ohio</t>
        </is>
      </c>
      <c r="F104" t="inlineStr">
        <is>
          <t>39045</t>
        </is>
      </c>
    </row>
    <row r="105">
      <c r="A105" t="inlineStr">
        <is>
          <t>Ohio</t>
        </is>
      </c>
      <c r="B105" t="inlineStr">
        <is>
          <t>Cleveland-Elyria, OH</t>
        </is>
      </c>
      <c r="C105" t="inlineStr">
        <is>
          <t>Cleveland-Elyria, OH</t>
        </is>
      </c>
      <c r="D105" t="inlineStr">
        <is>
          <t>17460</t>
        </is>
      </c>
      <c r="E105" t="inlineStr">
        <is>
          <t>Medina County, Ohio</t>
        </is>
      </c>
      <c r="F105" t="inlineStr">
        <is>
          <t>39103</t>
        </is>
      </c>
    </row>
    <row r="106">
      <c r="A106" t="inlineStr">
        <is>
          <t>Ohio</t>
        </is>
      </c>
      <c r="B106" t="inlineStr">
        <is>
          <t>Cleveland-Elyria, OH</t>
        </is>
      </c>
      <c r="C106" t="inlineStr">
        <is>
          <t>Cleveland-Elyria, OH</t>
        </is>
      </c>
      <c r="D106" t="inlineStr">
        <is>
          <t>17460</t>
        </is>
      </c>
      <c r="E106" t="inlineStr">
        <is>
          <t>Geauga County, Ohio</t>
        </is>
      </c>
      <c r="F106" t="inlineStr">
        <is>
          <t>39055</t>
        </is>
      </c>
    </row>
    <row r="107">
      <c r="A107" t="inlineStr">
        <is>
          <t>Ohio</t>
        </is>
      </c>
      <c r="B107" t="inlineStr">
        <is>
          <t>Columbus, OH</t>
        </is>
      </c>
      <c r="C107" t="inlineStr">
        <is>
          <t>Columbus, OH</t>
        </is>
      </c>
      <c r="D107" t="inlineStr">
        <is>
          <t>18140</t>
        </is>
      </c>
      <c r="E107" t="inlineStr">
        <is>
          <t>Pickaway County, Ohio</t>
        </is>
      </c>
      <c r="F107" t="inlineStr">
        <is>
          <t>39129</t>
        </is>
      </c>
    </row>
    <row r="108">
      <c r="A108" t="inlineStr">
        <is>
          <t>Ohio</t>
        </is>
      </c>
      <c r="B108" t="inlineStr">
        <is>
          <t>Cincinnati, OH-KY-IN</t>
        </is>
      </c>
      <c r="C108" t="inlineStr">
        <is>
          <t>Cincinnati, OH-KY-IN</t>
        </is>
      </c>
      <c r="D108" t="inlineStr">
        <is>
          <t>17140</t>
        </is>
      </c>
      <c r="E108" t="inlineStr">
        <is>
          <t>Brown County, Ohio</t>
        </is>
      </c>
      <c r="F108" t="inlineStr">
        <is>
          <t>39015</t>
        </is>
      </c>
    </row>
    <row r="109">
      <c r="A109" t="inlineStr">
        <is>
          <t>Ohio</t>
        </is>
      </c>
      <c r="B109" t="inlineStr">
        <is>
          <t>Columbus, OH</t>
        </is>
      </c>
      <c r="C109" t="inlineStr">
        <is>
          <t>Columbus, OH</t>
        </is>
      </c>
      <c r="D109" t="inlineStr">
        <is>
          <t>18140</t>
        </is>
      </c>
      <c r="E109" t="inlineStr">
        <is>
          <t>Licking County, Ohio</t>
        </is>
      </c>
      <c r="F109" t="inlineStr">
        <is>
          <t>39089</t>
        </is>
      </c>
    </row>
    <row r="110">
      <c r="A110" t="inlineStr">
        <is>
          <t>Ohio</t>
        </is>
      </c>
      <c r="B110" t="inlineStr">
        <is>
          <t>Columbus, OH</t>
        </is>
      </c>
      <c r="C110" t="inlineStr">
        <is>
          <t>Columbus, OH</t>
        </is>
      </c>
      <c r="D110" t="inlineStr">
        <is>
          <t>18140</t>
        </is>
      </c>
      <c r="E110" t="inlineStr">
        <is>
          <t>Delaware County, Ohio</t>
        </is>
      </c>
      <c r="F110" t="inlineStr">
        <is>
          <t>39041</t>
        </is>
      </c>
    </row>
    <row r="111">
      <c r="A111" t="inlineStr">
        <is>
          <t>Ohio</t>
        </is>
      </c>
      <c r="B111" t="inlineStr">
        <is>
          <t>Columbus, OH</t>
        </is>
      </c>
      <c r="C111" t="inlineStr">
        <is>
          <t>Columbus, OH</t>
        </is>
      </c>
      <c r="D111" t="inlineStr">
        <is>
          <t>18140</t>
        </is>
      </c>
      <c r="E111" t="inlineStr">
        <is>
          <t>Perry County, Ohio</t>
        </is>
      </c>
      <c r="F111" t="inlineStr">
        <is>
          <t>39127</t>
        </is>
      </c>
    </row>
    <row r="112">
      <c r="A112" t="inlineStr">
        <is>
          <t>Ohio</t>
        </is>
      </c>
      <c r="B112" t="inlineStr">
        <is>
          <t>Cincinnati, OH-KY-IN</t>
        </is>
      </c>
      <c r="C112" t="inlineStr">
        <is>
          <t>Cincinnati, OH-KY-IN</t>
        </is>
      </c>
      <c r="D112" t="inlineStr">
        <is>
          <t>17140</t>
        </is>
      </c>
      <c r="E112" t="inlineStr">
        <is>
          <t>Clermont County, Ohio</t>
        </is>
      </c>
      <c r="F112" t="inlineStr">
        <is>
          <t>39025</t>
        </is>
      </c>
    </row>
    <row r="113">
      <c r="A113" t="inlineStr">
        <is>
          <t>Ohio</t>
        </is>
      </c>
      <c r="B113" t="inlineStr">
        <is>
          <t>Cleveland-Elyria, OH</t>
        </is>
      </c>
      <c r="C113" t="inlineStr">
        <is>
          <t>Cleveland-Elyria, OH</t>
        </is>
      </c>
      <c r="D113" t="inlineStr">
        <is>
          <t>17460</t>
        </is>
      </c>
      <c r="E113" t="inlineStr">
        <is>
          <t>Lake County, Ohio</t>
        </is>
      </c>
      <c r="F113" t="inlineStr">
        <is>
          <t>39085</t>
        </is>
      </c>
    </row>
    <row r="114">
      <c r="A114" t="inlineStr">
        <is>
          <t>Ohio</t>
        </is>
      </c>
      <c r="B114" t="inlineStr">
        <is>
          <t>Columbus, OH</t>
        </is>
      </c>
      <c r="C114" t="inlineStr">
        <is>
          <t>Columbus, OH</t>
        </is>
      </c>
      <c r="D114" t="inlineStr">
        <is>
          <t>18140</t>
        </is>
      </c>
      <c r="E114" t="inlineStr">
        <is>
          <t>Hocking County, Ohio</t>
        </is>
      </c>
      <c r="F114" t="inlineStr">
        <is>
          <t>39073</t>
        </is>
      </c>
    </row>
    <row r="115">
      <c r="A115" t="inlineStr">
        <is>
          <t>Ohio</t>
        </is>
      </c>
      <c r="B115" t="inlineStr">
        <is>
          <t>Cleveland-Elyria, OH</t>
        </is>
      </c>
      <c r="C115" t="inlineStr">
        <is>
          <t>Cleveland-Elyria, OH</t>
        </is>
      </c>
      <c r="D115" t="inlineStr">
        <is>
          <t>17460</t>
        </is>
      </c>
      <c r="E115" t="inlineStr">
        <is>
          <t>Cuyahoga County, Ohio</t>
        </is>
      </c>
      <c r="F115" t="inlineStr">
        <is>
          <t>39035</t>
        </is>
      </c>
    </row>
    <row r="116">
      <c r="A116" t="inlineStr">
        <is>
          <t>Ohio</t>
        </is>
      </c>
      <c r="B116" t="inlineStr">
        <is>
          <t>Columbus, OH</t>
        </is>
      </c>
      <c r="C116" t="inlineStr">
        <is>
          <t>Columbus, OH</t>
        </is>
      </c>
      <c r="D116" t="inlineStr">
        <is>
          <t>18140</t>
        </is>
      </c>
      <c r="E116" t="inlineStr">
        <is>
          <t>Madison County, Ohio</t>
        </is>
      </c>
      <c r="F116" t="inlineStr">
        <is>
          <t>39097</t>
        </is>
      </c>
    </row>
    <row r="117">
      <c r="A117" t="inlineStr">
        <is>
          <t>Ohio</t>
        </is>
      </c>
      <c r="B117" t="inlineStr">
        <is>
          <t>Cincinnati, OH-KY-IN</t>
        </is>
      </c>
      <c r="C117" t="inlineStr">
        <is>
          <t>Cincinnati, OH-KY-IN</t>
        </is>
      </c>
      <c r="D117" t="inlineStr">
        <is>
          <t>17140</t>
        </is>
      </c>
      <c r="E117" t="inlineStr">
        <is>
          <t>Butler County, Ohio</t>
        </is>
      </c>
      <c r="F117" t="inlineStr">
        <is>
          <t>39017</t>
        </is>
      </c>
    </row>
    <row r="118">
      <c r="A118" t="inlineStr">
        <is>
          <t>Ohio</t>
        </is>
      </c>
      <c r="B118" t="inlineStr">
        <is>
          <t>Cleveland-Elyria, OH</t>
        </is>
      </c>
      <c r="C118" t="inlineStr">
        <is>
          <t>Cleveland-Elyria, OH</t>
        </is>
      </c>
      <c r="D118" t="inlineStr">
        <is>
          <t>17460</t>
        </is>
      </c>
      <c r="E118" t="inlineStr">
        <is>
          <t>Lorain County, Ohio</t>
        </is>
      </c>
      <c r="F118" t="inlineStr">
        <is>
          <t>39093</t>
        </is>
      </c>
    </row>
    <row r="119">
      <c r="A119" t="inlineStr">
        <is>
          <t>Ohio</t>
        </is>
      </c>
      <c r="B119" t="inlineStr">
        <is>
          <t>Columbus, OH</t>
        </is>
      </c>
      <c r="C119" t="inlineStr">
        <is>
          <t>Columbus, OH</t>
        </is>
      </c>
      <c r="D119" t="inlineStr">
        <is>
          <t>18140</t>
        </is>
      </c>
      <c r="E119" t="inlineStr">
        <is>
          <t>Morrow County, Ohio</t>
        </is>
      </c>
      <c r="F119" t="inlineStr">
        <is>
          <t>39117</t>
        </is>
      </c>
    </row>
    <row r="120">
      <c r="A120" t="inlineStr">
        <is>
          <t>Ohio</t>
        </is>
      </c>
      <c r="B120" t="inlineStr">
        <is>
          <t>Columbus, OH</t>
        </is>
      </c>
      <c r="C120" t="inlineStr">
        <is>
          <t>Columbus, OH</t>
        </is>
      </c>
      <c r="D120" t="inlineStr">
        <is>
          <t>18140</t>
        </is>
      </c>
      <c r="E120" t="inlineStr">
        <is>
          <t>Franklin County, Ohio</t>
        </is>
      </c>
      <c r="F120" t="inlineStr">
        <is>
          <t>39049</t>
        </is>
      </c>
    </row>
    <row r="121">
      <c r="A121" t="inlineStr">
        <is>
          <t>Ohio</t>
        </is>
      </c>
      <c r="B121" t="inlineStr">
        <is>
          <t>Cincinnati, OH-KY-IN</t>
        </is>
      </c>
      <c r="C121" t="inlineStr">
        <is>
          <t>Cincinnati, OH-KY-IN</t>
        </is>
      </c>
      <c r="D121" t="inlineStr">
        <is>
          <t>17140</t>
        </is>
      </c>
      <c r="E121" t="inlineStr">
        <is>
          <t>Warren County, Ohio</t>
        </is>
      </c>
      <c r="F121" t="inlineStr">
        <is>
          <t>39165</t>
        </is>
      </c>
    </row>
    <row r="122">
      <c r="A122" t="inlineStr">
        <is>
          <t>Ohio</t>
        </is>
      </c>
      <c r="B122" t="inlineStr">
        <is>
          <t>Columbus, OH</t>
        </is>
      </c>
      <c r="C122" t="inlineStr">
        <is>
          <t>Columbus, OH</t>
        </is>
      </c>
      <c r="D122" t="inlineStr">
        <is>
          <t>18140</t>
        </is>
      </c>
      <c r="E122" t="inlineStr">
        <is>
          <t>Union County, Ohio</t>
        </is>
      </c>
      <c r="F122" t="inlineStr">
        <is>
          <t>39159</t>
        </is>
      </c>
    </row>
    <row r="123">
      <c r="A123" t="inlineStr">
        <is>
          <t>Ohio</t>
        </is>
      </c>
      <c r="B123" t="inlineStr">
        <is>
          <t>Cincinnati, OH-KY-IN</t>
        </is>
      </c>
      <c r="C123" t="inlineStr">
        <is>
          <t>Cincinnati, OH-KY-IN</t>
        </is>
      </c>
      <c r="D123" t="inlineStr">
        <is>
          <t>17140</t>
        </is>
      </c>
      <c r="E123" t="inlineStr">
        <is>
          <t>Hamilton County, Ohio</t>
        </is>
      </c>
      <c r="F123" t="inlineStr">
        <is>
          <t>39061</t>
        </is>
      </c>
    </row>
    <row r="124">
      <c r="A124" t="inlineStr">
        <is>
          <t>Pennsylvania</t>
        </is>
      </c>
      <c r="B124" t="inlineStr">
        <is>
          <t>Pittsburgh, PA</t>
        </is>
      </c>
      <c r="C124" t="inlineStr">
        <is>
          <t>Pittsburgh, PA</t>
        </is>
      </c>
      <c r="D124" t="inlineStr">
        <is>
          <t>38300</t>
        </is>
      </c>
      <c r="E124" t="inlineStr">
        <is>
          <t>Butler County, Pennsylvania</t>
        </is>
      </c>
      <c r="F124" t="inlineStr">
        <is>
          <t>42019</t>
        </is>
      </c>
    </row>
    <row r="125">
      <c r="A125" t="inlineStr">
        <is>
          <t>Pennsylvania</t>
        </is>
      </c>
      <c r="B125" t="inlineStr">
        <is>
          <t>Philadelphia-Camden-Wilmington, PA-NJ-DE-MD</t>
        </is>
      </c>
      <c r="C125" t="inlineStr">
        <is>
          <t>Philadelphia-Camden-Wilmington, PA-NJ-DE-MD</t>
        </is>
      </c>
      <c r="D125" t="inlineStr">
        <is>
          <t>37980</t>
        </is>
      </c>
      <c r="E125" t="inlineStr">
        <is>
          <t>Bucks County, Pennsylvania</t>
        </is>
      </c>
      <c r="F125" t="inlineStr">
        <is>
          <t>42017</t>
        </is>
      </c>
    </row>
    <row r="126">
      <c r="A126" t="inlineStr">
        <is>
          <t>Pennsylvania</t>
        </is>
      </c>
      <c r="B126" t="inlineStr">
        <is>
          <t>Harrisburg-Carlisle, PA</t>
        </is>
      </c>
      <c r="C126" t="inlineStr">
        <is>
          <t>Harrisburg-Carlisle, PA</t>
        </is>
      </c>
      <c r="D126" t="inlineStr">
        <is>
          <t>25420</t>
        </is>
      </c>
      <c r="E126" t="inlineStr">
        <is>
          <t>Cumberland County, Pennsylvania</t>
        </is>
      </c>
      <c r="F126" t="inlineStr">
        <is>
          <t>42041</t>
        </is>
      </c>
    </row>
    <row r="127">
      <c r="A127" t="inlineStr">
        <is>
          <t>Pennsylvania</t>
        </is>
      </c>
      <c r="B127" t="inlineStr">
        <is>
          <t>New York-Newark-Jersey City, NY-NJ-PA</t>
        </is>
      </c>
      <c r="C127" t="inlineStr">
        <is>
          <t>New York-Newark-Jersey City, NY-NJ-PA</t>
        </is>
      </c>
      <c r="D127" t="inlineStr">
        <is>
          <t>35620</t>
        </is>
      </c>
      <c r="E127" t="inlineStr">
        <is>
          <t>Pike County, Pennsylvania</t>
        </is>
      </c>
      <c r="F127" t="inlineStr">
        <is>
          <t>42103</t>
        </is>
      </c>
    </row>
    <row r="128">
      <c r="A128" t="inlineStr">
        <is>
          <t>Pennsylvania</t>
        </is>
      </c>
      <c r="B128" t="inlineStr">
        <is>
          <t>Pittsburgh, PA</t>
        </is>
      </c>
      <c r="C128" t="inlineStr">
        <is>
          <t>Pittsburgh, PA</t>
        </is>
      </c>
      <c r="D128" t="inlineStr">
        <is>
          <t>38300</t>
        </is>
      </c>
      <c r="E128" t="inlineStr">
        <is>
          <t>Westmoreland County, Pennsylvania</t>
        </is>
      </c>
      <c r="F128" t="inlineStr">
        <is>
          <t>42129</t>
        </is>
      </c>
    </row>
    <row r="129">
      <c r="A129" t="inlineStr">
        <is>
          <t>Pennsylvania</t>
        </is>
      </c>
      <c r="B129" t="inlineStr">
        <is>
          <t>Harrisburg-Carlisle, PA</t>
        </is>
      </c>
      <c r="C129" t="inlineStr">
        <is>
          <t>Harrisburg-Carlisle, PA</t>
        </is>
      </c>
      <c r="D129" t="inlineStr">
        <is>
          <t>25420</t>
        </is>
      </c>
      <c r="E129" t="inlineStr">
        <is>
          <t>Dauphin County, Pennsylvania</t>
        </is>
      </c>
      <c r="F129" t="inlineStr">
        <is>
          <t>42043</t>
        </is>
      </c>
    </row>
    <row r="130">
      <c r="A130" t="inlineStr">
        <is>
          <t>Pennsylvania</t>
        </is>
      </c>
      <c r="B130" t="inlineStr">
        <is>
          <t>Philadelphia-Camden-Wilmington, PA-NJ-DE-MD</t>
        </is>
      </c>
      <c r="C130" t="inlineStr">
        <is>
          <t>Philadelphia-Camden-Wilmington, PA-NJ-DE-MD</t>
        </is>
      </c>
      <c r="D130" t="inlineStr">
        <is>
          <t>37980</t>
        </is>
      </c>
      <c r="E130" t="inlineStr">
        <is>
          <t>Philadelphia County, Pennsylvania</t>
        </is>
      </c>
      <c r="F130" t="inlineStr">
        <is>
          <t>42101</t>
        </is>
      </c>
    </row>
    <row r="131">
      <c r="A131" t="inlineStr">
        <is>
          <t>Pennsylvania</t>
        </is>
      </c>
      <c r="B131" t="inlineStr">
        <is>
          <t>Philadelphia-Camden-Wilmington, PA-NJ-DE-MD</t>
        </is>
      </c>
      <c r="C131" t="inlineStr">
        <is>
          <t>Philadelphia-Camden-Wilmington, PA-NJ-DE-MD</t>
        </is>
      </c>
      <c r="D131" t="inlineStr">
        <is>
          <t>37980</t>
        </is>
      </c>
      <c r="E131" t="inlineStr">
        <is>
          <t>Delaware County, Pennsylvania</t>
        </is>
      </c>
      <c r="F131" t="inlineStr">
        <is>
          <t>42045</t>
        </is>
      </c>
    </row>
    <row r="132">
      <c r="A132" t="inlineStr">
        <is>
          <t>Pennsylvania</t>
        </is>
      </c>
      <c r="B132" t="inlineStr">
        <is>
          <t>Pittsburgh, PA</t>
        </is>
      </c>
      <c r="C132" t="inlineStr">
        <is>
          <t>Pittsburgh, PA</t>
        </is>
      </c>
      <c r="D132" t="inlineStr">
        <is>
          <t>38300</t>
        </is>
      </c>
      <c r="E132" t="inlineStr">
        <is>
          <t>Washington County, Pennsylvania</t>
        </is>
      </c>
      <c r="F132" t="inlineStr">
        <is>
          <t>42125</t>
        </is>
      </c>
    </row>
    <row r="133">
      <c r="A133" t="inlineStr">
        <is>
          <t>Pennsylvania</t>
        </is>
      </c>
      <c r="B133" t="inlineStr">
        <is>
          <t>Philadelphia-Camden-Wilmington, PA-NJ-DE-MD</t>
        </is>
      </c>
      <c r="C133" t="inlineStr">
        <is>
          <t>Philadelphia-Camden-Wilmington, PA-NJ-DE-MD</t>
        </is>
      </c>
      <c r="D133" t="inlineStr">
        <is>
          <t>37980</t>
        </is>
      </c>
      <c r="E133" t="inlineStr">
        <is>
          <t>Montgomery County, Pennsylvania</t>
        </is>
      </c>
      <c r="F133" t="inlineStr">
        <is>
          <t>42091</t>
        </is>
      </c>
    </row>
    <row r="134">
      <c r="A134" t="inlineStr">
        <is>
          <t>Pennsylvania</t>
        </is>
      </c>
      <c r="B134" t="inlineStr">
        <is>
          <t>Pittsburgh, PA</t>
        </is>
      </c>
      <c r="C134" t="inlineStr">
        <is>
          <t>Pittsburgh, PA</t>
        </is>
      </c>
      <c r="D134" t="inlineStr">
        <is>
          <t>38300</t>
        </is>
      </c>
      <c r="E134" t="inlineStr">
        <is>
          <t>Armstrong County, Pennsylvania</t>
        </is>
      </c>
      <c r="F134" t="inlineStr">
        <is>
          <t>42005</t>
        </is>
      </c>
    </row>
    <row r="135">
      <c r="A135" t="inlineStr">
        <is>
          <t>Pennsylvania</t>
        </is>
      </c>
      <c r="B135" t="inlineStr">
        <is>
          <t>Pittsburgh, PA</t>
        </is>
      </c>
      <c r="C135" t="inlineStr">
        <is>
          <t>Pittsburgh, PA</t>
        </is>
      </c>
      <c r="D135" t="inlineStr">
        <is>
          <t>38300</t>
        </is>
      </c>
      <c r="E135" t="inlineStr">
        <is>
          <t>Beaver County, Pennsylvania</t>
        </is>
      </c>
      <c r="F135" t="inlineStr">
        <is>
          <t>42007</t>
        </is>
      </c>
    </row>
    <row r="136">
      <c r="A136" t="inlineStr">
        <is>
          <t>Pennsylvania</t>
        </is>
      </c>
      <c r="B136" t="inlineStr">
        <is>
          <t>Pittsburgh, PA</t>
        </is>
      </c>
      <c r="C136" t="inlineStr">
        <is>
          <t>Pittsburgh, PA</t>
        </is>
      </c>
      <c r="D136" t="inlineStr">
        <is>
          <t>38300</t>
        </is>
      </c>
      <c r="E136" t="inlineStr">
        <is>
          <t>Fayette County, Pennsylvania</t>
        </is>
      </c>
      <c r="F136" t="inlineStr">
        <is>
          <t>42051</t>
        </is>
      </c>
    </row>
    <row r="137">
      <c r="A137" t="inlineStr">
        <is>
          <t>Pennsylvania</t>
        </is>
      </c>
      <c r="B137" t="inlineStr">
        <is>
          <t>Pittsburgh, PA</t>
        </is>
      </c>
      <c r="C137" t="inlineStr">
        <is>
          <t>Pittsburgh, PA</t>
        </is>
      </c>
      <c r="D137" t="inlineStr">
        <is>
          <t>38300</t>
        </is>
      </c>
      <c r="E137" t="inlineStr">
        <is>
          <t>Allegheny County, Pennsylvania</t>
        </is>
      </c>
      <c r="F137" t="inlineStr">
        <is>
          <t>42003</t>
        </is>
      </c>
    </row>
    <row r="138">
      <c r="A138" t="inlineStr">
        <is>
          <t>Pennsylvania</t>
        </is>
      </c>
      <c r="B138" t="inlineStr">
        <is>
          <t>Harrisburg-Carlisle, PA</t>
        </is>
      </c>
      <c r="C138" t="inlineStr">
        <is>
          <t>Harrisburg-Carlisle, PA</t>
        </is>
      </c>
      <c r="D138" t="inlineStr">
        <is>
          <t>25420</t>
        </is>
      </c>
      <c r="E138" t="inlineStr">
        <is>
          <t>Perry County, Pennsylvania</t>
        </is>
      </c>
      <c r="F138" t="inlineStr">
        <is>
          <t>42099</t>
        </is>
      </c>
    </row>
    <row r="139">
      <c r="A139" t="inlineStr">
        <is>
          <t>Pennsylvania</t>
        </is>
      </c>
      <c r="B139" t="inlineStr">
        <is>
          <t>Philadelphia-Camden-Wilmington, PA-NJ-DE-MD</t>
        </is>
      </c>
      <c r="C139" t="inlineStr">
        <is>
          <t>Philadelphia-Camden-Wilmington, PA-NJ-DE-MD</t>
        </is>
      </c>
      <c r="D139" t="inlineStr">
        <is>
          <t>37980</t>
        </is>
      </c>
      <c r="E139" t="inlineStr">
        <is>
          <t>Chester County, Pennsylvania</t>
        </is>
      </c>
      <c r="F139" t="inlineStr">
        <is>
          <t>42029</t>
        </is>
      </c>
    </row>
    <row r="140">
      <c r="A140" t="inlineStr">
        <is>
          <t>Texas</t>
        </is>
      </c>
      <c r="B140" t="inlineStr">
        <is>
          <t>Dallas-Fort Worth-Arlington, TX</t>
        </is>
      </c>
      <c r="C140" t="inlineStr">
        <is>
          <t>Dallas-Fort Worth-Arlington, TX</t>
        </is>
      </c>
      <c r="D140" t="inlineStr">
        <is>
          <t>19100</t>
        </is>
      </c>
      <c r="E140" t="inlineStr">
        <is>
          <t>Johnson County, Texas</t>
        </is>
      </c>
      <c r="F140" t="inlineStr">
        <is>
          <t>48251</t>
        </is>
      </c>
    </row>
    <row r="141">
      <c r="A141" t="inlineStr">
        <is>
          <t>Texas</t>
        </is>
      </c>
      <c r="B141" t="inlineStr">
        <is>
          <t>Dallas-Fort Worth-Arlington, TX</t>
        </is>
      </c>
      <c r="C141" t="inlineStr">
        <is>
          <t>Dallas-Fort Worth-Arlington, TX</t>
        </is>
      </c>
      <c r="D141" t="inlineStr">
        <is>
          <t>19100</t>
        </is>
      </c>
      <c r="E141" t="inlineStr">
        <is>
          <t>Kaufman County, Texas</t>
        </is>
      </c>
      <c r="F141" t="inlineStr">
        <is>
          <t>48257</t>
        </is>
      </c>
    </row>
    <row r="142">
      <c r="A142" t="inlineStr">
        <is>
          <t>Texas</t>
        </is>
      </c>
      <c r="B142" t="inlineStr">
        <is>
          <t>Houston-The Woodlands-Sugar Land, TX</t>
        </is>
      </c>
      <c r="C142" t="inlineStr">
        <is>
          <t>Houston-The Woodlands-Sugar Land, TX</t>
        </is>
      </c>
      <c r="D142" t="inlineStr">
        <is>
          <t>26420</t>
        </is>
      </c>
      <c r="E142" t="inlineStr">
        <is>
          <t>Chambers County, Texas</t>
        </is>
      </c>
      <c r="F142" t="inlineStr">
        <is>
          <t>48071</t>
        </is>
      </c>
    </row>
    <row r="143">
      <c r="A143" t="inlineStr">
        <is>
          <t>Texas</t>
        </is>
      </c>
      <c r="B143" t="inlineStr">
        <is>
          <t>Houston-The Woodlands-Sugar Land, TX</t>
        </is>
      </c>
      <c r="C143" t="inlineStr">
        <is>
          <t>Houston-The Woodlands-Sugar Land, TX</t>
        </is>
      </c>
      <c r="D143" t="inlineStr">
        <is>
          <t>26420</t>
        </is>
      </c>
      <c r="E143" t="inlineStr">
        <is>
          <t>Montgomery County, Texas</t>
        </is>
      </c>
      <c r="F143" t="inlineStr">
        <is>
          <t>48339</t>
        </is>
      </c>
    </row>
    <row r="144">
      <c r="A144" t="inlineStr">
        <is>
          <t>Texas</t>
        </is>
      </c>
      <c r="B144" t="inlineStr">
        <is>
          <t>Dallas-Fort Worth-Arlington, TX</t>
        </is>
      </c>
      <c r="C144" t="inlineStr">
        <is>
          <t>Dallas-Fort Worth-Arlington, TX</t>
        </is>
      </c>
      <c r="D144" t="inlineStr">
        <is>
          <t>19100</t>
        </is>
      </c>
      <c r="E144" t="inlineStr">
        <is>
          <t>Dallas County, Texas</t>
        </is>
      </c>
      <c r="F144" t="inlineStr">
        <is>
          <t>48113</t>
        </is>
      </c>
    </row>
    <row r="145">
      <c r="A145" t="inlineStr">
        <is>
          <t>Texas</t>
        </is>
      </c>
      <c r="B145" t="inlineStr">
        <is>
          <t>Houston-The Woodlands-Sugar Land, TX</t>
        </is>
      </c>
      <c r="C145" t="inlineStr">
        <is>
          <t>Houston-The Woodlands-Sugar Land, TX</t>
        </is>
      </c>
      <c r="D145" t="inlineStr">
        <is>
          <t>26420</t>
        </is>
      </c>
      <c r="E145" t="inlineStr">
        <is>
          <t>Harris County, Texas</t>
        </is>
      </c>
      <c r="F145" t="inlineStr">
        <is>
          <t>48201</t>
        </is>
      </c>
    </row>
    <row r="146">
      <c r="A146" t="inlineStr">
        <is>
          <t>Texas</t>
        </is>
      </c>
      <c r="B146" t="inlineStr">
        <is>
          <t>Dallas-Fort Worth-Arlington, TX</t>
        </is>
      </c>
      <c r="C146" t="inlineStr">
        <is>
          <t>Dallas-Fort Worth-Arlington, TX</t>
        </is>
      </c>
      <c r="D146" t="inlineStr">
        <is>
          <t>19100</t>
        </is>
      </c>
      <c r="E146" t="inlineStr">
        <is>
          <t>Rockwall County, Texas</t>
        </is>
      </c>
      <c r="F146" t="inlineStr">
        <is>
          <t>48397</t>
        </is>
      </c>
    </row>
    <row r="147">
      <c r="A147" t="inlineStr">
        <is>
          <t>Texas</t>
        </is>
      </c>
      <c r="B147" t="inlineStr">
        <is>
          <t>Dallas-Fort Worth-Arlington, TX</t>
        </is>
      </c>
      <c r="C147" t="inlineStr">
        <is>
          <t>Dallas-Fort Worth-Arlington, TX</t>
        </is>
      </c>
      <c r="D147" t="inlineStr">
        <is>
          <t>19100</t>
        </is>
      </c>
      <c r="E147" t="inlineStr">
        <is>
          <t>Hunt County, Texas</t>
        </is>
      </c>
      <c r="F147" t="inlineStr">
        <is>
          <t>48231</t>
        </is>
      </c>
    </row>
    <row r="148">
      <c r="A148" t="inlineStr">
        <is>
          <t>Texas</t>
        </is>
      </c>
      <c r="B148" t="inlineStr">
        <is>
          <t>Dallas-Fort Worth-Arlington, TX</t>
        </is>
      </c>
      <c r="C148" t="inlineStr">
        <is>
          <t>Dallas-Fort Worth-Arlington, TX</t>
        </is>
      </c>
      <c r="D148" t="inlineStr">
        <is>
          <t>19100</t>
        </is>
      </c>
      <c r="E148" t="inlineStr">
        <is>
          <t>Denton County, Texas</t>
        </is>
      </c>
      <c r="F148" t="inlineStr">
        <is>
          <t>48121</t>
        </is>
      </c>
    </row>
    <row r="149">
      <c r="A149" t="inlineStr">
        <is>
          <t>Texas</t>
        </is>
      </c>
      <c r="B149" t="inlineStr">
        <is>
          <t>Houston-The Woodlands-Sugar Land, TX</t>
        </is>
      </c>
      <c r="C149" t="inlineStr">
        <is>
          <t>Houston-The Woodlands-Sugar Land, TX</t>
        </is>
      </c>
      <c r="D149" t="inlineStr">
        <is>
          <t>26420</t>
        </is>
      </c>
      <c r="E149" t="inlineStr">
        <is>
          <t>Fort Bend County, Texas</t>
        </is>
      </c>
      <c r="F149" t="inlineStr">
        <is>
          <t>48157</t>
        </is>
      </c>
    </row>
    <row r="150">
      <c r="A150" t="inlineStr">
        <is>
          <t>Texas</t>
        </is>
      </c>
      <c r="B150" t="inlineStr">
        <is>
          <t>Dallas-Fort Worth-Arlington, TX</t>
        </is>
      </c>
      <c r="C150" t="inlineStr">
        <is>
          <t>Dallas-Fort Worth-Arlington, TX</t>
        </is>
      </c>
      <c r="D150" t="inlineStr">
        <is>
          <t>19100</t>
        </is>
      </c>
      <c r="E150" t="inlineStr">
        <is>
          <t>Ellis County, Texas</t>
        </is>
      </c>
      <c r="F150" t="inlineStr">
        <is>
          <t>48139</t>
        </is>
      </c>
    </row>
    <row r="151">
      <c r="A151" t="inlineStr">
        <is>
          <t>Texas</t>
        </is>
      </c>
      <c r="B151" t="inlineStr">
        <is>
          <t>Dallas-Fort Worth-Arlington, TX</t>
        </is>
      </c>
      <c r="C151" t="inlineStr">
        <is>
          <t>Dallas-Fort Worth-Arlington, TX</t>
        </is>
      </c>
      <c r="D151" t="inlineStr">
        <is>
          <t>19100</t>
        </is>
      </c>
      <c r="E151" t="inlineStr">
        <is>
          <t>Collin County, Texas</t>
        </is>
      </c>
      <c r="F151" t="inlineStr">
        <is>
          <t>48085</t>
        </is>
      </c>
    </row>
    <row r="152">
      <c r="A152" t="inlineStr">
        <is>
          <t>Texas</t>
        </is>
      </c>
      <c r="B152" t="inlineStr">
        <is>
          <t>Houston-The Woodlands-Sugar Land, TX</t>
        </is>
      </c>
      <c r="C152" t="inlineStr">
        <is>
          <t>Houston-The Woodlands-Sugar Land, TX</t>
        </is>
      </c>
      <c r="D152" t="inlineStr">
        <is>
          <t>26420</t>
        </is>
      </c>
      <c r="E152" t="inlineStr">
        <is>
          <t>Waller County, Texas</t>
        </is>
      </c>
      <c r="F152" t="inlineStr">
        <is>
          <t>48473</t>
        </is>
      </c>
    </row>
    <row r="153">
      <c r="A153" t="inlineStr">
        <is>
          <t>Texas</t>
        </is>
      </c>
      <c r="B153" t="inlineStr">
        <is>
          <t>Dallas-Fort Worth-Arlington, TX</t>
        </is>
      </c>
      <c r="C153" t="inlineStr">
        <is>
          <t>Dallas-Fort Worth-Arlington, TX</t>
        </is>
      </c>
      <c r="D153" t="inlineStr">
        <is>
          <t>19100</t>
        </is>
      </c>
      <c r="E153" t="inlineStr">
        <is>
          <t>Tarrant County, Texas</t>
        </is>
      </c>
      <c r="F153" t="inlineStr">
        <is>
          <t>48439</t>
        </is>
      </c>
    </row>
    <row r="154">
      <c r="A154" t="inlineStr">
        <is>
          <t>Texas</t>
        </is>
      </c>
      <c r="B154" t="inlineStr">
        <is>
          <t>Dallas-Fort Worth-Arlington, TX</t>
        </is>
      </c>
      <c r="C154" t="inlineStr">
        <is>
          <t>Dallas-Fort Worth-Arlington, TX</t>
        </is>
      </c>
      <c r="D154" t="inlineStr">
        <is>
          <t>19100</t>
        </is>
      </c>
      <c r="E154" t="inlineStr">
        <is>
          <t>Wise County, Texas</t>
        </is>
      </c>
      <c r="F154" t="inlineStr">
        <is>
          <t>48497</t>
        </is>
      </c>
    </row>
    <row r="155">
      <c r="A155" t="inlineStr">
        <is>
          <t>Texas</t>
        </is>
      </c>
      <c r="B155" t="inlineStr">
        <is>
          <t>Houston-The Woodlands-Sugar Land, TX</t>
        </is>
      </c>
      <c r="C155" t="inlineStr">
        <is>
          <t>Houston-The Woodlands-Sugar Land, TX</t>
        </is>
      </c>
      <c r="D155" t="inlineStr">
        <is>
          <t>26420</t>
        </is>
      </c>
      <c r="E155" t="inlineStr">
        <is>
          <t>Liberty County, Texas</t>
        </is>
      </c>
      <c r="F155" t="inlineStr">
        <is>
          <t>48291</t>
        </is>
      </c>
    </row>
    <row r="156">
      <c r="A156" t="inlineStr">
        <is>
          <t>Texas</t>
        </is>
      </c>
      <c r="B156" t="inlineStr">
        <is>
          <t>Houston-The Woodlands-Sugar Land, TX</t>
        </is>
      </c>
      <c r="C156" t="inlineStr">
        <is>
          <t>Houston-The Woodlands-Sugar Land, TX</t>
        </is>
      </c>
      <c r="D156" t="inlineStr">
        <is>
          <t>26420</t>
        </is>
      </c>
      <c r="E156" t="inlineStr">
        <is>
          <t>Austin County, Texas</t>
        </is>
      </c>
      <c r="F156" t="inlineStr">
        <is>
          <t>48015</t>
        </is>
      </c>
    </row>
    <row r="157">
      <c r="A157" t="inlineStr">
        <is>
          <t>Texas</t>
        </is>
      </c>
      <c r="B157" t="inlineStr">
        <is>
          <t>Houston-The Woodlands-Sugar Land, TX</t>
        </is>
      </c>
      <c r="C157" t="inlineStr">
        <is>
          <t>Houston-The Woodlands-Sugar Land, TX</t>
        </is>
      </c>
      <c r="D157" t="inlineStr">
        <is>
          <t>26420</t>
        </is>
      </c>
      <c r="E157" t="inlineStr">
        <is>
          <t>Galveston County, Texas</t>
        </is>
      </c>
      <c r="F157" t="inlineStr">
        <is>
          <t>48167</t>
        </is>
      </c>
    </row>
    <row r="158">
      <c r="A158" t="inlineStr">
        <is>
          <t>Texas</t>
        </is>
      </c>
      <c r="B158" t="inlineStr">
        <is>
          <t>Dallas-Fort Worth-Arlington, TX</t>
        </is>
      </c>
      <c r="C158" t="inlineStr">
        <is>
          <t>Dallas-Fort Worth-Arlington, TX</t>
        </is>
      </c>
      <c r="D158" t="inlineStr">
        <is>
          <t>19100</t>
        </is>
      </c>
      <c r="E158" t="inlineStr">
        <is>
          <t>Parker County, Texas</t>
        </is>
      </c>
      <c r="F158" t="inlineStr">
        <is>
          <t>48367</t>
        </is>
      </c>
    </row>
    <row r="159">
      <c r="A159" t="inlineStr">
        <is>
          <t>Texas</t>
        </is>
      </c>
      <c r="B159" t="inlineStr">
        <is>
          <t>Houston-The Woodlands-Sugar Land, TX</t>
        </is>
      </c>
      <c r="C159" t="inlineStr">
        <is>
          <t>Houston-The Woodlands-Sugar Land, TX</t>
        </is>
      </c>
      <c r="D159" t="inlineStr">
        <is>
          <t>26420</t>
        </is>
      </c>
      <c r="E159" t="inlineStr">
        <is>
          <t>Brazoria County, Texas</t>
        </is>
      </c>
      <c r="F159" t="inlineStr">
        <is>
          <t>48039</t>
        </is>
      </c>
    </row>
    <row r="160">
      <c r="A160" t="inlineStr">
        <is>
          <t>Virginia</t>
        </is>
      </c>
      <c r="B160" t="inlineStr">
        <is>
          <t>Washington-Arlington-Alexandria, DC-VA-MD-WV</t>
        </is>
      </c>
      <c r="C160" t="inlineStr">
        <is>
          <t>Washington-Arlington-Alexandria, DC-VA-MD-WV</t>
        </is>
      </c>
      <c r="D160" t="inlineStr">
        <is>
          <t>47900</t>
        </is>
      </c>
      <c r="E160" t="inlineStr">
        <is>
          <t>Fauquier County, Virginia</t>
        </is>
      </c>
      <c r="F160" t="inlineStr">
        <is>
          <t>51061</t>
        </is>
      </c>
    </row>
    <row r="161">
      <c r="A161" t="inlineStr">
        <is>
          <t>Virginia</t>
        </is>
      </c>
      <c r="B161" t="inlineStr">
        <is>
          <t>Washington-Arlington-Alexandria, DC-VA-MD-WV</t>
        </is>
      </c>
      <c r="C161" t="inlineStr">
        <is>
          <t>Washington-Arlington-Alexandria, DC-VA-MD-WV</t>
        </is>
      </c>
      <c r="D161" t="inlineStr">
        <is>
          <t>47900</t>
        </is>
      </c>
      <c r="E161" t="inlineStr">
        <is>
          <t>Loudoun County, Virginia</t>
        </is>
      </c>
      <c r="F161" t="inlineStr">
        <is>
          <t>51107</t>
        </is>
      </c>
    </row>
    <row r="162">
      <c r="A162" t="inlineStr">
        <is>
          <t>Virginia</t>
        </is>
      </c>
      <c r="B162" t="inlineStr">
        <is>
          <t>Washington-Arlington-Alexandria, DC-VA-MD-WV</t>
        </is>
      </c>
      <c r="C162" t="inlineStr">
        <is>
          <t>Washington-Arlington-Alexandria, DC-VA-MD-WV</t>
        </is>
      </c>
      <c r="D162" t="inlineStr">
        <is>
          <t>47900</t>
        </is>
      </c>
      <c r="E162" t="inlineStr">
        <is>
          <t>Alexandria city, Virginia</t>
        </is>
      </c>
      <c r="F162" t="inlineStr">
        <is>
          <t>51510</t>
        </is>
      </c>
    </row>
    <row r="163">
      <c r="A163" t="inlineStr">
        <is>
          <t>Virginia</t>
        </is>
      </c>
      <c r="B163" t="inlineStr">
        <is>
          <t>Washington-Arlington-Alexandria, DC-VA-MD-WV</t>
        </is>
      </c>
      <c r="C163" t="inlineStr">
        <is>
          <t>Washington-Arlington-Alexandria, DC-VA-MD-WV</t>
        </is>
      </c>
      <c r="D163" t="inlineStr">
        <is>
          <t>47900</t>
        </is>
      </c>
      <c r="E163" t="inlineStr">
        <is>
          <t>Clarke County, Virginia</t>
        </is>
      </c>
      <c r="F163" t="inlineStr">
        <is>
          <t>51043</t>
        </is>
      </c>
    </row>
    <row r="164">
      <c r="A164" t="inlineStr">
        <is>
          <t>Virginia</t>
        </is>
      </c>
      <c r="B164" t="inlineStr">
        <is>
          <t>Washington-Arlington-Alexandria, DC-VA-MD-WV</t>
        </is>
      </c>
      <c r="C164" t="inlineStr">
        <is>
          <t>Washington-Arlington-Alexandria, DC-VA-MD-WV</t>
        </is>
      </c>
      <c r="D164" t="inlineStr">
        <is>
          <t>47900</t>
        </is>
      </c>
      <c r="E164" t="inlineStr">
        <is>
          <t>Manassas city, Virginia</t>
        </is>
      </c>
      <c r="F164" t="inlineStr">
        <is>
          <t>51683</t>
        </is>
      </c>
    </row>
    <row r="165">
      <c r="A165" t="inlineStr">
        <is>
          <t>Virginia</t>
        </is>
      </c>
      <c r="B165" t="inlineStr">
        <is>
          <t>Washington-Arlington-Alexandria, DC-VA-MD-WV</t>
        </is>
      </c>
      <c r="C165" t="inlineStr">
        <is>
          <t>Washington-Arlington-Alexandria, DC-VA-MD-WV</t>
        </is>
      </c>
      <c r="D165" t="inlineStr">
        <is>
          <t>47900</t>
        </is>
      </c>
      <c r="E165" t="inlineStr">
        <is>
          <t>Prince William County, Virginia</t>
        </is>
      </c>
      <c r="F165" t="inlineStr">
        <is>
          <t>51153</t>
        </is>
      </c>
    </row>
    <row r="166">
      <c r="A166" t="inlineStr">
        <is>
          <t>Virginia</t>
        </is>
      </c>
      <c r="B166" t="inlineStr">
        <is>
          <t>Washington-Arlington-Alexandria, DC-VA-MD-WV</t>
        </is>
      </c>
      <c r="C166" t="inlineStr">
        <is>
          <t>Washington-Arlington-Alexandria, DC-VA-MD-WV</t>
        </is>
      </c>
      <c r="D166" t="inlineStr">
        <is>
          <t>47900</t>
        </is>
      </c>
      <c r="E166" t="inlineStr">
        <is>
          <t>Fairfax city, Virginia</t>
        </is>
      </c>
      <c r="F166" t="inlineStr">
        <is>
          <t>51600</t>
        </is>
      </c>
    </row>
    <row r="167">
      <c r="A167" t="inlineStr">
        <is>
          <t>Virginia</t>
        </is>
      </c>
      <c r="B167" t="inlineStr">
        <is>
          <t>Washington-Arlington-Alexandria, DC-VA-MD-WV</t>
        </is>
      </c>
      <c r="C167" t="inlineStr">
        <is>
          <t>Washington-Arlington-Alexandria, DC-VA-MD-WV</t>
        </is>
      </c>
      <c r="D167" t="inlineStr">
        <is>
          <t>47900</t>
        </is>
      </c>
      <c r="E167" t="inlineStr">
        <is>
          <t>Falls Church city, Virginia</t>
        </is>
      </c>
      <c r="F167" t="inlineStr">
        <is>
          <t>51610</t>
        </is>
      </c>
    </row>
    <row r="168">
      <c r="A168" t="inlineStr">
        <is>
          <t>Virginia</t>
        </is>
      </c>
      <c r="B168" t="inlineStr">
        <is>
          <t>Washington-Arlington-Alexandria, DC-VA-MD-WV</t>
        </is>
      </c>
      <c r="C168" t="inlineStr">
        <is>
          <t>Washington-Arlington-Alexandria, DC-VA-MD-WV</t>
        </is>
      </c>
      <c r="D168" t="inlineStr">
        <is>
          <t>47900</t>
        </is>
      </c>
      <c r="E168" t="inlineStr">
        <is>
          <t>Manassas Park city, Virginia</t>
        </is>
      </c>
      <c r="F168" t="inlineStr">
        <is>
          <t>51685</t>
        </is>
      </c>
    </row>
    <row r="169">
      <c r="A169" t="inlineStr">
        <is>
          <t>Virginia</t>
        </is>
      </c>
      <c r="B169" t="inlineStr">
        <is>
          <t>Washington-Arlington-Alexandria, DC-VA-MD-WV</t>
        </is>
      </c>
      <c r="C169" t="inlineStr">
        <is>
          <t>Washington-Arlington-Alexandria, DC-VA-MD-WV</t>
        </is>
      </c>
      <c r="D169" t="inlineStr">
        <is>
          <t>47900</t>
        </is>
      </c>
      <c r="E169" t="inlineStr">
        <is>
          <t>Arlington County, Virginia</t>
        </is>
      </c>
      <c r="F169" t="inlineStr">
        <is>
          <t>51013</t>
        </is>
      </c>
    </row>
    <row r="170">
      <c r="A170" t="inlineStr">
        <is>
          <t>Virginia</t>
        </is>
      </c>
      <c r="B170" t="inlineStr">
        <is>
          <t>Washington-Arlington-Alexandria, DC-VA-MD-WV</t>
        </is>
      </c>
      <c r="C170" t="inlineStr">
        <is>
          <t>Washington-Arlington-Alexandria, DC-VA-MD-WV</t>
        </is>
      </c>
      <c r="D170" t="inlineStr">
        <is>
          <t>47900</t>
        </is>
      </c>
      <c r="E170" t="inlineStr">
        <is>
          <t>Fredericksburg city, Virginia</t>
        </is>
      </c>
      <c r="F170" t="inlineStr">
        <is>
          <t>51630</t>
        </is>
      </c>
    </row>
    <row r="171">
      <c r="A171" t="inlineStr">
        <is>
          <t>Virginia</t>
        </is>
      </c>
      <c r="B171" t="inlineStr">
        <is>
          <t>Washington-Arlington-Alexandria, DC-VA-MD-WV</t>
        </is>
      </c>
      <c r="C171" t="inlineStr">
        <is>
          <t>Washington-Arlington-Alexandria, DC-VA-MD-WV</t>
        </is>
      </c>
      <c r="D171" t="inlineStr">
        <is>
          <t>47900</t>
        </is>
      </c>
      <c r="E171" t="inlineStr">
        <is>
          <t>Spotsylvania County, Virginia</t>
        </is>
      </c>
      <c r="F171" t="inlineStr">
        <is>
          <t>51177</t>
        </is>
      </c>
    </row>
    <row r="172">
      <c r="A172" t="inlineStr">
        <is>
          <t>Virginia</t>
        </is>
      </c>
      <c r="B172" t="inlineStr">
        <is>
          <t>Washington-Arlington-Alexandria, DC-VA-MD-WV</t>
        </is>
      </c>
      <c r="C172" t="inlineStr">
        <is>
          <t>Washington-Arlington-Alexandria, DC-VA-MD-WV</t>
        </is>
      </c>
      <c r="D172" t="inlineStr">
        <is>
          <t>47900</t>
        </is>
      </c>
      <c r="E172" t="inlineStr">
        <is>
          <t>Culpeper County, Virginia</t>
        </is>
      </c>
      <c r="F172" t="inlineStr">
        <is>
          <t>51047</t>
        </is>
      </c>
    </row>
    <row r="173">
      <c r="A173" t="inlineStr">
        <is>
          <t>Virginia</t>
        </is>
      </c>
      <c r="B173" t="inlineStr">
        <is>
          <t>Washington-Arlington-Alexandria, DC-VA-MD-WV</t>
        </is>
      </c>
      <c r="C173" t="inlineStr">
        <is>
          <t>Washington-Arlington-Alexandria, DC-VA-MD-WV</t>
        </is>
      </c>
      <c r="D173" t="inlineStr">
        <is>
          <t>47900</t>
        </is>
      </c>
      <c r="E173" t="inlineStr">
        <is>
          <t>Fairfax County, Virginia</t>
        </is>
      </c>
      <c r="F173" t="inlineStr">
        <is>
          <t>51059</t>
        </is>
      </c>
    </row>
    <row r="174">
      <c r="A174" t="inlineStr">
        <is>
          <t>Virginia</t>
        </is>
      </c>
      <c r="B174" t="inlineStr">
        <is>
          <t>Washington-Arlington-Alexandria, DC-VA-MD-WV</t>
        </is>
      </c>
      <c r="C174" t="inlineStr">
        <is>
          <t>Washington-Arlington-Alexandria, DC-VA-MD-WV</t>
        </is>
      </c>
      <c r="D174" t="inlineStr">
        <is>
          <t>47900</t>
        </is>
      </c>
      <c r="E174" t="inlineStr">
        <is>
          <t>Madison County, Virginia</t>
        </is>
      </c>
      <c r="F174" t="inlineStr">
        <is>
          <t>51113</t>
        </is>
      </c>
    </row>
    <row r="175">
      <c r="A175" t="inlineStr">
        <is>
          <t>Virginia</t>
        </is>
      </c>
      <c r="B175" t="inlineStr">
        <is>
          <t>Washington-Arlington-Alexandria, DC-VA-MD-WV</t>
        </is>
      </c>
      <c r="C175" t="inlineStr">
        <is>
          <t>Washington-Arlington-Alexandria, DC-VA-MD-WV</t>
        </is>
      </c>
      <c r="D175" t="inlineStr">
        <is>
          <t>47900</t>
        </is>
      </c>
      <c r="E175" t="inlineStr">
        <is>
          <t>Stafford County, Virginia</t>
        </is>
      </c>
      <c r="F175" t="inlineStr">
        <is>
          <t>51179</t>
        </is>
      </c>
    </row>
    <row r="176">
      <c r="A176" t="inlineStr">
        <is>
          <t>Virginia</t>
        </is>
      </c>
      <c r="B176" t="inlineStr">
        <is>
          <t>Washington-Arlington-Alexandria, DC-VA-MD-WV</t>
        </is>
      </c>
      <c r="C176" t="inlineStr">
        <is>
          <t>Washington-Arlington-Alexandria, DC-VA-MD-WV</t>
        </is>
      </c>
      <c r="D176" t="inlineStr">
        <is>
          <t>47900</t>
        </is>
      </c>
      <c r="E176" t="inlineStr">
        <is>
          <t>Rappahannock County, Virginia</t>
        </is>
      </c>
      <c r="F176" t="inlineStr">
        <is>
          <t>51157</t>
        </is>
      </c>
    </row>
    <row r="177">
      <c r="A177" t="inlineStr">
        <is>
          <t>Virginia</t>
        </is>
      </c>
      <c r="B177" t="inlineStr">
        <is>
          <t>Washington-Arlington-Alexandria, DC-VA-MD-WV</t>
        </is>
      </c>
      <c r="C177" t="inlineStr">
        <is>
          <t>Washington-Arlington-Alexandria, DC-VA-MD-WV</t>
        </is>
      </c>
      <c r="D177" t="inlineStr">
        <is>
          <t>47900</t>
        </is>
      </c>
      <c r="E177" t="inlineStr">
        <is>
          <t>Warren County, Virginia</t>
        </is>
      </c>
      <c r="F177" t="inlineStr">
        <is>
          <t>51187</t>
        </is>
      </c>
    </row>
    <row r="178">
      <c r="A178" t="inlineStr">
        <is>
          <t>West Virginia</t>
        </is>
      </c>
      <c r="B178" t="inlineStr">
        <is>
          <t>Washington-Arlington-Alexandria, DC-VA-MD-WV</t>
        </is>
      </c>
      <c r="C178" t="inlineStr">
        <is>
          <t>Washington-Arlington-Alexandria, DC-VA-MD-WV</t>
        </is>
      </c>
      <c r="D178" t="inlineStr">
        <is>
          <t>47900</t>
        </is>
      </c>
      <c r="E178" t="inlineStr">
        <is>
          <t>Jefferson County, West Virginia</t>
        </is>
      </c>
      <c r="F178" t="inlineStr">
        <is>
          <t>54037</t>
        </is>
      </c>
    </row>
    <row r="179">
      <c r="A179" t="inlineStr">
        <is>
          <t>Wisconsin</t>
        </is>
      </c>
      <c r="B179" t="inlineStr">
        <is>
          <t>Chicago-Naperville-Elgin, IL-IN-WI</t>
        </is>
      </c>
      <c r="C179" t="inlineStr">
        <is>
          <t>Chicago-Naperville-Elgin, IL-IN-WI</t>
        </is>
      </c>
      <c r="D179" t="inlineStr">
        <is>
          <t>16980</t>
        </is>
      </c>
      <c r="E179" t="inlineStr">
        <is>
          <t>Kenosha County, Wisconsin</t>
        </is>
      </c>
      <c r="F179" t="inlineStr">
        <is>
          <t>55059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29805</v>
      </c>
      <c r="D2" s="4" t="n">
        <v>1148419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0.1847676564334843</v>
      </c>
      <c r="D3" s="5" t="n">
        <v>0.2095001911323306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0.3173964099983224</v>
      </c>
      <c r="D4" s="5" t="n">
        <v>0.3175478636281706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1711930000</v>
      </c>
      <c r="D5" s="6" t="n">
        <v>79562990000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0.1751719510149304</v>
      </c>
      <c r="D6" s="5" t="n">
        <v>0.276613326669099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0.2157356148297266</v>
      </c>
      <c r="D7" s="5" t="n">
        <v>0.3504252367820456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0.08770340546888106</v>
      </c>
      <c r="D8" s="5" t="n">
        <v>0.09465534791744128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0.05925180338869317</v>
      </c>
      <c r="D9" s="5" t="n">
        <v>0.1130676173069237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0.001744673712464352</v>
      </c>
      <c r="D10" s="5" t="n">
        <v>0.002992810115471792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0.0004697198456634793</v>
      </c>
      <c r="D11" s="5" t="n">
        <v>0.001009213536174515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0.06656601241402449</v>
      </c>
      <c r="D12" s="5" t="n">
        <v>0.1387002479060343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4992</v>
      </c>
      <c r="D14" s="4" t="n">
        <v>51617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0.1997195512820513</v>
      </c>
      <c r="D15" s="5" t="n">
        <v>0.1586686556754558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0.3747996794871795</v>
      </c>
      <c r="D16" s="5" t="n">
        <v>0.3968653738109538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256265000</v>
      </c>
      <c r="D17" s="6" t="n">
        <v>3110415000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0.03245192307692308</v>
      </c>
      <c r="D18" s="5" t="n">
        <v>0.02818838754673848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0.0829326923076923</v>
      </c>
      <c r="D19" s="5" t="n">
        <v>0.1068252707441347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0.03245192307692308</v>
      </c>
      <c r="D20" s="5" t="n">
        <v>0.03766201057791038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0.03345352564102564</v>
      </c>
      <c r="D21" s="5" t="n">
        <v>0.0416723172598175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0.001602564102564103</v>
      </c>
      <c r="D22" s="5" t="n">
        <v>0.002460429703392293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0.0006009615384615385</v>
      </c>
      <c r="D23" s="5" t="n">
        <v>0.0005812038669430614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0.01482371794871795</v>
      </c>
      <c r="D24" s="5" t="n">
        <v>0.02444930933607145</v>
      </c>
      <c r="E24" s="5">
        <f>IFERROR(C24-D24,0)</f>
        <v/>
      </c>
    </row>
    <row r="25">
      <c r="A25" t="inlineStr">
        <is>
          <t>New York-Newark-Jersey City, NY-NJ-PA</t>
        </is>
      </c>
      <c r="B25" t="inlineStr">
        <is>
          <t>Loans</t>
        </is>
      </c>
      <c r="C25" s="4" t="n">
        <v>4054</v>
      </c>
      <c r="D25" s="4" t="n">
        <v>183643</v>
      </c>
    </row>
    <row r="26">
      <c r="A26" t="inlineStr">
        <is>
          <t>New York-Newark-Jersey City, NY-NJ-PA</t>
        </is>
      </c>
      <c r="B26" t="inlineStr">
        <is>
          <t>LMICT%</t>
        </is>
      </c>
      <c r="C26" s="5" t="n">
        <v>0.1213616181549087</v>
      </c>
      <c r="D26" s="5" t="n">
        <v>0.2130056686070256</v>
      </c>
      <c r="E26" s="5">
        <f>IFERROR(C26-D26,0)</f>
        <v/>
      </c>
    </row>
    <row r="27">
      <c r="A27" t="inlineStr">
        <is>
          <t>New York-Newark-Jersey City, NY-NJ-PA</t>
        </is>
      </c>
      <c r="B27" t="inlineStr">
        <is>
          <t>LMIB%</t>
        </is>
      </c>
      <c r="C27" s="5" t="n">
        <v>0.179575727676369</v>
      </c>
      <c r="D27" s="5" t="n">
        <v>0.2331480099976585</v>
      </c>
      <c r="E27" s="5">
        <f>IFERROR(C27-D27,0)</f>
        <v/>
      </c>
    </row>
    <row r="28">
      <c r="A28" t="inlineStr">
        <is>
          <t>New York-Newark-Jersey City, NY-NJ-PA</t>
        </is>
      </c>
      <c r="B28" t="inlineStr">
        <is>
          <t>LMIB$</t>
        </is>
      </c>
      <c r="C28" s="6" t="n">
        <v>179950000</v>
      </c>
      <c r="D28" s="6" t="n">
        <v>12986730000</v>
      </c>
    </row>
    <row r="29">
      <c r="A29" t="inlineStr">
        <is>
          <t>New York-Newark-Jersey City, NY-NJ-PA</t>
        </is>
      </c>
      <c r="B29" t="inlineStr">
        <is>
          <t>MMCT%</t>
        </is>
      </c>
      <c r="C29" s="5" t="n">
        <v>0.2185495806610755</v>
      </c>
      <c r="D29" s="5" t="n">
        <v>0.3304291478575279</v>
      </c>
      <c r="E29" s="5">
        <f>IFERROR(C29-D29,0)</f>
        <v/>
      </c>
    </row>
    <row r="30">
      <c r="A30" t="inlineStr">
        <is>
          <t>New York-Newark-Jersey City, NY-NJ-PA</t>
        </is>
      </c>
      <c r="B30" t="inlineStr">
        <is>
          <t>MINB%</t>
        </is>
      </c>
      <c r="C30" s="5" t="n">
        <v>0.3339911198815984</v>
      </c>
      <c r="D30" s="5" t="n">
        <v>0.4237569632384572</v>
      </c>
      <c r="E30" s="5">
        <f>IFERROR(C30-D30,0)</f>
        <v/>
      </c>
    </row>
    <row r="31">
      <c r="A31" t="inlineStr">
        <is>
          <t>New York-Newark-Jersey City, NY-NJ-PA</t>
        </is>
      </c>
      <c r="B31" t="inlineStr">
        <is>
          <t>Asian%</t>
        </is>
      </c>
      <c r="C31" s="5" t="n">
        <v>0.227923038973853</v>
      </c>
      <c r="D31" s="5" t="n">
        <v>0.1582581421562488</v>
      </c>
      <c r="E31" s="5">
        <f>IFERROR(C31-D31,0)</f>
        <v/>
      </c>
    </row>
    <row r="32">
      <c r="A32" t="inlineStr">
        <is>
          <t>New York-Newark-Jersey City, NY-NJ-PA</t>
        </is>
      </c>
      <c r="B32" t="inlineStr">
        <is>
          <t>Black%</t>
        </is>
      </c>
      <c r="C32" s="5" t="n">
        <v>0.03034040453872718</v>
      </c>
      <c r="D32" s="5" t="n">
        <v>0.0933278153809293</v>
      </c>
      <c r="E32" s="5">
        <f>IFERROR(C32-D32,0)</f>
        <v/>
      </c>
    </row>
    <row r="33">
      <c r="A33" t="inlineStr">
        <is>
          <t>New York-Newark-Jersey City, NY-NJ-PA</t>
        </is>
      </c>
      <c r="B33" t="inlineStr">
        <is>
          <t>Native American%</t>
        </is>
      </c>
      <c r="C33" s="5" t="n">
        <v>0.001480019733596448</v>
      </c>
      <c r="D33" s="5" t="n">
        <v>0.001709839198880437</v>
      </c>
      <c r="E33" s="5">
        <f>IFERROR(C33-D33,0)</f>
        <v/>
      </c>
    </row>
    <row r="34">
      <c r="A34" t="inlineStr">
        <is>
          <t>New York-Newark-Jersey City, NY-NJ-PA</t>
        </is>
      </c>
      <c r="B34" t="inlineStr">
        <is>
          <t>HoPI%</t>
        </is>
      </c>
      <c r="C34" s="5" t="n">
        <v>0.000246669955599408</v>
      </c>
      <c r="D34" s="5" t="n">
        <v>0.001138077683331246</v>
      </c>
      <c r="E34" s="5">
        <f>IFERROR(C34-D34,0)</f>
        <v/>
      </c>
    </row>
    <row r="35">
      <c r="A35" t="inlineStr">
        <is>
          <t>New York-Newark-Jersey City, NY-NJ-PA</t>
        </is>
      </c>
      <c r="B35" t="inlineStr">
        <is>
          <t>Hispanic%</t>
        </is>
      </c>
      <c r="C35" s="5" t="n">
        <v>0.0740009866798224</v>
      </c>
      <c r="D35" s="5" t="n">
        <v>0.1693230888190674</v>
      </c>
      <c r="E35" s="5">
        <f>IFERROR(C35-D35,0)</f>
        <v/>
      </c>
    </row>
    <row r="36">
      <c r="A36" t="inlineStr">
        <is>
          <t>Chicago-Naperville-Elgin, IL-IN-WI</t>
        </is>
      </c>
      <c r="B36" t="inlineStr">
        <is>
          <t>Loans</t>
        </is>
      </c>
      <c r="C36" s="4" t="n">
        <v>3434</v>
      </c>
      <c r="D36" s="4" t="n">
        <v>128718</v>
      </c>
    </row>
    <row r="37">
      <c r="A37" t="inlineStr">
        <is>
          <t>Chicago-Naperville-Elgin, IL-IN-WI</t>
        </is>
      </c>
      <c r="B37" t="inlineStr">
        <is>
          <t>LMICT%</t>
        </is>
      </c>
      <c r="C37" s="5" t="n">
        <v>0.1645311589982528</v>
      </c>
      <c r="D37" s="5" t="n">
        <v>0.1881011202784381</v>
      </c>
      <c r="E37" s="5">
        <f>IFERROR(C37-D37,0)</f>
        <v/>
      </c>
    </row>
    <row r="38">
      <c r="A38" t="inlineStr">
        <is>
          <t>Chicago-Naperville-Elgin, IL-IN-WI</t>
        </is>
      </c>
      <c r="B38" t="inlineStr">
        <is>
          <t>LMIB%</t>
        </is>
      </c>
      <c r="C38" s="5" t="n">
        <v>0.3447874199184625</v>
      </c>
      <c r="D38" s="5" t="n">
        <v>0.3539132056122687</v>
      </c>
      <c r="E38" s="5">
        <f>IFERROR(C38-D38,0)</f>
        <v/>
      </c>
    </row>
    <row r="39">
      <c r="A39" t="inlineStr">
        <is>
          <t>Chicago-Naperville-Elgin, IL-IN-WI</t>
        </is>
      </c>
      <c r="B39" t="inlineStr">
        <is>
          <t>LMIB$</t>
        </is>
      </c>
      <c r="C39" s="6" t="n">
        <v>219670000</v>
      </c>
      <c r="D39" s="6" t="n">
        <v>8889395000</v>
      </c>
    </row>
    <row r="40">
      <c r="A40" t="inlineStr">
        <is>
          <t>Chicago-Naperville-Elgin, IL-IN-WI</t>
        </is>
      </c>
      <c r="B40" t="inlineStr">
        <is>
          <t>MMCT%</t>
        </is>
      </c>
      <c r="C40" s="5" t="n">
        <v>0.209668025626092</v>
      </c>
      <c r="D40" s="5" t="n">
        <v>0.2559315713420034</v>
      </c>
      <c r="E40" s="5">
        <f>IFERROR(C40-D40,0)</f>
        <v/>
      </c>
    </row>
    <row r="41">
      <c r="A41" t="inlineStr">
        <is>
          <t>Chicago-Naperville-Elgin, IL-IN-WI</t>
        </is>
      </c>
      <c r="B41" t="inlineStr">
        <is>
          <t>MINB%</t>
        </is>
      </c>
      <c r="C41" s="5" t="n">
        <v>0.2548048922539313</v>
      </c>
      <c r="D41" s="5" t="n">
        <v>0.3734986559766311</v>
      </c>
      <c r="E41" s="5">
        <f>IFERROR(C41-D41,0)</f>
        <v/>
      </c>
    </row>
    <row r="42">
      <c r="A42" t="inlineStr">
        <is>
          <t>Chicago-Naperville-Elgin, IL-IN-WI</t>
        </is>
      </c>
      <c r="B42" t="inlineStr">
        <is>
          <t>Asian%</t>
        </is>
      </c>
      <c r="C42" s="5" t="n">
        <v>0.0611531741409435</v>
      </c>
      <c r="D42" s="5" t="n">
        <v>0.0929007598004941</v>
      </c>
      <c r="E42" s="5">
        <f>IFERROR(C42-D42,0)</f>
        <v/>
      </c>
    </row>
    <row r="43">
      <c r="A43" t="inlineStr">
        <is>
          <t>Chicago-Naperville-Elgin, IL-IN-WI</t>
        </is>
      </c>
      <c r="B43" t="inlineStr">
        <is>
          <t>Black%</t>
        </is>
      </c>
      <c r="C43" s="5" t="n">
        <v>0.0361094933022714</v>
      </c>
      <c r="D43" s="5" t="n">
        <v>0.1022156963284078</v>
      </c>
      <c r="E43" s="5">
        <f>IFERROR(C43-D43,0)</f>
        <v/>
      </c>
    </row>
    <row r="44">
      <c r="A44" t="inlineStr">
        <is>
          <t>Chicago-Naperville-Elgin, IL-IN-WI</t>
        </is>
      </c>
      <c r="B44" t="inlineStr">
        <is>
          <t>Native American%</t>
        </is>
      </c>
      <c r="C44" s="5" t="n">
        <v>0.0017472335468841</v>
      </c>
      <c r="D44" s="5" t="n">
        <v>0.002447210180394351</v>
      </c>
      <c r="E44" s="5">
        <f>IFERROR(C44-D44,0)</f>
        <v/>
      </c>
    </row>
    <row r="45">
      <c r="A45" t="inlineStr">
        <is>
          <t>Chicago-Naperville-Elgin, IL-IN-WI</t>
        </is>
      </c>
      <c r="B45" t="inlineStr">
        <is>
          <t>HoPI%</t>
        </is>
      </c>
      <c r="C45" s="5" t="n">
        <v>0</v>
      </c>
      <c r="D45" s="5" t="n">
        <v>0.0007147407510993024</v>
      </c>
      <c r="E45" s="5">
        <f>IFERROR(C45-D45,0)</f>
        <v/>
      </c>
    </row>
    <row r="46">
      <c r="A46" t="inlineStr">
        <is>
          <t>Chicago-Naperville-Elgin, IL-IN-WI</t>
        </is>
      </c>
      <c r="B46" t="inlineStr">
        <is>
          <t>Hispanic%</t>
        </is>
      </c>
      <c r="C46" s="5" t="n">
        <v>0.1557949912638323</v>
      </c>
      <c r="D46" s="5" t="n">
        <v>0.1752202489162355</v>
      </c>
      <c r="E46" s="5">
        <f>IFERROR(C46-D46,0)</f>
        <v/>
      </c>
    </row>
    <row r="47">
      <c r="A47" t="inlineStr">
        <is>
          <t>Philadelphia-Camden-Wilmington, PA-NJ-DE-MD</t>
        </is>
      </c>
      <c r="B47" t="inlineStr">
        <is>
          <t>Loans</t>
        </is>
      </c>
      <c r="C47" s="4" t="n">
        <v>2690</v>
      </c>
      <c r="D47" s="4" t="n">
        <v>124400</v>
      </c>
    </row>
    <row r="48">
      <c r="A48" t="inlineStr">
        <is>
          <t>Philadelphia-Camden-Wilmington, PA-NJ-DE-MD</t>
        </is>
      </c>
      <c r="B48" t="inlineStr">
        <is>
          <t>LMICT%</t>
        </is>
      </c>
      <c r="C48" s="5" t="n">
        <v>0.179182156133829</v>
      </c>
      <c r="D48" s="5" t="n">
        <v>0.2285932475884244</v>
      </c>
      <c r="E48" s="5">
        <f>IFERROR(C48-D48,0)</f>
        <v/>
      </c>
    </row>
    <row r="49">
      <c r="A49" t="inlineStr">
        <is>
          <t>Philadelphia-Camden-Wilmington, PA-NJ-DE-MD</t>
        </is>
      </c>
      <c r="B49" t="inlineStr">
        <is>
          <t>LMIB%</t>
        </is>
      </c>
      <c r="C49" s="5" t="n">
        <v>0.2780669144981412</v>
      </c>
      <c r="D49" s="5" t="n">
        <v>0.3818890675241158</v>
      </c>
      <c r="E49" s="5">
        <f>IFERROR(C49-D49,0)</f>
        <v/>
      </c>
    </row>
    <row r="50">
      <c r="A50" t="inlineStr">
        <is>
          <t>Philadelphia-Camden-Wilmington, PA-NJ-DE-MD</t>
        </is>
      </c>
      <c r="B50" t="inlineStr">
        <is>
          <t>LMIB$</t>
        </is>
      </c>
      <c r="C50" s="6" t="n">
        <v>156520000</v>
      </c>
      <c r="D50" s="6" t="n">
        <v>10403505000</v>
      </c>
    </row>
    <row r="51">
      <c r="A51" t="inlineStr">
        <is>
          <t>Philadelphia-Camden-Wilmington, PA-NJ-DE-MD</t>
        </is>
      </c>
      <c r="B51" t="inlineStr">
        <is>
          <t>MMCT%</t>
        </is>
      </c>
      <c r="C51" s="5" t="n">
        <v>0.1438661710037175</v>
      </c>
      <c r="D51" s="5" t="n">
        <v>0.1943167202572347</v>
      </c>
      <c r="E51" s="5">
        <f>IFERROR(C51-D51,0)</f>
        <v/>
      </c>
    </row>
    <row r="52">
      <c r="A52" t="inlineStr">
        <is>
          <t>Philadelphia-Camden-Wilmington, PA-NJ-DE-MD</t>
        </is>
      </c>
      <c r="B52" t="inlineStr">
        <is>
          <t>MINB%</t>
        </is>
      </c>
      <c r="C52" s="5" t="n">
        <v>0.2141263940520446</v>
      </c>
      <c r="D52" s="5" t="n">
        <v>0.3090032154340836</v>
      </c>
      <c r="E52" s="5">
        <f>IFERROR(C52-D52,0)</f>
        <v/>
      </c>
    </row>
    <row r="53">
      <c r="A53" t="inlineStr">
        <is>
          <t>Philadelphia-Camden-Wilmington, PA-NJ-DE-MD</t>
        </is>
      </c>
      <c r="B53" t="inlineStr">
        <is>
          <t>Asian%</t>
        </is>
      </c>
      <c r="C53" s="5" t="n">
        <v>0.0862453531598513</v>
      </c>
      <c r="D53" s="5" t="n">
        <v>0.07782958199356914</v>
      </c>
      <c r="E53" s="5">
        <f>IFERROR(C53-D53,0)</f>
        <v/>
      </c>
    </row>
    <row r="54">
      <c r="A54" t="inlineStr">
        <is>
          <t>Philadelphia-Camden-Wilmington, PA-NJ-DE-MD</t>
        </is>
      </c>
      <c r="B54" t="inlineStr">
        <is>
          <t>Black%</t>
        </is>
      </c>
      <c r="C54" s="5" t="n">
        <v>0.08513011152416357</v>
      </c>
      <c r="D54" s="5" t="n">
        <v>0.140112540192926</v>
      </c>
      <c r="E54" s="5">
        <f>IFERROR(C54-D54,0)</f>
        <v/>
      </c>
    </row>
    <row r="55">
      <c r="A55" t="inlineStr">
        <is>
          <t>Philadelphia-Camden-Wilmington, PA-NJ-DE-MD</t>
        </is>
      </c>
      <c r="B55" t="inlineStr">
        <is>
          <t>Native American%</t>
        </is>
      </c>
      <c r="C55" s="5" t="n">
        <v>0.001115241635687732</v>
      </c>
      <c r="D55" s="5" t="n">
        <v>0.002604501607717042</v>
      </c>
      <c r="E55" s="5">
        <f>IFERROR(C55-D55,0)</f>
        <v/>
      </c>
    </row>
    <row r="56">
      <c r="A56" t="inlineStr">
        <is>
          <t>Philadelphia-Camden-Wilmington, PA-NJ-DE-MD</t>
        </is>
      </c>
      <c r="B56" t="inlineStr">
        <is>
          <t>HoPI%</t>
        </is>
      </c>
      <c r="C56" s="5" t="n">
        <v>0</v>
      </c>
      <c r="D56" s="5" t="n">
        <v>0.001318327974276527</v>
      </c>
      <c r="E56" s="5">
        <f>IFERROR(C56-D56,0)</f>
        <v/>
      </c>
    </row>
    <row r="57">
      <c r="A57" t="inlineStr">
        <is>
          <t>Philadelphia-Camden-Wilmington, PA-NJ-DE-MD</t>
        </is>
      </c>
      <c r="B57" t="inlineStr">
        <is>
          <t>Hispanic%</t>
        </is>
      </c>
      <c r="C57" s="5" t="n">
        <v>0.04163568773234201</v>
      </c>
      <c r="D57" s="5" t="n">
        <v>0.08713826366559484</v>
      </c>
      <c r="E57" s="5">
        <f>IFERROR(C57-D57,0)</f>
        <v/>
      </c>
    </row>
    <row r="58">
      <c r="A58" t="inlineStr">
        <is>
          <t>Washington-Arlington-Alexandria, DC-VA-MD-WV</t>
        </is>
      </c>
      <c r="B58" t="inlineStr">
        <is>
          <t>Loans</t>
        </is>
      </c>
      <c r="C58" s="4" t="n">
        <v>2455</v>
      </c>
      <c r="D58" s="4" t="n">
        <v>100236</v>
      </c>
    </row>
    <row r="59">
      <c r="A59" t="inlineStr">
        <is>
          <t>Washington-Arlington-Alexandria, DC-VA-MD-WV</t>
        </is>
      </c>
      <c r="B59" t="inlineStr">
        <is>
          <t>LMICT%</t>
        </is>
      </c>
      <c r="C59" s="5" t="n">
        <v>0.2134419551934827</v>
      </c>
      <c r="D59" s="5" t="n">
        <v>0.2375892892773055</v>
      </c>
      <c r="E59" s="5">
        <f>IFERROR(C59-D59,0)</f>
        <v/>
      </c>
    </row>
    <row r="60">
      <c r="A60" t="inlineStr">
        <is>
          <t>Washington-Arlington-Alexandria, DC-VA-MD-WV</t>
        </is>
      </c>
      <c r="B60" t="inlineStr">
        <is>
          <t>LMIB%</t>
        </is>
      </c>
      <c r="C60" s="5" t="n">
        <v>0.3042769857433809</v>
      </c>
      <c r="D60" s="5" t="n">
        <v>0.3565684983439084</v>
      </c>
      <c r="E60" s="5">
        <f>IFERROR(C60-D60,0)</f>
        <v/>
      </c>
    </row>
    <row r="61">
      <c r="A61" t="inlineStr">
        <is>
          <t>Washington-Arlington-Alexandria, DC-VA-MD-WV</t>
        </is>
      </c>
      <c r="B61" t="inlineStr">
        <is>
          <t>LMIB$</t>
        </is>
      </c>
      <c r="C61" s="6" t="n">
        <v>201385000</v>
      </c>
      <c r="D61" s="6" t="n">
        <v>11763245000</v>
      </c>
    </row>
    <row r="62">
      <c r="A62" t="inlineStr">
        <is>
          <t>Washington-Arlington-Alexandria, DC-VA-MD-WV</t>
        </is>
      </c>
      <c r="B62" t="inlineStr">
        <is>
          <t>MMCT%</t>
        </is>
      </c>
      <c r="C62" s="5" t="n">
        <v>0.3991853360488798</v>
      </c>
      <c r="D62" s="5" t="n">
        <v>0.481932638972026</v>
      </c>
      <c r="E62" s="5">
        <f>IFERROR(C62-D62,0)</f>
        <v/>
      </c>
    </row>
    <row r="63">
      <c r="A63" t="inlineStr">
        <is>
          <t>Washington-Arlington-Alexandria, DC-VA-MD-WV</t>
        </is>
      </c>
      <c r="B63" t="inlineStr">
        <is>
          <t>MINB%</t>
        </is>
      </c>
      <c r="C63" s="5" t="n">
        <v>0.274949083503055</v>
      </c>
      <c r="D63" s="5" t="n">
        <v>0.4534698112454607</v>
      </c>
      <c r="E63" s="5">
        <f>IFERROR(C63-D63,0)</f>
        <v/>
      </c>
    </row>
    <row r="64">
      <c r="A64" t="inlineStr">
        <is>
          <t>Washington-Arlington-Alexandria, DC-VA-MD-WV</t>
        </is>
      </c>
      <c r="B64" t="inlineStr">
        <is>
          <t>Asian%</t>
        </is>
      </c>
      <c r="C64" s="5" t="n">
        <v>0.1364562118126273</v>
      </c>
      <c r="D64" s="5" t="n">
        <v>0.1366874176942416</v>
      </c>
      <c r="E64" s="5">
        <f>IFERROR(C64-D64,0)</f>
        <v/>
      </c>
    </row>
    <row r="65">
      <c r="A65" t="inlineStr">
        <is>
          <t>Washington-Arlington-Alexandria, DC-VA-MD-WV</t>
        </is>
      </c>
      <c r="B65" t="inlineStr">
        <is>
          <t>Black%</t>
        </is>
      </c>
      <c r="C65" s="5" t="n">
        <v>0.07739307535641547</v>
      </c>
      <c r="D65" s="5" t="n">
        <v>0.1764136637535416</v>
      </c>
      <c r="E65" s="5">
        <f>IFERROR(C65-D65,0)</f>
        <v/>
      </c>
    </row>
    <row r="66">
      <c r="A66" t="inlineStr">
        <is>
          <t>Washington-Arlington-Alexandria, DC-VA-MD-WV</t>
        </is>
      </c>
      <c r="B66" t="inlineStr">
        <is>
          <t>Native American%</t>
        </is>
      </c>
      <c r="C66" s="5" t="n">
        <v>0.002443991853360489</v>
      </c>
      <c r="D66" s="5" t="n">
        <v>0.003511712358833154</v>
      </c>
      <c r="E66" s="5">
        <f>IFERROR(C66-D66,0)</f>
        <v/>
      </c>
    </row>
    <row r="67">
      <c r="A67" t="inlineStr">
        <is>
          <t>Washington-Arlington-Alexandria, DC-VA-MD-WV</t>
        </is>
      </c>
      <c r="B67" t="inlineStr">
        <is>
          <t>HoPI%</t>
        </is>
      </c>
      <c r="C67" s="5" t="n">
        <v>0.000814663951120163</v>
      </c>
      <c r="D67" s="5" t="n">
        <v>0.00122710403447863</v>
      </c>
      <c r="E67" s="5">
        <f>IFERROR(C67-D67,0)</f>
        <v/>
      </c>
    </row>
    <row r="68">
      <c r="A68" t="inlineStr">
        <is>
          <t>Washington-Arlington-Alexandria, DC-VA-MD-WV</t>
        </is>
      </c>
      <c r="B68" t="inlineStr">
        <is>
          <t>Hispanic%</t>
        </is>
      </c>
      <c r="C68" s="5" t="n">
        <v>0.05784114052953157</v>
      </c>
      <c r="D68" s="5" t="n">
        <v>0.1356299134043657</v>
      </c>
      <c r="E68" s="5">
        <f>IFERROR(C68-D68,0)</f>
        <v/>
      </c>
    </row>
    <row r="69">
      <c r="A69" t="inlineStr">
        <is>
          <t>Cleveland-Elyria, OH</t>
        </is>
      </c>
      <c r="B69" t="inlineStr">
        <is>
          <t>Loans</t>
        </is>
      </c>
      <c r="C69" s="4" t="n">
        <v>1756</v>
      </c>
      <c r="D69" s="4" t="n">
        <v>39501</v>
      </c>
    </row>
    <row r="70">
      <c r="A70" t="inlineStr">
        <is>
          <t>Cleveland-Elyria, OH</t>
        </is>
      </c>
      <c r="B70" t="inlineStr">
        <is>
          <t>LMICT%</t>
        </is>
      </c>
      <c r="C70" s="5" t="n">
        <v>0.2266514806378132</v>
      </c>
      <c r="D70" s="5" t="n">
        <v>0.2085263664211033</v>
      </c>
      <c r="E70" s="5">
        <f>IFERROR(C70-D70,0)</f>
        <v/>
      </c>
    </row>
    <row r="71">
      <c r="A71" t="inlineStr">
        <is>
          <t>Cleveland-Elyria, OH</t>
        </is>
      </c>
      <c r="B71" t="inlineStr">
        <is>
          <t>LMIB%</t>
        </is>
      </c>
      <c r="C71" s="5" t="n">
        <v>0.3986332574031891</v>
      </c>
      <c r="D71" s="5" t="n">
        <v>0.4336345915293284</v>
      </c>
      <c r="E71" s="5">
        <f>IFERROR(C71-D71,0)</f>
        <v/>
      </c>
    </row>
    <row r="72">
      <c r="A72" t="inlineStr">
        <is>
          <t>Cleveland-Elyria, OH</t>
        </is>
      </c>
      <c r="B72" t="inlineStr">
        <is>
          <t>LMIB$</t>
        </is>
      </c>
      <c r="C72" s="6" t="n">
        <v>93920000</v>
      </c>
      <c r="D72" s="6" t="n">
        <v>2479505000</v>
      </c>
    </row>
    <row r="73">
      <c r="A73" t="inlineStr">
        <is>
          <t>Cleveland-Elyria, OH</t>
        </is>
      </c>
      <c r="B73" t="inlineStr">
        <is>
          <t>MMCT%</t>
        </is>
      </c>
      <c r="C73" s="5" t="n">
        <v>0.1708428246013667</v>
      </c>
      <c r="D73" s="5" t="n">
        <v>0.1456165666691983</v>
      </c>
      <c r="E73" s="5">
        <f>IFERROR(C73-D73,0)</f>
        <v/>
      </c>
    </row>
    <row r="74">
      <c r="A74" t="inlineStr">
        <is>
          <t>Cleveland-Elyria, OH</t>
        </is>
      </c>
      <c r="B74" t="inlineStr">
        <is>
          <t>MINB%</t>
        </is>
      </c>
      <c r="C74" s="5" t="n">
        <v>0.1907744874715262</v>
      </c>
      <c r="D74" s="5" t="n">
        <v>0.2067036277562593</v>
      </c>
      <c r="E74" s="5">
        <f>IFERROR(C74-D74,0)</f>
        <v/>
      </c>
    </row>
    <row r="75">
      <c r="A75" t="inlineStr">
        <is>
          <t>Cleveland-Elyria, OH</t>
        </is>
      </c>
      <c r="B75" t="inlineStr">
        <is>
          <t>Asian%</t>
        </is>
      </c>
      <c r="C75" s="5" t="n">
        <v>0.03758542141230068</v>
      </c>
      <c r="D75" s="5" t="n">
        <v>0.02701197438039543</v>
      </c>
      <c r="E75" s="5">
        <f>IFERROR(C75-D75,0)</f>
        <v/>
      </c>
    </row>
    <row r="76">
      <c r="A76" t="inlineStr">
        <is>
          <t>Cleveland-Elyria, OH</t>
        </is>
      </c>
      <c r="B76" t="inlineStr">
        <is>
          <t>Black%</t>
        </is>
      </c>
      <c r="C76" s="5" t="n">
        <v>0.09965831435079726</v>
      </c>
      <c r="D76" s="5" t="n">
        <v>0.1074403179666338</v>
      </c>
      <c r="E76" s="5">
        <f>IFERROR(C76-D76,0)</f>
        <v/>
      </c>
    </row>
    <row r="77">
      <c r="A77" t="inlineStr">
        <is>
          <t>Cleveland-Elyria, OH</t>
        </is>
      </c>
      <c r="B77" t="inlineStr">
        <is>
          <t>Native American%</t>
        </is>
      </c>
      <c r="C77" s="5" t="n">
        <v>0.0005694760820045558</v>
      </c>
      <c r="D77" s="5" t="n">
        <v>0.002430318219791904</v>
      </c>
      <c r="E77" s="5">
        <f>IFERROR(C77-D77,0)</f>
        <v/>
      </c>
    </row>
    <row r="78">
      <c r="A78" t="inlineStr">
        <is>
          <t>Cleveland-Elyria, OH</t>
        </is>
      </c>
      <c r="B78" t="inlineStr">
        <is>
          <t>HoPI%</t>
        </is>
      </c>
      <c r="C78" s="5" t="n">
        <v>0.0005694760820045558</v>
      </c>
      <c r="D78" s="5" t="n">
        <v>0.000708842814105972</v>
      </c>
      <c r="E78" s="5">
        <f>IFERROR(C78-D78,0)</f>
        <v/>
      </c>
    </row>
    <row r="79">
      <c r="A79" t="inlineStr">
        <is>
          <t>Cleveland-Elyria, OH</t>
        </is>
      </c>
      <c r="B79" t="inlineStr">
        <is>
          <t>Hispanic%</t>
        </is>
      </c>
      <c r="C79" s="5" t="n">
        <v>0.05239179954441914</v>
      </c>
      <c r="D79" s="5" t="n">
        <v>0.06911217437533226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1411</v>
      </c>
      <c r="D80" s="4" t="n">
        <v>51978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0.2133238837703756</v>
      </c>
      <c r="D81" s="5" t="n">
        <v>0.2279041132786949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0.3968816442239547</v>
      </c>
      <c r="D82" s="5" t="n">
        <v>0.417849859555966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87870000</v>
      </c>
      <c r="D83" s="6" t="n">
        <v>3700605000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0.07583274273564848</v>
      </c>
      <c r="D84" s="5" t="n">
        <v>0.07532032783100542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0.1304039688164422</v>
      </c>
      <c r="D85" s="5" t="n">
        <v>0.1652429874177537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0.03827072997873848</v>
      </c>
      <c r="D86" s="5" t="n">
        <v>0.04728923775443457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0.05598866052445074</v>
      </c>
      <c r="D87" s="5" t="n">
        <v>0.079706799030359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0.002834868887313961</v>
      </c>
      <c r="D88" s="5" t="n">
        <v>0.00300126976797876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0.0007087172218284903</v>
      </c>
      <c r="D89" s="5" t="n">
        <v>0.0006926007156874062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0.03260099220411056</v>
      </c>
      <c r="D90" s="5" t="n">
        <v>0.03455308014929393</v>
      </c>
      <c r="E90" s="5">
        <f>IFERROR(C90-D90,0)</f>
        <v/>
      </c>
    </row>
    <row r="91">
      <c r="A91" t="inlineStr">
        <is>
          <t>Columbus, OH</t>
        </is>
      </c>
      <c r="B91" t="inlineStr">
        <is>
          <t>Loans</t>
        </is>
      </c>
      <c r="C91" s="4" t="n">
        <v>1409</v>
      </c>
      <c r="D91" s="4" t="n">
        <v>49399</v>
      </c>
    </row>
    <row r="92">
      <c r="A92" t="inlineStr">
        <is>
          <t>Columbus, OH</t>
        </is>
      </c>
      <c r="B92" t="inlineStr">
        <is>
          <t>LMICT%</t>
        </is>
      </c>
      <c r="C92" s="5" t="n">
        <v>0.262597586941093</v>
      </c>
      <c r="D92" s="5" t="n">
        <v>0.2369076297091034</v>
      </c>
      <c r="E92" s="5">
        <f>IFERROR(C92-D92,0)</f>
        <v/>
      </c>
    </row>
    <row r="93">
      <c r="A93" t="inlineStr">
        <is>
          <t>Columbus, OH</t>
        </is>
      </c>
      <c r="B93" t="inlineStr">
        <is>
          <t>LMIB%</t>
        </is>
      </c>
      <c r="C93" s="5" t="n">
        <v>0.4286728176011356</v>
      </c>
      <c r="D93" s="5" t="n">
        <v>0.3430433814449685</v>
      </c>
      <c r="E93" s="5">
        <f>IFERROR(C93-D93,0)</f>
        <v/>
      </c>
    </row>
    <row r="94">
      <c r="A94" t="inlineStr">
        <is>
          <t>Columbus, OH</t>
        </is>
      </c>
      <c r="B94" t="inlineStr">
        <is>
          <t>LMIB$</t>
        </is>
      </c>
      <c r="C94" s="6" t="n">
        <v>107860000</v>
      </c>
      <c r="D94" s="6" t="n">
        <v>3200820000</v>
      </c>
    </row>
    <row r="95">
      <c r="A95" t="inlineStr">
        <is>
          <t>Columbus, OH</t>
        </is>
      </c>
      <c r="B95" t="inlineStr">
        <is>
          <t>MMCT%</t>
        </is>
      </c>
      <c r="C95" s="5" t="n">
        <v>0.1171043293115685</v>
      </c>
      <c r="D95" s="5" t="n">
        <v>0.1042531225328448</v>
      </c>
      <c r="E95" s="5">
        <f>IFERROR(C95-D95,0)</f>
        <v/>
      </c>
    </row>
    <row r="96">
      <c r="A96" t="inlineStr">
        <is>
          <t>Columbus, OH</t>
        </is>
      </c>
      <c r="B96" t="inlineStr">
        <is>
          <t>MINB%</t>
        </is>
      </c>
      <c r="C96" s="5" t="n">
        <v>0.1731724627395316</v>
      </c>
      <c r="D96" s="5" t="n">
        <v>0.2075143221522703</v>
      </c>
      <c r="E96" s="5">
        <f>IFERROR(C96-D96,0)</f>
        <v/>
      </c>
    </row>
    <row r="97">
      <c r="A97" t="inlineStr">
        <is>
          <t>Columbus, OH</t>
        </is>
      </c>
      <c r="B97" t="inlineStr">
        <is>
          <t>Asian%</t>
        </is>
      </c>
      <c r="C97" s="5" t="n">
        <v>0.0695528743789922</v>
      </c>
      <c r="D97" s="5" t="n">
        <v>0.06838195105164072</v>
      </c>
      <c r="E97" s="5">
        <f>IFERROR(C97-D97,0)</f>
        <v/>
      </c>
    </row>
    <row r="98">
      <c r="A98" t="inlineStr">
        <is>
          <t>Columbus, OH</t>
        </is>
      </c>
      <c r="B98" t="inlineStr">
        <is>
          <t>Black%</t>
        </is>
      </c>
      <c r="C98" s="5" t="n">
        <v>0.06742370475514549</v>
      </c>
      <c r="D98" s="5" t="n">
        <v>0.09690479564363651</v>
      </c>
      <c r="E98" s="5">
        <f>IFERROR(C98-D98,0)</f>
        <v/>
      </c>
    </row>
    <row r="99">
      <c r="A99" t="inlineStr">
        <is>
          <t>Columbus, OH</t>
        </is>
      </c>
      <c r="B99" t="inlineStr">
        <is>
          <t>Native American%</t>
        </is>
      </c>
      <c r="C99" s="5" t="n">
        <v>0.0014194464158978</v>
      </c>
      <c r="D99" s="5" t="n">
        <v>0.002834065466912286</v>
      </c>
      <c r="E99" s="5">
        <f>IFERROR(C99-D99,0)</f>
        <v/>
      </c>
    </row>
    <row r="100">
      <c r="A100" t="inlineStr">
        <is>
          <t>Columbus, OH</t>
        </is>
      </c>
      <c r="B100" t="inlineStr">
        <is>
          <t>HoPI%</t>
        </is>
      </c>
      <c r="C100" s="5" t="n">
        <v>0.0007097232079489</v>
      </c>
      <c r="D100" s="5" t="n">
        <v>0.000445353144800502</v>
      </c>
      <c r="E100" s="5">
        <f>IFERROR(C100-D100,0)</f>
        <v/>
      </c>
    </row>
    <row r="101">
      <c r="A101" t="inlineStr">
        <is>
          <t>Columbus, OH</t>
        </is>
      </c>
      <c r="B101" t="inlineStr">
        <is>
          <t>Hispanic%</t>
        </is>
      </c>
      <c r="C101" s="5" t="n">
        <v>0.0340667139815472</v>
      </c>
      <c r="D101" s="5" t="n">
        <v>0.03894815684528027</v>
      </c>
      <c r="E101" s="5">
        <f>IFERROR(C101-D101,0)</f>
        <v/>
      </c>
    </row>
    <row r="102">
      <c r="A102" t="inlineStr">
        <is>
          <t>Louisville/Jefferson County, KY-IN</t>
        </is>
      </c>
      <c r="B102" t="inlineStr">
        <is>
          <t>Loans</t>
        </is>
      </c>
      <c r="C102" s="4" t="n">
        <v>1384</v>
      </c>
      <c r="D102" s="4" t="n">
        <v>39257</v>
      </c>
    </row>
    <row r="103">
      <c r="A103" t="inlineStr">
        <is>
          <t>Louisville/Jefferson County, KY-IN</t>
        </is>
      </c>
      <c r="B103" t="inlineStr">
        <is>
          <t>LMICT%</t>
        </is>
      </c>
      <c r="C103" s="5" t="n">
        <v>0.1524566473988439</v>
      </c>
      <c r="D103" s="5" t="n">
        <v>0.194181929337443</v>
      </c>
      <c r="E103" s="5">
        <f>IFERROR(C103-D103,0)</f>
        <v/>
      </c>
    </row>
    <row r="104">
      <c r="A104" t="inlineStr">
        <is>
          <t>Louisville/Jefferson County, KY-IN</t>
        </is>
      </c>
      <c r="B104" t="inlineStr">
        <is>
          <t>LMIB%</t>
        </is>
      </c>
      <c r="C104" s="5" t="n">
        <v>0.4031791907514451</v>
      </c>
      <c r="D104" s="5" t="n">
        <v>0.4263952925592888</v>
      </c>
      <c r="E104" s="5">
        <f>IFERROR(C104-D104,0)</f>
        <v/>
      </c>
    </row>
    <row r="105">
      <c r="A105" t="inlineStr">
        <is>
          <t>Louisville/Jefferson County, KY-IN</t>
        </is>
      </c>
      <c r="B105" t="inlineStr">
        <is>
          <t>LMIB$</t>
        </is>
      </c>
      <c r="C105" s="6" t="n">
        <v>86930000</v>
      </c>
      <c r="D105" s="6" t="n">
        <v>2715325000</v>
      </c>
    </row>
    <row r="106">
      <c r="A106" t="inlineStr">
        <is>
          <t>Louisville/Jefferson County, KY-IN</t>
        </is>
      </c>
      <c r="B106" t="inlineStr">
        <is>
          <t>MMCT%</t>
        </is>
      </c>
      <c r="C106" s="5" t="n">
        <v>0.05346820809248556</v>
      </c>
      <c r="D106" s="5" t="n">
        <v>0.06979646941946659</v>
      </c>
      <c r="E106" s="5">
        <f>IFERROR(C106-D106,0)</f>
        <v/>
      </c>
    </row>
    <row r="107">
      <c r="A107" t="inlineStr">
        <is>
          <t>Louisville/Jefferson County, KY-IN</t>
        </is>
      </c>
      <c r="B107" t="inlineStr">
        <is>
          <t>MINB%</t>
        </is>
      </c>
      <c r="C107" s="5" t="n">
        <v>0.1654624277456648</v>
      </c>
      <c r="D107" s="5" t="n">
        <v>0.2297424663117406</v>
      </c>
      <c r="E107" s="5">
        <f>IFERROR(C107-D107,0)</f>
        <v/>
      </c>
    </row>
    <row r="108">
      <c r="A108" t="inlineStr">
        <is>
          <t>Louisville/Jefferson County, KY-IN</t>
        </is>
      </c>
      <c r="B108" t="inlineStr">
        <is>
          <t>Asian%</t>
        </is>
      </c>
      <c r="C108" s="5" t="n">
        <v>0.0592485549132948</v>
      </c>
      <c r="D108" s="5" t="n">
        <v>0.03596810759864483</v>
      </c>
      <c r="E108" s="5">
        <f>IFERROR(C108-D108,0)</f>
        <v/>
      </c>
    </row>
    <row r="109">
      <c r="A109" t="inlineStr">
        <is>
          <t>Louisville/Jefferson County, KY-IN</t>
        </is>
      </c>
      <c r="B109" t="inlineStr">
        <is>
          <t>Black%</t>
        </is>
      </c>
      <c r="C109" s="5" t="n">
        <v>0.07947976878612717</v>
      </c>
      <c r="D109" s="5" t="n">
        <v>0.08915607407596098</v>
      </c>
      <c r="E109" s="5">
        <f>IFERROR(C109-D109,0)</f>
        <v/>
      </c>
    </row>
    <row r="110">
      <c r="A110" t="inlineStr">
        <is>
          <t>Louisville/Jefferson County, KY-IN</t>
        </is>
      </c>
      <c r="B110" t="inlineStr">
        <is>
          <t>Native American%</t>
        </is>
      </c>
      <c r="C110" s="5" t="n">
        <v>0.000722543352601156</v>
      </c>
      <c r="D110" s="5" t="n">
        <v>0.003566242963038439</v>
      </c>
      <c r="E110" s="5">
        <f>IFERROR(C110-D110,0)</f>
        <v/>
      </c>
    </row>
    <row r="111">
      <c r="A111" t="inlineStr">
        <is>
          <t>Louisville/Jefferson County, KY-IN</t>
        </is>
      </c>
      <c r="B111" t="inlineStr">
        <is>
          <t>HoPI%</t>
        </is>
      </c>
      <c r="C111" s="5" t="n">
        <v>0</v>
      </c>
      <c r="D111" s="5" t="n">
        <v>0.000942507068803016</v>
      </c>
      <c r="E111" s="5">
        <f>IFERROR(C111-D111,0)</f>
        <v/>
      </c>
    </row>
    <row r="112">
      <c r="A112" t="inlineStr">
        <is>
          <t>Louisville/Jefferson County, KY-IN</t>
        </is>
      </c>
      <c r="B112" t="inlineStr">
        <is>
          <t>Hispanic%</t>
        </is>
      </c>
      <c r="C112" s="5" t="n">
        <v>0.02601156069364162</v>
      </c>
      <c r="D112" s="5" t="n">
        <v>0.1001095346052933</v>
      </c>
      <c r="E112" s="5">
        <f>IFERROR(C112-D112,0)</f>
        <v/>
      </c>
    </row>
    <row r="113">
      <c r="A113" t="inlineStr">
        <is>
          <t>Detroit-Warren-Dearborn, MI</t>
        </is>
      </c>
      <c r="B113" t="inlineStr">
        <is>
          <t>Loans</t>
        </is>
      </c>
      <c r="C113" s="4" t="n">
        <v>1323</v>
      </c>
      <c r="D113" s="4" t="n">
        <v>52776</v>
      </c>
    </row>
    <row r="114">
      <c r="A114" t="inlineStr">
        <is>
          <t>Detroit-Warren-Dearborn, MI</t>
        </is>
      </c>
      <c r="B114" t="inlineStr">
        <is>
          <t>LMICT%</t>
        </is>
      </c>
      <c r="C114" s="5" t="n">
        <v>0.236583522297808</v>
      </c>
      <c r="D114" s="5" t="n">
        <v>0.2288540245566166</v>
      </c>
      <c r="E114" s="5">
        <f>IFERROR(C114-D114,0)</f>
        <v/>
      </c>
    </row>
    <row r="115">
      <c r="A115" t="inlineStr">
        <is>
          <t>Detroit-Warren-Dearborn, MI</t>
        </is>
      </c>
      <c r="B115" t="inlineStr">
        <is>
          <t>LMIB%</t>
        </is>
      </c>
      <c r="C115" s="5" t="n">
        <v>0.3839758125472411</v>
      </c>
      <c r="D115" s="5" t="n">
        <v>0.3883962407154767</v>
      </c>
      <c r="E115" s="5">
        <f>IFERROR(C115-D115,0)</f>
        <v/>
      </c>
    </row>
    <row r="116">
      <c r="A116" t="inlineStr">
        <is>
          <t>Detroit-Warren-Dearborn, MI</t>
        </is>
      </c>
      <c r="B116" t="inlineStr">
        <is>
          <t>LMIB$</t>
        </is>
      </c>
      <c r="C116" s="6" t="n">
        <v>79680000</v>
      </c>
      <c r="D116" s="6" t="n">
        <v>3420040000</v>
      </c>
    </row>
    <row r="117">
      <c r="A117" t="inlineStr">
        <is>
          <t>Detroit-Warren-Dearborn, MI</t>
        </is>
      </c>
      <c r="B117" t="inlineStr">
        <is>
          <t>MMCT%</t>
        </is>
      </c>
      <c r="C117" s="5" t="n">
        <v>0.1209372637944067</v>
      </c>
      <c r="D117" s="5" t="n">
        <v>0.1049719569501288</v>
      </c>
      <c r="E117" s="5">
        <f>IFERROR(C117-D117,0)</f>
        <v/>
      </c>
    </row>
    <row r="118">
      <c r="A118" t="inlineStr">
        <is>
          <t>Detroit-Warren-Dearborn, MI</t>
        </is>
      </c>
      <c r="B118" t="inlineStr">
        <is>
          <t>MINB%</t>
        </is>
      </c>
      <c r="C118" s="5" t="n">
        <v>0.1617535903250189</v>
      </c>
      <c r="D118" s="5" t="n">
        <v>0.2164999242079733</v>
      </c>
      <c r="E118" s="5">
        <f>IFERROR(C118-D118,0)</f>
        <v/>
      </c>
    </row>
    <row r="119">
      <c r="A119" t="inlineStr">
        <is>
          <t>Detroit-Warren-Dearborn, MI</t>
        </is>
      </c>
      <c r="B119" t="inlineStr">
        <is>
          <t>Asian%</t>
        </is>
      </c>
      <c r="C119" s="5" t="n">
        <v>0.05139833711262283</v>
      </c>
      <c r="D119" s="5" t="n">
        <v>0.07658784295892072</v>
      </c>
      <c r="E119" s="5">
        <f>IFERROR(C119-D119,0)</f>
        <v/>
      </c>
    </row>
    <row r="120">
      <c r="A120" t="inlineStr">
        <is>
          <t>Detroit-Warren-Dearborn, MI</t>
        </is>
      </c>
      <c r="B120" t="inlineStr">
        <is>
          <t>Black%</t>
        </is>
      </c>
      <c r="C120" s="5" t="n">
        <v>0.07634164777021919</v>
      </c>
      <c r="D120" s="5" t="n">
        <v>0.09752539032893739</v>
      </c>
      <c r="E120" s="5">
        <f>IFERROR(C120-D120,0)</f>
        <v/>
      </c>
    </row>
    <row r="121">
      <c r="A121" t="inlineStr">
        <is>
          <t>Detroit-Warren-Dearborn, MI</t>
        </is>
      </c>
      <c r="B121" t="inlineStr">
        <is>
          <t>Native American%</t>
        </is>
      </c>
      <c r="C121" s="5" t="n">
        <v>0.002267573696145125</v>
      </c>
      <c r="D121" s="5" t="n">
        <v>0.004111717447324541</v>
      </c>
      <c r="E121" s="5">
        <f>IFERROR(C121-D121,0)</f>
        <v/>
      </c>
    </row>
    <row r="122">
      <c r="A122" t="inlineStr">
        <is>
          <t>Detroit-Warren-Dearborn, MI</t>
        </is>
      </c>
      <c r="B122" t="inlineStr">
        <is>
          <t>HoPI%</t>
        </is>
      </c>
      <c r="C122" s="5" t="n">
        <v>0.0007558578987150416</v>
      </c>
      <c r="D122" s="5" t="n">
        <v>0.001042140366833409</v>
      </c>
      <c r="E122" s="5">
        <f>IFERROR(C122-D122,0)</f>
        <v/>
      </c>
    </row>
    <row r="123">
      <c r="A123" t="inlineStr">
        <is>
          <t>Detroit-Warren-Dearborn, MI</t>
        </is>
      </c>
      <c r="B123" t="inlineStr">
        <is>
          <t>Hispanic%</t>
        </is>
      </c>
      <c r="C123" s="5" t="n">
        <v>0.03099017384731671</v>
      </c>
      <c r="D123" s="5" t="n">
        <v>0.03723283310595726</v>
      </c>
      <c r="E123" s="5">
        <f>IFERROR(C123-D123,0)</f>
        <v/>
      </c>
    </row>
    <row r="124">
      <c r="A124" t="inlineStr">
        <is>
          <t>Indianapolis-Carmel-Anderson, IN</t>
        </is>
      </c>
      <c r="B124" t="inlineStr">
        <is>
          <t>Loans</t>
        </is>
      </c>
      <c r="C124" s="4" t="n">
        <v>1090</v>
      </c>
      <c r="D124" s="4" t="n">
        <v>44380</v>
      </c>
    </row>
    <row r="125">
      <c r="A125" t="inlineStr">
        <is>
          <t>Indianapolis-Carmel-Anderson, IN</t>
        </is>
      </c>
      <c r="B125" t="inlineStr">
        <is>
          <t>LMICT%</t>
        </is>
      </c>
      <c r="C125" s="5" t="n">
        <v>0.2119266055045871</v>
      </c>
      <c r="D125" s="5" t="n">
        <v>0.2123253717890942</v>
      </c>
      <c r="E125" s="5">
        <f>IFERROR(C125-D125,0)</f>
        <v/>
      </c>
    </row>
    <row r="126">
      <c r="A126" t="inlineStr">
        <is>
          <t>Indianapolis-Carmel-Anderson, IN</t>
        </is>
      </c>
      <c r="B126" t="inlineStr">
        <is>
          <t>LMIB%</t>
        </is>
      </c>
      <c r="C126" s="5" t="n">
        <v>0.4055045871559633</v>
      </c>
      <c r="D126" s="5" t="n">
        <v>0.4034249662009914</v>
      </c>
      <c r="E126" s="5">
        <f>IFERROR(C126-D126,0)</f>
        <v/>
      </c>
    </row>
    <row r="127">
      <c r="A127" t="inlineStr">
        <is>
          <t>Indianapolis-Carmel-Anderson, IN</t>
        </is>
      </c>
      <c r="B127" t="inlineStr">
        <is>
          <t>LMIB$</t>
        </is>
      </c>
      <c r="C127" s="6" t="n">
        <v>67890000</v>
      </c>
      <c r="D127" s="6" t="n">
        <v>3201900000</v>
      </c>
    </row>
    <row r="128">
      <c r="A128" t="inlineStr">
        <is>
          <t>Indianapolis-Carmel-Anderson, IN</t>
        </is>
      </c>
      <c r="B128" t="inlineStr">
        <is>
          <t>MMCT%</t>
        </is>
      </c>
      <c r="C128" s="5" t="n">
        <v>0.07889908256880734</v>
      </c>
      <c r="D128" s="5" t="n">
        <v>0.1113339342045967</v>
      </c>
      <c r="E128" s="5">
        <f>IFERROR(C128-D128,0)</f>
        <v/>
      </c>
    </row>
    <row r="129">
      <c r="A129" t="inlineStr">
        <is>
          <t>Indianapolis-Carmel-Anderson, IN</t>
        </is>
      </c>
      <c r="B129" t="inlineStr">
        <is>
          <t>MINB%</t>
        </is>
      </c>
      <c r="C129" s="5" t="n">
        <v>0.1678899082568807</v>
      </c>
      <c r="D129" s="5" t="n">
        <v>0.2616719242902208</v>
      </c>
      <c r="E129" s="5">
        <f>IFERROR(C129-D129,0)</f>
        <v/>
      </c>
    </row>
    <row r="130">
      <c r="A130" t="inlineStr">
        <is>
          <t>Indianapolis-Carmel-Anderson, IN</t>
        </is>
      </c>
      <c r="B130" t="inlineStr">
        <is>
          <t>Asian%</t>
        </is>
      </c>
      <c r="C130" s="5" t="n">
        <v>0.04403669724770642</v>
      </c>
      <c r="D130" s="5" t="n">
        <v>0.08593961243803515</v>
      </c>
      <c r="E130" s="5">
        <f>IFERROR(C130-D130,0)</f>
        <v/>
      </c>
    </row>
    <row r="131">
      <c r="A131" t="inlineStr">
        <is>
          <t>Indianapolis-Carmel-Anderson, IN</t>
        </is>
      </c>
      <c r="B131" t="inlineStr">
        <is>
          <t>Black%</t>
        </is>
      </c>
      <c r="C131" s="5" t="n">
        <v>0.05963302752293578</v>
      </c>
      <c r="D131" s="5" t="n">
        <v>0.09932401982875168</v>
      </c>
      <c r="E131" s="5">
        <f>IFERROR(C131-D131,0)</f>
        <v/>
      </c>
    </row>
    <row r="132">
      <c r="A132" t="inlineStr">
        <is>
          <t>Indianapolis-Carmel-Anderson, IN</t>
        </is>
      </c>
      <c r="B132" t="inlineStr">
        <is>
          <t>Native American%</t>
        </is>
      </c>
      <c r="C132" s="5" t="n">
        <v>0.001834862385321101</v>
      </c>
      <c r="D132" s="5" t="n">
        <v>0.00270392068499324</v>
      </c>
      <c r="E132" s="5">
        <f>IFERROR(C132-D132,0)</f>
        <v/>
      </c>
    </row>
    <row r="133">
      <c r="A133" t="inlineStr">
        <is>
          <t>Indianapolis-Carmel-Anderson, IN</t>
        </is>
      </c>
      <c r="B133" t="inlineStr">
        <is>
          <t>HoPI%</t>
        </is>
      </c>
      <c r="C133" s="5" t="n">
        <v>0.001834862385321101</v>
      </c>
      <c r="D133" s="5" t="n">
        <v>0.0008562415502478594</v>
      </c>
      <c r="E133" s="5">
        <f>IFERROR(C133-D133,0)</f>
        <v/>
      </c>
    </row>
    <row r="134">
      <c r="A134" t="inlineStr">
        <is>
          <t>Indianapolis-Carmel-Anderson, IN</t>
        </is>
      </c>
      <c r="B134" t="inlineStr">
        <is>
          <t>Hispanic%</t>
        </is>
      </c>
      <c r="C134" s="5" t="n">
        <v>0.06055045871559633</v>
      </c>
      <c r="D134" s="5" t="n">
        <v>0.07284812978819288</v>
      </c>
      <c r="E134" s="5">
        <f>IFERROR(C134-D134,0)</f>
        <v/>
      </c>
    </row>
    <row r="135">
      <c r="A135" t="inlineStr">
        <is>
          <t>Miami-Fort Lauderdale-Pompano Beach, FL</t>
        </is>
      </c>
      <c r="B135" t="inlineStr">
        <is>
          <t>Loans</t>
        </is>
      </c>
      <c r="C135" s="4" t="n">
        <v>947</v>
      </c>
      <c r="D135" s="4" t="n">
        <v>72010</v>
      </c>
    </row>
    <row r="136">
      <c r="A136" t="inlineStr">
        <is>
          <t>Miami-Fort Lauderdale-Pompano Beach, FL</t>
        </is>
      </c>
      <c r="B136" t="inlineStr">
        <is>
          <t>LMICT%</t>
        </is>
      </c>
      <c r="C136" s="5" t="n">
        <v>0.1816261879619852</v>
      </c>
      <c r="D136" s="5" t="n">
        <v>0.2402582974586863</v>
      </c>
      <c r="E136" s="5">
        <f>IFERROR(C136-D136,0)</f>
        <v/>
      </c>
    </row>
    <row r="137">
      <c r="A137" t="inlineStr">
        <is>
          <t>Miami-Fort Lauderdale-Pompano Beach, FL</t>
        </is>
      </c>
      <c r="B137" t="inlineStr">
        <is>
          <t>LMIB%</t>
        </is>
      </c>
      <c r="C137" s="5" t="n">
        <v>0.1309398099260824</v>
      </c>
      <c r="D137" s="5" t="n">
        <v>0.1286210248576587</v>
      </c>
      <c r="E137" s="5">
        <f>IFERROR(C137-D137,0)</f>
        <v/>
      </c>
    </row>
    <row r="138">
      <c r="A138" t="inlineStr">
        <is>
          <t>Miami-Fort Lauderdale-Pompano Beach, FL</t>
        </is>
      </c>
      <c r="B138" t="inlineStr">
        <is>
          <t>LMIB$</t>
        </is>
      </c>
      <c r="C138" s="6" t="n">
        <v>27830000</v>
      </c>
      <c r="D138" s="6" t="n">
        <v>1831430000</v>
      </c>
    </row>
    <row r="139">
      <c r="A139" t="inlineStr">
        <is>
          <t>Miami-Fort Lauderdale-Pompano Beach, FL</t>
        </is>
      </c>
      <c r="B139" t="inlineStr">
        <is>
          <t>MMCT%</t>
        </is>
      </c>
      <c r="C139" s="5" t="n">
        <v>0.3959873284054909</v>
      </c>
      <c r="D139" s="5" t="n">
        <v>0.6449937508679349</v>
      </c>
      <c r="E139" s="5">
        <f>IFERROR(C139-D139,0)</f>
        <v/>
      </c>
    </row>
    <row r="140">
      <c r="A140" t="inlineStr">
        <is>
          <t>Miami-Fort Lauderdale-Pompano Beach, FL</t>
        </is>
      </c>
      <c r="B140" t="inlineStr">
        <is>
          <t>MINB%</t>
        </is>
      </c>
      <c r="C140" s="5" t="n">
        <v>0.3167898627243928</v>
      </c>
      <c r="D140" s="5" t="n">
        <v>0.568226635189557</v>
      </c>
      <c r="E140" s="5">
        <f>IFERROR(C140-D140,0)</f>
        <v/>
      </c>
    </row>
    <row r="141">
      <c r="A141" t="inlineStr">
        <is>
          <t>Miami-Fort Lauderdale-Pompano Beach, FL</t>
        </is>
      </c>
      <c r="B141" t="inlineStr">
        <is>
          <t>Asian%</t>
        </is>
      </c>
      <c r="C141" s="5" t="n">
        <v>0.03273495248152059</v>
      </c>
      <c r="D141" s="5" t="n">
        <v>0.02878766837939175</v>
      </c>
      <c r="E141" s="5">
        <f>IFERROR(C141-D141,0)</f>
        <v/>
      </c>
    </row>
    <row r="142">
      <c r="A142" t="inlineStr">
        <is>
          <t>Miami-Fort Lauderdale-Pompano Beach, FL</t>
        </is>
      </c>
      <c r="B142" t="inlineStr">
        <is>
          <t>Black%</t>
        </is>
      </c>
      <c r="C142" s="5" t="n">
        <v>0.04751847940865892</v>
      </c>
      <c r="D142" s="5" t="n">
        <v>0.1059436189418136</v>
      </c>
      <c r="E142" s="5">
        <f>IFERROR(C142-D142,0)</f>
        <v/>
      </c>
    </row>
    <row r="143">
      <c r="A143" t="inlineStr">
        <is>
          <t>Miami-Fort Lauderdale-Pompano Beach, FL</t>
        </is>
      </c>
      <c r="B143" t="inlineStr">
        <is>
          <t>Native American%</t>
        </is>
      </c>
      <c r="C143" s="5" t="n">
        <v>0.001055966209081309</v>
      </c>
      <c r="D143" s="5" t="n">
        <v>0.001666435217330926</v>
      </c>
      <c r="E143" s="5">
        <f>IFERROR(C143-D143,0)</f>
        <v/>
      </c>
    </row>
    <row r="144">
      <c r="A144" t="inlineStr">
        <is>
          <t>Miami-Fort Lauderdale-Pompano Beach, FL</t>
        </is>
      </c>
      <c r="B144" t="inlineStr">
        <is>
          <t>HoPI%</t>
        </is>
      </c>
      <c r="C144" s="5" t="n">
        <v>0.001055966209081309</v>
      </c>
      <c r="D144" s="5" t="n">
        <v>0.0008193306485210387</v>
      </c>
      <c r="E144" s="5">
        <f>IFERROR(C144-D144,0)</f>
        <v/>
      </c>
    </row>
    <row r="145">
      <c r="A145" t="inlineStr">
        <is>
          <t>Miami-Fort Lauderdale-Pompano Beach, FL</t>
        </is>
      </c>
      <c r="B145" t="inlineStr">
        <is>
          <t>Hispanic%</t>
        </is>
      </c>
      <c r="C145" s="5" t="n">
        <v>0.2344244984160507</v>
      </c>
      <c r="D145" s="5" t="n">
        <v>0.4310095820024997</v>
      </c>
      <c r="E145" s="5">
        <f>IFERROR(C145-D145,0)</f>
        <v/>
      </c>
    </row>
    <row r="146">
      <c r="A146" t="inlineStr">
        <is>
          <t>Baltimore-Columbia-Towson, MD</t>
        </is>
      </c>
      <c r="B146" t="inlineStr">
        <is>
          <t>Loans</t>
        </is>
      </c>
      <c r="C146" s="4" t="n">
        <v>931</v>
      </c>
      <c r="D146" s="4" t="n">
        <v>53659</v>
      </c>
    </row>
    <row r="147">
      <c r="A147" t="inlineStr">
        <is>
          <t>Baltimore-Columbia-Towson, MD</t>
        </is>
      </c>
      <c r="B147" t="inlineStr">
        <is>
          <t>LMICT%</t>
        </is>
      </c>
      <c r="C147" s="5" t="n">
        <v>0.2287862513426423</v>
      </c>
      <c r="D147" s="5" t="n">
        <v>0.2164035856053971</v>
      </c>
      <c r="E147" s="5">
        <f>IFERROR(C147-D147,0)</f>
        <v/>
      </c>
    </row>
    <row r="148">
      <c r="A148" t="inlineStr">
        <is>
          <t>Baltimore-Columbia-Towson, MD</t>
        </is>
      </c>
      <c r="B148" t="inlineStr">
        <is>
          <t>LMIB%</t>
        </is>
      </c>
      <c r="C148" s="5" t="n">
        <v>0.4103114930182599</v>
      </c>
      <c r="D148" s="5" t="n">
        <v>0.4001938165079483</v>
      </c>
      <c r="E148" s="5">
        <f>IFERROR(C148-D148,0)</f>
        <v/>
      </c>
    </row>
    <row r="149">
      <c r="A149" t="inlineStr">
        <is>
          <t>Baltimore-Columbia-Towson, MD</t>
        </is>
      </c>
      <c r="B149" t="inlineStr">
        <is>
          <t>LMIB$</t>
        </is>
      </c>
      <c r="C149" s="6" t="n">
        <v>84360000</v>
      </c>
      <c r="D149" s="6" t="n">
        <v>5354190000</v>
      </c>
    </row>
    <row r="150">
      <c r="A150" t="inlineStr">
        <is>
          <t>Baltimore-Columbia-Towson, MD</t>
        </is>
      </c>
      <c r="B150" t="inlineStr">
        <is>
          <t>MMCT%</t>
        </is>
      </c>
      <c r="C150" s="5" t="n">
        <v>0.2330827067669173</v>
      </c>
      <c r="D150" s="5" t="n">
        <v>0.2969678898227697</v>
      </c>
      <c r="E150" s="5">
        <f>IFERROR(C150-D150,0)</f>
        <v/>
      </c>
    </row>
    <row r="151">
      <c r="A151" t="inlineStr">
        <is>
          <t>Baltimore-Columbia-Towson, MD</t>
        </is>
      </c>
      <c r="B151" t="inlineStr">
        <is>
          <t>MINB%</t>
        </is>
      </c>
      <c r="C151" s="5" t="n">
        <v>0.2567132116004296</v>
      </c>
      <c r="D151" s="5" t="n">
        <v>0.3797312659572485</v>
      </c>
      <c r="E151" s="5">
        <f>IFERROR(C151-D151,0)</f>
        <v/>
      </c>
    </row>
    <row r="152">
      <c r="A152" t="inlineStr">
        <is>
          <t>Baltimore-Columbia-Towson, MD</t>
        </is>
      </c>
      <c r="B152" t="inlineStr">
        <is>
          <t>Asian%</t>
        </is>
      </c>
      <c r="C152" s="5" t="n">
        <v>0.06874328678839957</v>
      </c>
      <c r="D152" s="5" t="n">
        <v>0.07728433254440076</v>
      </c>
      <c r="E152" s="5">
        <f>IFERROR(C152-D152,0)</f>
        <v/>
      </c>
    </row>
    <row r="153">
      <c r="A153" t="inlineStr">
        <is>
          <t>Baltimore-Columbia-Towson, MD</t>
        </is>
      </c>
      <c r="B153" t="inlineStr">
        <is>
          <t>Black%</t>
        </is>
      </c>
      <c r="C153" s="5" t="n">
        <v>0.1439312567132116</v>
      </c>
      <c r="D153" s="5" t="n">
        <v>0.2093777371922697</v>
      </c>
      <c r="E153" s="5">
        <f>IFERROR(C153-D153,0)</f>
        <v/>
      </c>
    </row>
    <row r="154">
      <c r="A154" t="inlineStr">
        <is>
          <t>Baltimore-Columbia-Towson, MD</t>
        </is>
      </c>
      <c r="B154" t="inlineStr">
        <is>
          <t>Native American%</t>
        </is>
      </c>
      <c r="C154" s="5" t="n">
        <v>0.004296455424274973</v>
      </c>
      <c r="D154" s="5" t="n">
        <v>0.004547233455711065</v>
      </c>
      <c r="E154" s="5">
        <f>IFERROR(C154-D154,0)</f>
        <v/>
      </c>
    </row>
    <row r="155">
      <c r="A155" t="inlineStr">
        <is>
          <t>Baltimore-Columbia-Towson, MD</t>
        </is>
      </c>
      <c r="B155" t="inlineStr">
        <is>
          <t>HoPI%</t>
        </is>
      </c>
      <c r="C155" s="5" t="n">
        <v>0.001074113856068743</v>
      </c>
      <c r="D155" s="5" t="n">
        <v>0.001006354945116383</v>
      </c>
      <c r="E155" s="5">
        <f>IFERROR(C155-D155,0)</f>
        <v/>
      </c>
    </row>
    <row r="156">
      <c r="A156" t="inlineStr">
        <is>
          <t>Baltimore-Columbia-Towson, MD</t>
        </is>
      </c>
      <c r="B156" t="inlineStr">
        <is>
          <t>Hispanic%</t>
        </is>
      </c>
      <c r="C156" s="5" t="n">
        <v>0.03866809881847476</v>
      </c>
      <c r="D156" s="5" t="n">
        <v>0.08751560781975065</v>
      </c>
      <c r="E156" s="5">
        <f>IFERROR(C156-D156,0)</f>
        <v/>
      </c>
    </row>
    <row r="157">
      <c r="A157" t="inlineStr">
        <is>
          <t>Dallas-Fort Worth-Arlington, TX</t>
        </is>
      </c>
      <c r="B157" t="inlineStr">
        <is>
          <t>Loans</t>
        </is>
      </c>
      <c r="C157" s="4" t="n">
        <v>717</v>
      </c>
      <c r="D157" s="4" t="n">
        <v>77727</v>
      </c>
    </row>
    <row r="158">
      <c r="A158" t="inlineStr">
        <is>
          <t>Dallas-Fort Worth-Arlington, TX</t>
        </is>
      </c>
      <c r="B158" t="inlineStr">
        <is>
          <t>LMICT%</t>
        </is>
      </c>
      <c r="C158" s="5" t="n">
        <v>0.1366806136680614</v>
      </c>
      <c r="D158" s="5" t="n">
        <v>0.1684228131794615</v>
      </c>
      <c r="E158" s="5">
        <f>IFERROR(C158-D158,0)</f>
        <v/>
      </c>
    </row>
    <row r="159">
      <c r="A159" t="inlineStr">
        <is>
          <t>Dallas-Fort Worth-Arlington, TX</t>
        </is>
      </c>
      <c r="B159" t="inlineStr">
        <is>
          <t>LMIB%</t>
        </is>
      </c>
      <c r="C159" s="5" t="n">
        <v>0.1269177126917713</v>
      </c>
      <c r="D159" s="5" t="n">
        <v>0.1637140247275722</v>
      </c>
      <c r="E159" s="5">
        <f>IFERROR(C159-D159,0)</f>
        <v/>
      </c>
    </row>
    <row r="160">
      <c r="A160" t="inlineStr">
        <is>
          <t>Dallas-Fort Worth-Arlington, TX</t>
        </is>
      </c>
      <c r="B160" t="inlineStr">
        <is>
          <t>LMIB$</t>
        </is>
      </c>
      <c r="C160" s="6" t="n">
        <v>27185000</v>
      </c>
      <c r="D160" s="6" t="n">
        <v>3009855000</v>
      </c>
    </row>
    <row r="161">
      <c r="A161" t="inlineStr">
        <is>
          <t>Dallas-Fort Worth-Arlington, TX</t>
        </is>
      </c>
      <c r="B161" t="inlineStr">
        <is>
          <t>MMCT%</t>
        </is>
      </c>
      <c r="C161" s="5" t="n">
        <v>0.3458856345885635</v>
      </c>
      <c r="D161" s="5" t="n">
        <v>0.3515509411144133</v>
      </c>
      <c r="E161" s="5">
        <f>IFERROR(C161-D161,0)</f>
        <v/>
      </c>
    </row>
    <row r="162">
      <c r="A162" t="inlineStr">
        <is>
          <t>Dallas-Fort Worth-Arlington, TX</t>
        </is>
      </c>
      <c r="B162" t="inlineStr">
        <is>
          <t>MINB%</t>
        </is>
      </c>
      <c r="C162" s="5" t="n">
        <v>0.3765690376569037</v>
      </c>
      <c r="D162" s="5" t="n">
        <v>0.4270845394779163</v>
      </c>
      <c r="E162" s="5">
        <f>IFERROR(C162-D162,0)</f>
        <v/>
      </c>
    </row>
    <row r="163">
      <c r="A163" t="inlineStr">
        <is>
          <t>Dallas-Fort Worth-Arlington, TX</t>
        </is>
      </c>
      <c r="B163" t="inlineStr">
        <is>
          <t>Asian%</t>
        </is>
      </c>
      <c r="C163" s="5" t="n">
        <v>0.195258019525802</v>
      </c>
      <c r="D163" s="5" t="n">
        <v>0.1533701287840776</v>
      </c>
      <c r="E163" s="5">
        <f>IFERROR(C163-D163,0)</f>
        <v/>
      </c>
    </row>
    <row r="164">
      <c r="A164" t="inlineStr">
        <is>
          <t>Dallas-Fort Worth-Arlington, TX</t>
        </is>
      </c>
      <c r="B164" t="inlineStr">
        <is>
          <t>Black%</t>
        </is>
      </c>
      <c r="C164" s="5" t="n">
        <v>0.06555090655509066</v>
      </c>
      <c r="D164" s="5" t="n">
        <v>0.1018307666576608</v>
      </c>
      <c r="E164" s="5">
        <f>IFERROR(C164-D164,0)</f>
        <v/>
      </c>
    </row>
    <row r="165">
      <c r="A165" t="inlineStr">
        <is>
          <t>Dallas-Fort Worth-Arlington, TX</t>
        </is>
      </c>
      <c r="B165" t="inlineStr">
        <is>
          <t>Native American%</t>
        </is>
      </c>
      <c r="C165" s="5" t="n">
        <v>0.005578800557880056</v>
      </c>
      <c r="D165" s="5" t="n">
        <v>0.00532633447836659</v>
      </c>
      <c r="E165" s="5">
        <f>IFERROR(C165-D165,0)</f>
        <v/>
      </c>
    </row>
    <row r="166">
      <c r="A166" t="inlineStr">
        <is>
          <t>Dallas-Fort Worth-Arlington, TX</t>
        </is>
      </c>
      <c r="B166" t="inlineStr">
        <is>
          <t>HoPI%</t>
        </is>
      </c>
      <c r="C166" s="5" t="n">
        <v>0</v>
      </c>
      <c r="D166" s="5" t="n">
        <v>0.001235092052954572</v>
      </c>
      <c r="E166" s="5">
        <f>IFERROR(C166-D166,0)</f>
        <v/>
      </c>
    </row>
    <row r="167">
      <c r="A167" t="inlineStr">
        <is>
          <t>Dallas-Fort Worth-Arlington, TX</t>
        </is>
      </c>
      <c r="B167" t="inlineStr">
        <is>
          <t>Hispanic%</t>
        </is>
      </c>
      <c r="C167" s="5" t="n">
        <v>0.1101813110181311</v>
      </c>
      <c r="D167" s="5" t="n">
        <v>0.1653222175048567</v>
      </c>
      <c r="E167" s="5">
        <f>IFERROR(C167-D167,0)</f>
        <v/>
      </c>
    </row>
    <row r="168">
      <c r="A168" t="inlineStr">
        <is>
          <t>Houston-The Woodlands-Sugar Land, TX</t>
        </is>
      </c>
      <c r="B168" t="inlineStr">
        <is>
          <t>Loans</t>
        </is>
      </c>
      <c r="C168" s="4" t="n">
        <v>708</v>
      </c>
      <c r="D168" s="4" t="n">
        <v>59308</v>
      </c>
    </row>
    <row r="169">
      <c r="A169" t="inlineStr">
        <is>
          <t>Houston-The Woodlands-Sugar Land, TX</t>
        </is>
      </c>
      <c r="B169" t="inlineStr">
        <is>
          <t>LMICT%</t>
        </is>
      </c>
      <c r="C169" s="5" t="n">
        <v>0.1186440677966102</v>
      </c>
      <c r="D169" s="5" t="n">
        <v>0.1759121872260066</v>
      </c>
      <c r="E169" s="5">
        <f>IFERROR(C169-D169,0)</f>
        <v/>
      </c>
    </row>
    <row r="170">
      <c r="A170" t="inlineStr">
        <is>
          <t>Houston-The Woodlands-Sugar Land, TX</t>
        </is>
      </c>
      <c r="B170" t="inlineStr">
        <is>
          <t>LMIB%</t>
        </is>
      </c>
      <c r="C170" s="5" t="n">
        <v>0.07909604519774012</v>
      </c>
      <c r="D170" s="5" t="n">
        <v>0.1792844135698388</v>
      </c>
      <c r="E170" s="5">
        <f>IFERROR(C170-D170,0)</f>
        <v/>
      </c>
    </row>
    <row r="171">
      <c r="A171" t="inlineStr">
        <is>
          <t>Houston-The Woodlands-Sugar Land, TX</t>
        </is>
      </c>
      <c r="B171" t="inlineStr">
        <is>
          <t>LMIB$</t>
        </is>
      </c>
      <c r="C171" s="6" t="n">
        <v>9990000</v>
      </c>
      <c r="D171" s="6" t="n">
        <v>2205255000</v>
      </c>
    </row>
    <row r="172">
      <c r="A172" t="inlineStr">
        <is>
          <t>Houston-The Woodlands-Sugar Land, TX</t>
        </is>
      </c>
      <c r="B172" t="inlineStr">
        <is>
          <t>MMCT%</t>
        </is>
      </c>
      <c r="C172" s="5" t="n">
        <v>0.4180790960451977</v>
      </c>
      <c r="D172" s="5" t="n">
        <v>0.5037263101099346</v>
      </c>
      <c r="E172" s="5">
        <f>IFERROR(C172-D172,0)</f>
        <v/>
      </c>
    </row>
    <row r="173">
      <c r="A173" t="inlineStr">
        <is>
          <t>Houston-The Woodlands-Sugar Land, TX</t>
        </is>
      </c>
      <c r="B173" t="inlineStr">
        <is>
          <t>MINB%</t>
        </is>
      </c>
      <c r="C173" s="5" t="n">
        <v>0.3347457627118644</v>
      </c>
      <c r="D173" s="5" t="n">
        <v>0.4820091724556552</v>
      </c>
      <c r="E173" s="5">
        <f>IFERROR(C173-D173,0)</f>
        <v/>
      </c>
    </row>
    <row r="174">
      <c r="A174" t="inlineStr">
        <is>
          <t>Houston-The Woodlands-Sugar Land, TX</t>
        </is>
      </c>
      <c r="B174" t="inlineStr">
        <is>
          <t>Asian%</t>
        </is>
      </c>
      <c r="C174" s="5" t="n">
        <v>0.09887005649717513</v>
      </c>
      <c r="D174" s="5" t="n">
        <v>0.1165104201794024</v>
      </c>
      <c r="E174" s="5">
        <f>IFERROR(C174-D174,0)</f>
        <v/>
      </c>
    </row>
    <row r="175">
      <c r="A175" t="inlineStr">
        <is>
          <t>Houston-The Woodlands-Sugar Land, TX</t>
        </is>
      </c>
      <c r="B175" t="inlineStr">
        <is>
          <t>Black%</t>
        </is>
      </c>
      <c r="C175" s="5" t="n">
        <v>0.05508474576271186</v>
      </c>
      <c r="D175" s="5" t="n">
        <v>0.1131550549672894</v>
      </c>
      <c r="E175" s="5">
        <f>IFERROR(C175-D175,0)</f>
        <v/>
      </c>
    </row>
    <row r="176">
      <c r="A176" t="inlineStr">
        <is>
          <t>Houston-The Woodlands-Sugar Land, TX</t>
        </is>
      </c>
      <c r="B176" t="inlineStr">
        <is>
          <t>Native American%</t>
        </is>
      </c>
      <c r="C176" s="5" t="n">
        <v>0</v>
      </c>
      <c r="D176" s="5" t="n">
        <v>0.005007756120590814</v>
      </c>
      <c r="E176" s="5">
        <f>IFERROR(C176-D176,0)</f>
        <v/>
      </c>
    </row>
    <row r="177">
      <c r="A177" t="inlineStr">
        <is>
          <t>Houston-The Woodlands-Sugar Land, TX</t>
        </is>
      </c>
      <c r="B177" t="inlineStr">
        <is>
          <t>HoPI%</t>
        </is>
      </c>
      <c r="C177" s="5" t="n">
        <v>0</v>
      </c>
      <c r="D177" s="5" t="n">
        <v>0.001652390908477777</v>
      </c>
      <c r="E177" s="5">
        <f>IFERROR(C177-D177,0)</f>
        <v/>
      </c>
    </row>
    <row r="178">
      <c r="A178" t="inlineStr">
        <is>
          <t>Houston-The Woodlands-Sugar Land, TX</t>
        </is>
      </c>
      <c r="B178" t="inlineStr">
        <is>
          <t>Hispanic%</t>
        </is>
      </c>
      <c r="C178" s="5" t="n">
        <v>0.1807909604519774</v>
      </c>
      <c r="D178" s="5" t="n">
        <v>0.2456835502798947</v>
      </c>
      <c r="E178" s="5">
        <f>IFERROR(C178-D178,0)</f>
        <v/>
      </c>
    </row>
    <row r="179">
      <c r="A179" t="inlineStr">
        <is>
          <t>Harrisburg-Carlisle, PA</t>
        </is>
      </c>
      <c r="B179" t="inlineStr">
        <is>
          <t>Loans</t>
        </is>
      </c>
      <c r="C179" s="4" t="n">
        <v>274</v>
      </c>
      <c r="D179" s="4" t="n">
        <v>9847</v>
      </c>
    </row>
    <row r="180">
      <c r="A180" t="inlineStr">
        <is>
          <t>Harrisburg-Carlisle, PA</t>
        </is>
      </c>
      <c r="B180" t="inlineStr">
        <is>
          <t>LMICT%</t>
        </is>
      </c>
      <c r="C180" s="5" t="n">
        <v>0.1277372262773723</v>
      </c>
      <c r="D180" s="5" t="n">
        <v>0.1707118919467858</v>
      </c>
      <c r="E180" s="5">
        <f>IFERROR(C180-D180,0)</f>
        <v/>
      </c>
    </row>
    <row r="181">
      <c r="A181" t="inlineStr">
        <is>
          <t>Harrisburg-Carlisle, PA</t>
        </is>
      </c>
      <c r="B181" t="inlineStr">
        <is>
          <t>LMIB%</t>
        </is>
      </c>
      <c r="C181" s="5" t="n">
        <v>0.3613138686131387</v>
      </c>
      <c r="D181" s="5" t="n">
        <v>0.4284553671168884</v>
      </c>
      <c r="E181" s="5">
        <f>IFERROR(C181-D181,0)</f>
        <v/>
      </c>
    </row>
    <row r="182">
      <c r="A182" t="inlineStr">
        <is>
          <t>Harrisburg-Carlisle, PA</t>
        </is>
      </c>
      <c r="B182" t="inlineStr">
        <is>
          <t>LMIB$</t>
        </is>
      </c>
      <c r="C182" s="6" t="n">
        <v>15395000</v>
      </c>
      <c r="D182" s="6" t="n">
        <v>719705000</v>
      </c>
    </row>
    <row r="183">
      <c r="A183" t="inlineStr">
        <is>
          <t>Harrisburg-Carlisle, PA</t>
        </is>
      </c>
      <c r="B183" t="inlineStr">
        <is>
          <t>MMCT%</t>
        </is>
      </c>
      <c r="C183" s="5" t="n">
        <v>0.09124087591240876</v>
      </c>
      <c r="D183" s="5" t="n">
        <v>0.09485122372296133</v>
      </c>
      <c r="E183" s="5">
        <f>IFERROR(C183-D183,0)</f>
        <v/>
      </c>
    </row>
    <row r="184">
      <c r="A184" t="inlineStr">
        <is>
          <t>Harrisburg-Carlisle, PA</t>
        </is>
      </c>
      <c r="B184" t="inlineStr">
        <is>
          <t>MINB%</t>
        </is>
      </c>
      <c r="C184" s="5" t="n">
        <v>0.1715328467153285</v>
      </c>
      <c r="D184" s="5" t="n">
        <v>0.2207779018990556</v>
      </c>
      <c r="E184" s="5">
        <f>IFERROR(C184-D184,0)</f>
        <v/>
      </c>
    </row>
    <row r="185">
      <c r="A185" t="inlineStr">
        <is>
          <t>Harrisburg-Carlisle, PA</t>
        </is>
      </c>
      <c r="B185" t="inlineStr">
        <is>
          <t>Asian%</t>
        </is>
      </c>
      <c r="C185" s="5" t="n">
        <v>0.06934306569343066</v>
      </c>
      <c r="D185" s="5" t="n">
        <v>0.09251548695034022</v>
      </c>
      <c r="E185" s="5">
        <f>IFERROR(C185-D185,0)</f>
        <v/>
      </c>
    </row>
    <row r="186">
      <c r="A186" t="inlineStr">
        <is>
          <t>Harrisburg-Carlisle, PA</t>
        </is>
      </c>
      <c r="B186" t="inlineStr">
        <is>
          <t>Black%</t>
        </is>
      </c>
      <c r="C186" s="5" t="n">
        <v>0.0364963503649635</v>
      </c>
      <c r="D186" s="5" t="n">
        <v>0.06621305981517213</v>
      </c>
      <c r="E186" s="5">
        <f>IFERROR(C186-D186,0)</f>
        <v/>
      </c>
    </row>
    <row r="187">
      <c r="A187" t="inlineStr">
        <is>
          <t>Harrisburg-Carlisle, PA</t>
        </is>
      </c>
      <c r="B187" t="inlineStr">
        <is>
          <t>Native American%</t>
        </is>
      </c>
      <c r="C187" s="5" t="n">
        <v>0.00364963503649635</v>
      </c>
      <c r="D187" s="5" t="n">
        <v>0.002640398090789073</v>
      </c>
      <c r="E187" s="5">
        <f>IFERROR(C187-D187,0)</f>
        <v/>
      </c>
    </row>
    <row r="188">
      <c r="A188" t="inlineStr">
        <is>
          <t>Harrisburg-Carlisle, PA</t>
        </is>
      </c>
      <c r="B188" t="inlineStr">
        <is>
          <t>HoPI%</t>
        </is>
      </c>
      <c r="C188" s="5" t="n">
        <v>0</v>
      </c>
      <c r="D188" s="5" t="n">
        <v>0.001117091499949223</v>
      </c>
      <c r="E188" s="5">
        <f>IFERROR(C188-D188,0)</f>
        <v/>
      </c>
    </row>
    <row r="189">
      <c r="A189" t="inlineStr">
        <is>
          <t>Harrisburg-Carlisle, PA</t>
        </is>
      </c>
      <c r="B189" t="inlineStr">
        <is>
          <t>Hispanic%</t>
        </is>
      </c>
      <c r="C189" s="5" t="n">
        <v>0.06204379562043796</v>
      </c>
      <c r="D189" s="5" t="n">
        <v>0.05829186554280492</v>
      </c>
      <c r="E189" s="5">
        <f>IFERROR(C189-D189,0)</f>
        <v/>
      </c>
    </row>
    <row r="190">
      <c r="A190" t="inlineStr">
        <is>
          <t>Birmingham-Hoover, AL</t>
        </is>
      </c>
      <c r="B190" t="inlineStr">
        <is>
          <t>Loans</t>
        </is>
      </c>
      <c r="C190" s="4" t="n">
        <v>230</v>
      </c>
      <c r="D190" s="4" t="n">
        <v>9963</v>
      </c>
    </row>
    <row r="191">
      <c r="A191" t="inlineStr">
        <is>
          <t>Birmingham-Hoover, AL</t>
        </is>
      </c>
      <c r="B191" t="inlineStr">
        <is>
          <t>LMICT%</t>
        </is>
      </c>
      <c r="C191" s="5" t="n">
        <v>0.09130434782608696</v>
      </c>
      <c r="D191" s="5" t="n">
        <v>0.1801666164809796</v>
      </c>
      <c r="E191" s="5">
        <f>IFERROR(C191-D191,0)</f>
        <v/>
      </c>
    </row>
    <row r="192">
      <c r="A192" t="inlineStr">
        <is>
          <t>Birmingham-Hoover, AL</t>
        </is>
      </c>
      <c r="B192" t="inlineStr">
        <is>
          <t>LMIB%</t>
        </is>
      </c>
      <c r="C192" s="5" t="n">
        <v>0.2521739130434782</v>
      </c>
      <c r="D192" s="5" t="n">
        <v>0.3338351902037539</v>
      </c>
      <c r="E192" s="5">
        <f>IFERROR(C192-D192,0)</f>
        <v/>
      </c>
    </row>
    <row r="193">
      <c r="A193" t="inlineStr">
        <is>
          <t>Birmingham-Hoover, AL</t>
        </is>
      </c>
      <c r="B193" t="inlineStr">
        <is>
          <t>LMIB$</t>
        </is>
      </c>
      <c r="C193" s="6" t="n">
        <v>9230000</v>
      </c>
      <c r="D193" s="6" t="n">
        <v>571070000</v>
      </c>
    </row>
    <row r="194">
      <c r="A194" t="inlineStr">
        <is>
          <t>Birmingham-Hoover, AL</t>
        </is>
      </c>
      <c r="B194" t="inlineStr">
        <is>
          <t>MMCT%</t>
        </is>
      </c>
      <c r="C194" s="5" t="n">
        <v>0.1434782608695652</v>
      </c>
      <c r="D194" s="5" t="n">
        <v>0.1561778580748771</v>
      </c>
      <c r="E194" s="5">
        <f>IFERROR(C194-D194,0)</f>
        <v/>
      </c>
    </row>
    <row r="195">
      <c r="A195" t="inlineStr">
        <is>
          <t>Birmingham-Hoover, AL</t>
        </is>
      </c>
      <c r="B195" t="inlineStr">
        <is>
          <t>MINB%</t>
        </is>
      </c>
      <c r="C195" s="5" t="n">
        <v>0.2347826086956522</v>
      </c>
      <c r="D195" s="5" t="n">
        <v>0.2827461607949413</v>
      </c>
      <c r="E195" s="5">
        <f>IFERROR(C195-D195,0)</f>
        <v/>
      </c>
    </row>
    <row r="196">
      <c r="A196" t="inlineStr">
        <is>
          <t>Birmingham-Hoover, AL</t>
        </is>
      </c>
      <c r="B196" t="inlineStr">
        <is>
          <t>Asian%</t>
        </is>
      </c>
      <c r="C196" s="5" t="n">
        <v>0.04782608695652174</v>
      </c>
      <c r="D196" s="5" t="n">
        <v>0.0223828164207568</v>
      </c>
      <c r="E196" s="5">
        <f>IFERROR(C196-D196,0)</f>
        <v/>
      </c>
    </row>
    <row r="197">
      <c r="A197" t="inlineStr">
        <is>
          <t>Birmingham-Hoover, AL</t>
        </is>
      </c>
      <c r="B197" t="inlineStr">
        <is>
          <t>Black%</t>
        </is>
      </c>
      <c r="C197" s="5" t="n">
        <v>0.1434782608695652</v>
      </c>
      <c r="D197" s="5" t="n">
        <v>0.1925122954933253</v>
      </c>
      <c r="E197" s="5">
        <f>IFERROR(C197-D197,0)</f>
        <v/>
      </c>
    </row>
    <row r="198">
      <c r="A198" t="inlineStr">
        <is>
          <t>Birmingham-Hoover, AL</t>
        </is>
      </c>
      <c r="B198" t="inlineStr">
        <is>
          <t>Native American%</t>
        </is>
      </c>
      <c r="C198" s="5" t="n">
        <v>0</v>
      </c>
      <c r="D198" s="5" t="n">
        <v>0.003512998092943892</v>
      </c>
      <c r="E198" s="5">
        <f>IFERROR(C198-D198,0)</f>
        <v/>
      </c>
    </row>
    <row r="199">
      <c r="A199" t="inlineStr">
        <is>
          <t>Birmingham-Hoover, AL</t>
        </is>
      </c>
      <c r="B199" t="inlineStr">
        <is>
          <t>HoPI%</t>
        </is>
      </c>
      <c r="C199" s="5" t="n">
        <v>0</v>
      </c>
      <c r="D199" s="5" t="n">
        <v>0.0007025996185887784</v>
      </c>
      <c r="E199" s="5">
        <f>IFERROR(C199-D199,0)</f>
        <v/>
      </c>
    </row>
    <row r="200">
      <c r="A200" t="inlineStr">
        <is>
          <t>Birmingham-Hoover, AL</t>
        </is>
      </c>
      <c r="B200" t="inlineStr">
        <is>
          <t>Hispanic%</t>
        </is>
      </c>
      <c r="C200" s="5" t="n">
        <v>0.04347826086956522</v>
      </c>
      <c r="D200" s="5" t="n">
        <v>0.06363545116932651</v>
      </c>
      <c r="E200" s="5">
        <f>IFERROR(C200-D200,0)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6262</v>
      </c>
      <c r="D2" s="4" t="n">
        <v>176774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0.1836473969977643</v>
      </c>
      <c r="D3" s="5" t="n">
        <v>0.219415751185129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0.2424145640370489</v>
      </c>
      <c r="D4" s="5" t="n">
        <v>0.2712729247513775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447310000</v>
      </c>
      <c r="D5" s="6" t="n">
        <v>14210170000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0.1299904183966784</v>
      </c>
      <c r="D6" s="5" t="n">
        <v>0.1754047540927965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0.2965506228042159</v>
      </c>
      <c r="D7" s="5" t="n">
        <v>0.2472988109111068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0.07952730756946662</v>
      </c>
      <c r="D8" s="5" t="n">
        <v>0.05500243248441513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0.04471414883423827</v>
      </c>
      <c r="D9" s="5" t="n">
        <v>0.03181463337368617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0.003034174385180454</v>
      </c>
      <c r="D10" s="5" t="n">
        <v>0.006013327751818706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0.001117853720855957</v>
      </c>
      <c r="D11" s="5" t="n">
        <v>0.001714052971590845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0.1681571382944746</v>
      </c>
      <c r="D12" s="5" t="n">
        <v>0.152754364329596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3585</v>
      </c>
      <c r="D14" s="4" t="n">
        <v>96349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0.2225941422594142</v>
      </c>
      <c r="D15" s="5" t="n">
        <v>0.2511806038464333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0.2613668061366806</v>
      </c>
      <c r="D16" s="5" t="n">
        <v>0.2967129913128315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271275000</v>
      </c>
      <c r="D17" s="6" t="n">
        <v>8756480000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0.1684797768479777</v>
      </c>
      <c r="D18" s="5" t="n">
        <v>0.2172933813532055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0.3500697350069736</v>
      </c>
      <c r="D19" s="5" t="n">
        <v>0.2592242784045501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0.09818688981868898</v>
      </c>
      <c r="D20" s="5" t="n">
        <v>0.06130836853522092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0.06722454672245468</v>
      </c>
      <c r="D21" s="5" t="n">
        <v>0.0368140821388909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0.002231520223152022</v>
      </c>
      <c r="D22" s="5" t="n">
        <v>0.004888478344352303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0.0005578800557880056</v>
      </c>
      <c r="D23" s="5" t="n">
        <v>0.00134926153878089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0.1818688981868898</v>
      </c>
      <c r="D24" s="5" t="n">
        <v>0.1548640878473051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435</v>
      </c>
      <c r="D36" s="4" t="n">
        <v>35742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0.2160919540229885</v>
      </c>
      <c r="D37" s="5" t="n">
        <v>0.1930222147613452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0.2827586206896552</v>
      </c>
      <c r="D38" s="5" t="n">
        <v>0.2198254154775894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33235000</v>
      </c>
      <c r="D39" s="6" t="n">
        <v>1992635000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</v>
      </c>
      <c r="D40" s="5" t="n">
        <v>0.2090537742711656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0.3241379310344827</v>
      </c>
      <c r="D41" s="5" t="n">
        <v>0.2826366739410218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0.1011494252873563</v>
      </c>
      <c r="D42" s="5" t="n">
        <v>0.05962173353477701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0.02528735632183908</v>
      </c>
      <c r="D43" s="5" t="n">
        <v>0.03326618544009848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0.002298850574712644</v>
      </c>
      <c r="D44" s="5" t="n">
        <v>0.009176878742096134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0.004597701149425287</v>
      </c>
      <c r="D45" s="5" t="n">
        <v>0.002238263107828325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0.1908045977011494</v>
      </c>
      <c r="D46" s="5" t="n">
        <v>0.1783336131162218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352</v>
      </c>
      <c r="D80" s="4" t="n">
        <v>13536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0.1875</v>
      </c>
      <c r="D81" s="5" t="n">
        <v>0.1999852245862884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0.2357954545454546</v>
      </c>
      <c r="D82" s="5" t="n">
        <v>0.2502955082742317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22765000</v>
      </c>
      <c r="D83" s="6" t="n">
        <v>984760000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0.07102272727272728</v>
      </c>
      <c r="D84" s="5" t="n">
        <v>0.08806146572104019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0.3210227272727273</v>
      </c>
      <c r="D85" s="5" t="n">
        <v>0.2336731678486998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0.07670454545454546</v>
      </c>
      <c r="D86" s="5" t="n">
        <v>0.03967198581560284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0.05113636363636364</v>
      </c>
      <c r="D87" s="5" t="n">
        <v>0.04491725768321513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0.007313829787234043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0.004137115839243499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0.1931818181818182</v>
      </c>
      <c r="D90" s="5" t="n">
        <v>0.1376329787234042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2110423</v>
      </c>
      <c r="D2" s="4" t="n">
        <v>13123471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355404</v>
      </c>
      <c r="D3" s="4" t="n">
        <v>1766969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64.86214842826755</v>
      </c>
      <c r="D4" s="4" t="n">
        <v>44.04778635052454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1149897</v>
      </c>
      <c r="D5" s="4" t="n">
        <v>6835616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35.79654960400801</v>
      </c>
      <c r="D6" s="4" t="n">
        <v>24.21960976157818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257425</v>
      </c>
      <c r="D8" s="4" t="n">
        <v>432605</v>
      </c>
    </row>
    <row r="9">
      <c r="A9" t="inlineStr">
        <is>
          <t>Pittsburgh, PA</t>
        </is>
      </c>
      <c r="B9" t="inlineStr">
        <is>
          <t>#LMICT</t>
        </is>
      </c>
      <c r="C9" s="4" t="n">
        <v>37982</v>
      </c>
      <c r="D9" s="4" t="n">
        <v>48463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66.97843715444158</v>
      </c>
      <c r="D10" s="4" t="n">
        <v>22.64554402327549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124551</v>
      </c>
      <c r="D11" s="4" t="n">
        <v>247027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40.87348957455179</v>
      </c>
      <c r="D12" s="4" t="n">
        <v>11.67960182490173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211197</v>
      </c>
      <c r="D13" s="4" t="n">
        <v>1370418</v>
      </c>
    </row>
    <row r="14">
      <c r="A14" t="inlineStr">
        <is>
          <t>CBSA 16984</t>
        </is>
      </c>
      <c r="B14" t="inlineStr">
        <is>
          <t>#LMICT</t>
        </is>
      </c>
      <c r="C14" s="4" t="n">
        <v>27930</v>
      </c>
      <c r="D14" s="4" t="n">
        <v>256885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31.89924812030075</v>
      </c>
      <c r="D15" s="4" t="n">
        <v>33.76964400412636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101409</v>
      </c>
      <c r="D16" s="4" t="n">
        <v>602933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28.10250569476082</v>
      </c>
      <c r="D17" s="4" t="n">
        <v>24.51012135676767</v>
      </c>
      <c r="E17" s="5">
        <f>IFERROR((C17/D17)-1,0)</f>
        <v/>
      </c>
    </row>
    <row r="18">
      <c r="A18" t="inlineStr">
        <is>
          <t>CBSA 47894</t>
        </is>
      </c>
      <c r="B18" t="inlineStr">
        <is>
          <t>SB Loans</t>
        </is>
      </c>
      <c r="C18" s="4" t="n">
        <v>136423</v>
      </c>
      <c r="D18" s="4" t="n">
        <v>889516</v>
      </c>
    </row>
    <row r="19">
      <c r="A19" t="inlineStr">
        <is>
          <t>CBSA 47894</t>
        </is>
      </c>
      <c r="B19" t="inlineStr">
        <is>
          <t>#LMICT</t>
        </is>
      </c>
      <c r="C19" s="4" t="n">
        <v>27132</v>
      </c>
      <c r="D19" s="4" t="n">
        <v>174807</v>
      </c>
      <c r="E19" s="5">
        <f>IFERROR((C19/C18)-(D19/D18),0)</f>
        <v/>
      </c>
    </row>
    <row r="20">
      <c r="A20" t="inlineStr">
        <is>
          <t>CBSA 47894</t>
        </is>
      </c>
      <c r="B20" t="inlineStr">
        <is>
          <t>Avg SB LMICT Loan Amount</t>
        </is>
      </c>
      <c r="C20" s="4" t="n">
        <v>58.94349845201238</v>
      </c>
      <c r="D20" s="4" t="n">
        <v>30.82428621279468</v>
      </c>
      <c r="E20" s="5">
        <f>IFERROR((C20/D20)-1,0)</f>
        <v/>
      </c>
    </row>
    <row r="21">
      <c r="A21" t="inlineStr">
        <is>
          <t>CBSA 47894</t>
        </is>
      </c>
      <c r="B21" t="inlineStr">
        <is>
          <t>Loans Rev Under $1m</t>
        </is>
      </c>
      <c r="C21" s="4" t="n">
        <v>81270</v>
      </c>
      <c r="D21" s="4" t="n">
        <v>522594</v>
      </c>
      <c r="E21" s="5">
        <f>IFERROR((C21/C18)-(D21/D18),0)</f>
        <v/>
      </c>
    </row>
    <row r="22">
      <c r="A22" t="inlineStr">
        <is>
          <t>CBSA 47894</t>
        </is>
      </c>
      <c r="B22" t="inlineStr">
        <is>
          <t>Avg Loan Amt for RUM SB</t>
        </is>
      </c>
      <c r="C22" s="4" t="n">
        <v>33.99939707149009</v>
      </c>
      <c r="D22" s="4" t="n">
        <v>17.13356640145122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111139</v>
      </c>
      <c r="D23" s="4" t="n">
        <v>678784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20846</v>
      </c>
      <c r="D24" s="4" t="n">
        <v>76986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90.52182672934856</v>
      </c>
      <c r="D25" s="4" t="n">
        <v>49.46318811212429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56462</v>
      </c>
      <c r="D26" s="4" t="n">
        <v>415231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38.9437143565584</v>
      </c>
      <c r="D27" s="4" t="n">
        <v>23.10340268428899</v>
      </c>
      <c r="E27" s="5">
        <f>IFERROR((C27/D27)-1,0)</f>
        <v/>
      </c>
    </row>
    <row r="28">
      <c r="A28" t="inlineStr">
        <is>
          <t>Columbus, OH</t>
        </is>
      </c>
      <c r="B28" t="inlineStr">
        <is>
          <t>SB Loans</t>
        </is>
      </c>
      <c r="C28" s="4" t="n">
        <v>109823</v>
      </c>
      <c r="D28" s="4" t="n">
        <v>384071</v>
      </c>
    </row>
    <row r="29">
      <c r="A29" t="inlineStr">
        <is>
          <t>Columbus, OH</t>
        </is>
      </c>
      <c r="B29" t="inlineStr">
        <is>
          <t>#LMICT</t>
        </is>
      </c>
      <c r="C29" s="4" t="n">
        <v>27265</v>
      </c>
      <c r="D29" s="4" t="n">
        <v>43540</v>
      </c>
      <c r="E29" s="5">
        <f>IFERROR((C29/C28)-(D29/D28),0)</f>
        <v/>
      </c>
    </row>
    <row r="30">
      <c r="A30" t="inlineStr">
        <is>
          <t>Columbus, OH</t>
        </is>
      </c>
      <c r="B30" t="inlineStr">
        <is>
          <t>Avg SB LMICT Loan Amount</t>
        </is>
      </c>
      <c r="C30" s="4" t="n">
        <v>68.96713735558409</v>
      </c>
      <c r="D30" s="4" t="n">
        <v>40.10326136885622</v>
      </c>
      <c r="E30" s="5">
        <f>IFERROR((C30/D30)-1,0)</f>
        <v/>
      </c>
    </row>
    <row r="31">
      <c r="A31" t="inlineStr">
        <is>
          <t>Columbus, OH</t>
        </is>
      </c>
      <c r="B31" t="inlineStr">
        <is>
          <t>Loans Rev Under $1m</t>
        </is>
      </c>
      <c r="C31" s="4" t="n">
        <v>38696</v>
      </c>
      <c r="D31" s="4" t="n">
        <v>220693</v>
      </c>
      <c r="E31" s="5">
        <f>IFERROR((C31/C28)-(D31/D28),0)</f>
        <v/>
      </c>
    </row>
    <row r="32">
      <c r="A32" t="inlineStr">
        <is>
          <t>Columbus, OH</t>
        </is>
      </c>
      <c r="B32" t="inlineStr">
        <is>
          <t>Avg Loan Amt for RUM SB</t>
        </is>
      </c>
      <c r="C32" s="4" t="n">
        <v>33.58737337192475</v>
      </c>
      <c r="D32" s="4" t="n">
        <v>24.14984163521272</v>
      </c>
      <c r="E32" s="5">
        <f>IFERROR((C32/D32)-1,0)</f>
        <v/>
      </c>
    </row>
    <row r="33">
      <c r="A33" t="inlineStr">
        <is>
          <t>CBSA 35154</t>
        </is>
      </c>
      <c r="B33" t="inlineStr">
        <is>
          <t>SB Loans</t>
        </is>
      </c>
      <c r="C33" s="4" t="n">
        <v>103243</v>
      </c>
      <c r="D33" s="4" t="n">
        <v>629009</v>
      </c>
    </row>
    <row r="34">
      <c r="A34" t="inlineStr">
        <is>
          <t>CBSA 35154</t>
        </is>
      </c>
      <c r="B34" t="inlineStr">
        <is>
          <t>#LMICT</t>
        </is>
      </c>
      <c r="C34" s="4" t="n">
        <v>12544</v>
      </c>
      <c r="D34" s="4" t="n">
        <v>78407</v>
      </c>
      <c r="E34" s="5">
        <f>IFERROR((C34/C33)-(D34/D33),0)</f>
        <v/>
      </c>
    </row>
    <row r="35">
      <c r="A35" t="inlineStr">
        <is>
          <t>CBSA 35154</t>
        </is>
      </c>
      <c r="B35" t="inlineStr">
        <is>
          <t>Avg SB LMICT Loan Amount</t>
        </is>
      </c>
      <c r="C35" s="4" t="n">
        <v>49.94587053571428</v>
      </c>
      <c r="D35" s="4" t="n">
        <v>31.12296096011836</v>
      </c>
      <c r="E35" s="5">
        <f>IFERROR((C35/D35)-1,0)</f>
        <v/>
      </c>
    </row>
    <row r="36">
      <c r="A36" t="inlineStr">
        <is>
          <t>CBSA 35154</t>
        </is>
      </c>
      <c r="B36" t="inlineStr">
        <is>
          <t>Loans Rev Under $1m</t>
        </is>
      </c>
      <c r="C36" s="4" t="n">
        <v>63525</v>
      </c>
      <c r="D36" s="4" t="n">
        <v>358122</v>
      </c>
      <c r="E36" s="5">
        <f>IFERROR((C36/C33)-(D36/D33),0)</f>
        <v/>
      </c>
    </row>
    <row r="37">
      <c r="A37" t="inlineStr">
        <is>
          <t>CBSA 35154</t>
        </is>
      </c>
      <c r="B37" t="inlineStr">
        <is>
          <t>Avg Loan Amt for RUM SB</t>
        </is>
      </c>
      <c r="C37" s="4" t="n">
        <v>36.85707988980716</v>
      </c>
      <c r="D37" s="4" t="n">
        <v>16.04562411692105</v>
      </c>
      <c r="E37" s="5">
        <f>IFERROR((C37/D37)-1,0)</f>
        <v/>
      </c>
    </row>
    <row r="38">
      <c r="A38" t="inlineStr">
        <is>
          <t>Baltimore-Columbia-Towson, MD</t>
        </is>
      </c>
      <c r="B38" t="inlineStr">
        <is>
          <t>SB Loans</t>
        </is>
      </c>
      <c r="C38" s="4" t="n">
        <v>100660</v>
      </c>
      <c r="D38" s="4" t="n">
        <v>632053</v>
      </c>
    </row>
    <row r="39">
      <c r="A39" t="inlineStr">
        <is>
          <t>Baltimore-Columbia-Towson, MD</t>
        </is>
      </c>
      <c r="B39" t="inlineStr">
        <is>
          <t>#LMICT</t>
        </is>
      </c>
      <c r="C39" s="4" t="n">
        <v>11795</v>
      </c>
      <c r="D39" s="4" t="n">
        <v>60926</v>
      </c>
      <c r="E39" s="5">
        <f>IFERROR((C39/C38)-(D39/D38),0)</f>
        <v/>
      </c>
    </row>
    <row r="40">
      <c r="A40" t="inlineStr">
        <is>
          <t>Baltimore-Columbia-Towson, MD</t>
        </is>
      </c>
      <c r="B40" t="inlineStr">
        <is>
          <t>Avg SB LMICT Loan Amount</t>
        </is>
      </c>
      <c r="C40" s="4" t="n">
        <v>69.74302670623145</v>
      </c>
      <c r="D40" s="4" t="n">
        <v>41.94590158552999</v>
      </c>
      <c r="E40" s="5">
        <f>IFERROR((C40/D40)-1,0)</f>
        <v/>
      </c>
    </row>
    <row r="41">
      <c r="A41" t="inlineStr">
        <is>
          <t>Baltimore-Columbia-Towson, MD</t>
        </is>
      </c>
      <c r="B41" t="inlineStr">
        <is>
          <t>Loans Rev Under $1m</t>
        </is>
      </c>
      <c r="C41" s="4" t="n">
        <v>57148</v>
      </c>
      <c r="D41" s="4" t="n">
        <v>370252</v>
      </c>
      <c r="E41" s="5">
        <f>IFERROR((C41/C38)-(D41/D38),0)</f>
        <v/>
      </c>
    </row>
    <row r="42">
      <c r="A42" t="inlineStr">
        <is>
          <t>Baltimore-Columbia-Towson, MD</t>
        </is>
      </c>
      <c r="B42" t="inlineStr">
        <is>
          <t>Avg Loan Amt for RUM SB</t>
        </is>
      </c>
      <c r="C42" s="4" t="n">
        <v>39.17944634982852</v>
      </c>
      <c r="D42" s="4" t="n">
        <v>21.29059127297084</v>
      </c>
      <c r="E42" s="5">
        <f>IFERROR((C42/D42)-1,0)</f>
        <v/>
      </c>
    </row>
    <row r="43">
      <c r="A43" t="inlineStr">
        <is>
          <t>Cincinnati, OH-KY-IN</t>
        </is>
      </c>
      <c r="B43" t="inlineStr">
        <is>
          <t>SB Loans</t>
        </is>
      </c>
      <c r="C43" s="4" t="n">
        <v>95788</v>
      </c>
      <c r="D43" s="4" t="n">
        <v>503000</v>
      </c>
    </row>
    <row r="44">
      <c r="A44" t="inlineStr">
        <is>
          <t>Cincinnati, OH-KY-IN</t>
        </is>
      </c>
      <c r="B44" t="inlineStr">
        <is>
          <t>#LMICT</t>
        </is>
      </c>
      <c r="C44" s="4" t="n">
        <v>21224</v>
      </c>
      <c r="D44" s="4" t="n">
        <v>91387</v>
      </c>
      <c r="E44" s="5">
        <f>IFERROR((C44/C43)-(D44/D43),0)</f>
        <v/>
      </c>
    </row>
    <row r="45">
      <c r="A45" t="inlineStr">
        <is>
          <t>Cincinnati, OH-KY-IN</t>
        </is>
      </c>
      <c r="B45" t="inlineStr">
        <is>
          <t>Avg SB LMICT Loan Amount</t>
        </is>
      </c>
      <c r="C45" s="4" t="n">
        <v>95.70976253298153</v>
      </c>
      <c r="D45" s="4" t="n">
        <v>46.05260047928042</v>
      </c>
      <c r="E45" s="5">
        <f>IFERROR((C45/D45)-1,0)</f>
        <v/>
      </c>
    </row>
    <row r="46">
      <c r="A46" t="inlineStr">
        <is>
          <t>Cincinnati, OH-KY-IN</t>
        </is>
      </c>
      <c r="B46" t="inlineStr">
        <is>
          <t>Loans Rev Under $1m</t>
        </is>
      </c>
      <c r="C46" s="4" t="n">
        <v>53018</v>
      </c>
      <c r="D46" s="4" t="n">
        <v>308603</v>
      </c>
      <c r="E46" s="5">
        <f>IFERROR((C46/C43)-(D46/D43),0)</f>
        <v/>
      </c>
    </row>
    <row r="47">
      <c r="A47" t="inlineStr">
        <is>
          <t>Cincinnati, OH-KY-IN</t>
        </is>
      </c>
      <c r="B47" t="inlineStr">
        <is>
          <t>Avg Loan Amt for RUM SB</t>
        </is>
      </c>
      <c r="C47" s="4" t="n">
        <v>34.45642989173489</v>
      </c>
      <c r="D47" s="4" t="n">
        <v>21.22393495850656</v>
      </c>
      <c r="E47" s="5">
        <f>IFERROR((C47/D47)-1,0)</f>
        <v/>
      </c>
    </row>
    <row r="48">
      <c r="A48" t="inlineStr">
        <is>
          <t>CBSA 35614</t>
        </is>
      </c>
      <c r="B48" t="inlineStr">
        <is>
          <t>SB Loans</t>
        </is>
      </c>
      <c r="C48" s="4" t="n">
        <v>94437</v>
      </c>
      <c r="D48" s="4" t="n">
        <v>957659</v>
      </c>
    </row>
    <row r="49">
      <c r="A49" t="inlineStr">
        <is>
          <t>CBSA 35614</t>
        </is>
      </c>
      <c r="B49" t="inlineStr">
        <is>
          <t>#LMICT</t>
        </is>
      </c>
      <c r="C49" s="4" t="n">
        <v>11963</v>
      </c>
      <c r="D49" s="4" t="n">
        <v>102937</v>
      </c>
      <c r="E49" s="5">
        <f>IFERROR((C49/C48)-(D49/D48),0)</f>
        <v/>
      </c>
    </row>
    <row r="50">
      <c r="A50" t="inlineStr">
        <is>
          <t>CBSA 35614</t>
        </is>
      </c>
      <c r="B50" t="inlineStr">
        <is>
          <t>Avg SB LMICT Loan Amount</t>
        </is>
      </c>
      <c r="C50" s="4" t="n">
        <v>52.06260971328262</v>
      </c>
      <c r="D50" s="4" t="n">
        <v>64.91729893041375</v>
      </c>
      <c r="E50" s="5">
        <f>IFERROR((C50/D50)-1,0)</f>
        <v/>
      </c>
    </row>
    <row r="51">
      <c r="A51" t="inlineStr">
        <is>
          <t>CBSA 35614</t>
        </is>
      </c>
      <c r="B51" t="inlineStr">
        <is>
          <t>Loans Rev Under $1m</t>
        </is>
      </c>
      <c r="C51" s="4" t="n">
        <v>56336</v>
      </c>
      <c r="D51" s="4" t="n">
        <v>257491</v>
      </c>
      <c r="E51" s="5">
        <f>IFERROR((C51/C48)-(D51/D48),0)</f>
        <v/>
      </c>
    </row>
    <row r="52">
      <c r="A52" t="inlineStr">
        <is>
          <t>CBSA 35614</t>
        </is>
      </c>
      <c r="B52" t="inlineStr">
        <is>
          <t>Avg Loan Amt for RUM SB</t>
        </is>
      </c>
      <c r="C52" s="4" t="n">
        <v>37.21222664015905</v>
      </c>
      <c r="D52" s="4" t="n">
        <v>33.81975292340315</v>
      </c>
      <c r="E52" s="5">
        <f>IFERROR((C52/D52)-1,0)</f>
        <v/>
      </c>
    </row>
    <row r="53">
      <c r="A53" t="inlineStr">
        <is>
          <t>CBSA 35084</t>
        </is>
      </c>
      <c r="B53" t="inlineStr">
        <is>
          <t>SB Loans</t>
        </is>
      </c>
      <c r="C53" s="4" t="n">
        <v>93898</v>
      </c>
      <c r="D53" s="4" t="n">
        <v>683758</v>
      </c>
    </row>
    <row r="54">
      <c r="A54" t="inlineStr">
        <is>
          <t>CBSA 35084</t>
        </is>
      </c>
      <c r="B54" t="inlineStr">
        <is>
          <t>#LMICT</t>
        </is>
      </c>
      <c r="C54" s="4" t="n">
        <v>12089</v>
      </c>
      <c r="D54" s="4" t="n">
        <v>96107</v>
      </c>
      <c r="E54" s="5">
        <f>IFERROR((C54/C53)-(D54/D53),0)</f>
        <v/>
      </c>
    </row>
    <row r="55">
      <c r="A55" t="inlineStr">
        <is>
          <t>CBSA 35084</t>
        </is>
      </c>
      <c r="B55" t="inlineStr">
        <is>
          <t>Avg SB LMICT Loan Amount</t>
        </is>
      </c>
      <c r="C55" s="4" t="n">
        <v>45.53329473074696</v>
      </c>
      <c r="D55" s="4" t="n">
        <v>30.63557285109305</v>
      </c>
      <c r="E55" s="5">
        <f>IFERROR((C55/D55)-1,0)</f>
        <v/>
      </c>
    </row>
    <row r="56">
      <c r="A56" t="inlineStr">
        <is>
          <t>CBSA 35084</t>
        </is>
      </c>
      <c r="B56" t="inlineStr">
        <is>
          <t>Loans Rev Under $1m</t>
        </is>
      </c>
      <c r="C56" s="4" t="n">
        <v>56826</v>
      </c>
      <c r="D56" s="4" t="n">
        <v>384024</v>
      </c>
      <c r="E56" s="5">
        <f>IFERROR((C56/C53)-(D56/D53),0)</f>
        <v/>
      </c>
    </row>
    <row r="57">
      <c r="A57" t="inlineStr">
        <is>
          <t>CBSA 35084</t>
        </is>
      </c>
      <c r="B57" t="inlineStr">
        <is>
          <t>Avg Loan Amt for RUM SB</t>
        </is>
      </c>
      <c r="C57" s="4" t="n">
        <v>37.9409953190441</v>
      </c>
      <c r="D57" s="4" t="n">
        <v>17.46215601108264</v>
      </c>
      <c r="E57" s="5">
        <f>IFERROR((C57/D57)-1,0)</f>
        <v/>
      </c>
    </row>
    <row r="58">
      <c r="A58" t="inlineStr">
        <is>
          <t>CBSA 33874</t>
        </is>
      </c>
      <c r="B58" t="inlineStr">
        <is>
          <t>SB Loans</t>
        </is>
      </c>
      <c r="C58" s="4" t="n">
        <v>87318</v>
      </c>
      <c r="D58" s="4" t="n">
        <v>752615</v>
      </c>
    </row>
    <row r="59">
      <c r="A59" t="inlineStr">
        <is>
          <t>CBSA 33874</t>
        </is>
      </c>
      <c r="B59" t="inlineStr">
        <is>
          <t>#LMICT</t>
        </is>
      </c>
      <c r="C59" s="4" t="n">
        <v>9744</v>
      </c>
      <c r="D59" s="4" t="n">
        <v>62464</v>
      </c>
      <c r="E59" s="5">
        <f>IFERROR((C59/C58)-(D59/D58),0)</f>
        <v/>
      </c>
    </row>
    <row r="60">
      <c r="A60" t="inlineStr">
        <is>
          <t>CBSA 33874</t>
        </is>
      </c>
      <c r="B60" t="inlineStr">
        <is>
          <t>Avg SB LMICT Loan Amount</t>
        </is>
      </c>
      <c r="C60" s="4" t="n">
        <v>88.17672413793103</v>
      </c>
      <c r="D60" s="4" t="n">
        <v>44.67534900102459</v>
      </c>
      <c r="E60" s="5">
        <f>IFERROR((C60/D60)-1,0)</f>
        <v/>
      </c>
    </row>
    <row r="61">
      <c r="A61" t="inlineStr">
        <is>
          <t>CBSA 33874</t>
        </is>
      </c>
      <c r="B61" t="inlineStr">
        <is>
          <t>Loans Rev Under $1m</t>
        </is>
      </c>
      <c r="C61" s="4" t="n">
        <v>48825</v>
      </c>
      <c r="D61" s="4" t="n">
        <v>462285</v>
      </c>
      <c r="E61" s="5">
        <f>IFERROR((C61/C58)-(D61/D58),0)</f>
        <v/>
      </c>
    </row>
    <row r="62">
      <c r="A62" t="inlineStr">
        <is>
          <t>CBSA 33874</t>
        </is>
      </c>
      <c r="B62" t="inlineStr">
        <is>
          <t>Avg Loan Amt for RUM SB</t>
        </is>
      </c>
      <c r="C62" s="4" t="n">
        <v>45.20372759856631</v>
      </c>
      <c r="D62" s="4" t="n">
        <v>21.2538585504613</v>
      </c>
      <c r="E62" s="5">
        <f>IFERROR((C62/D62)-1,0)</f>
        <v/>
      </c>
    </row>
    <row r="63">
      <c r="A63" t="inlineStr">
        <is>
          <t>CBSA 47664</t>
        </is>
      </c>
      <c r="B63" t="inlineStr">
        <is>
          <t>SB Loans</t>
        </is>
      </c>
      <c r="C63" s="4" t="n">
        <v>85785</v>
      </c>
      <c r="D63" s="4" t="n">
        <v>571768</v>
      </c>
    </row>
    <row r="64">
      <c r="A64" t="inlineStr">
        <is>
          <t>CBSA 47664</t>
        </is>
      </c>
      <c r="B64" t="inlineStr">
        <is>
          <t>#LMICT</t>
        </is>
      </c>
      <c r="C64" s="4" t="n">
        <v>19397</v>
      </c>
      <c r="D64" s="4" t="n">
        <v>95624</v>
      </c>
      <c r="E64" s="5">
        <f>IFERROR((C64/C63)-(D64/D63),0)</f>
        <v/>
      </c>
    </row>
    <row r="65">
      <c r="A65" t="inlineStr">
        <is>
          <t>CBSA 47664</t>
        </is>
      </c>
      <c r="B65" t="inlineStr">
        <is>
          <t>Avg SB LMICT Loan Amount</t>
        </is>
      </c>
      <c r="C65" s="4" t="n">
        <v>83.39949476723204</v>
      </c>
      <c r="D65" s="4" t="n">
        <v>59.84580230904375</v>
      </c>
      <c r="E65" s="5">
        <f>IFERROR((C65/D65)-1,0)</f>
        <v/>
      </c>
    </row>
    <row r="66">
      <c r="A66" t="inlineStr">
        <is>
          <t>CBSA 47664</t>
        </is>
      </c>
      <c r="B66" t="inlineStr">
        <is>
          <t>Loans Rev Under $1m</t>
        </is>
      </c>
      <c r="C66" s="4" t="n">
        <v>47327</v>
      </c>
      <c r="D66" s="4" t="n">
        <v>342779</v>
      </c>
      <c r="E66" s="5">
        <f>IFERROR((C66/C63)-(D66/D63),0)</f>
        <v/>
      </c>
    </row>
    <row r="67">
      <c r="A67" t="inlineStr">
        <is>
          <t>CBSA 47664</t>
        </is>
      </c>
      <c r="B67" t="inlineStr">
        <is>
          <t>Avg Loan Amt for RUM SB</t>
        </is>
      </c>
      <c r="C67" s="4" t="n">
        <v>42.50036976778583</v>
      </c>
      <c r="D67" s="4" t="n">
        <v>28.12982708975754</v>
      </c>
      <c r="E67" s="5">
        <f>IFERROR((C67/D67)-1,0)</f>
        <v/>
      </c>
    </row>
    <row r="68">
      <c r="A68" t="inlineStr">
        <is>
          <t>Indianapolis-Carmel-Anderson, IN</t>
        </is>
      </c>
      <c r="B68" t="inlineStr">
        <is>
          <t>SB Loans</t>
        </is>
      </c>
      <c r="C68" s="4" t="n">
        <v>75292</v>
      </c>
      <c r="D68" s="4" t="n">
        <v>374666</v>
      </c>
    </row>
    <row r="69">
      <c r="A69" t="inlineStr">
        <is>
          <t>Indianapolis-Carmel-Anderson, IN</t>
        </is>
      </c>
      <c r="B69" t="inlineStr">
        <is>
          <t>#LMICT</t>
        </is>
      </c>
      <c r="C69" s="4" t="n">
        <v>17815</v>
      </c>
      <c r="D69" s="4" t="n">
        <v>44471</v>
      </c>
      <c r="E69" s="5">
        <f>IFERROR((C69/C68)-(D69/D68),0)</f>
        <v/>
      </c>
    </row>
    <row r="70">
      <c r="A70" t="inlineStr">
        <is>
          <t>Indianapolis-Carmel-Anderson, IN</t>
        </is>
      </c>
      <c r="B70" t="inlineStr">
        <is>
          <t>Avg SB LMICT Loan Amount</t>
        </is>
      </c>
      <c r="C70" s="4" t="n">
        <v>59.6090373280943</v>
      </c>
      <c r="D70" s="4" t="n">
        <v>60.08472937419891</v>
      </c>
      <c r="E70" s="5">
        <f>IFERROR((C70/D70)-1,0)</f>
        <v/>
      </c>
    </row>
    <row r="71">
      <c r="A71" t="inlineStr">
        <is>
          <t>Indianapolis-Carmel-Anderson, IN</t>
        </is>
      </c>
      <c r="B71" t="inlineStr">
        <is>
          <t>Loans Rev Under $1m</t>
        </is>
      </c>
      <c r="C71" s="4" t="n">
        <v>44912</v>
      </c>
      <c r="D71" s="4" t="n">
        <v>209606</v>
      </c>
      <c r="E71" s="5">
        <f>IFERROR((C71/C68)-(D71/D68),0)</f>
        <v/>
      </c>
    </row>
    <row r="72">
      <c r="A72" t="inlineStr">
        <is>
          <t>Indianapolis-Carmel-Anderson, IN</t>
        </is>
      </c>
      <c r="B72" t="inlineStr">
        <is>
          <t>Avg Loan Amt for RUM SB</t>
        </is>
      </c>
      <c r="C72" s="4" t="n">
        <v>29.20105985037407</v>
      </c>
      <c r="D72" s="4" t="n">
        <v>24.54882016736162</v>
      </c>
      <c r="E72" s="5">
        <f>IFERROR((C72/D72)-1,0)</f>
        <v/>
      </c>
    </row>
    <row r="73">
      <c r="A73" t="inlineStr">
        <is>
          <t>CBSA 48424</t>
        </is>
      </c>
      <c r="B73" t="inlineStr">
        <is>
          <t>SB Loans</t>
        </is>
      </c>
      <c r="C73" s="4" t="n">
        <v>72450</v>
      </c>
      <c r="D73" s="4" t="n">
        <v>436390</v>
      </c>
    </row>
    <row r="74">
      <c r="A74" t="inlineStr">
        <is>
          <t>CBSA 48424</t>
        </is>
      </c>
      <c r="B74" t="inlineStr">
        <is>
          <t>#LMICT</t>
        </is>
      </c>
      <c r="C74" s="4" t="n">
        <v>16114</v>
      </c>
      <c r="D74" s="4" t="n">
        <v>53084</v>
      </c>
      <c r="E74" s="5">
        <f>IFERROR((C74/C73)-(D74/D73),0)</f>
        <v/>
      </c>
    </row>
    <row r="75">
      <c r="A75" t="inlineStr">
        <is>
          <t>CBSA 48424</t>
        </is>
      </c>
      <c r="B75" t="inlineStr">
        <is>
          <t>Avg SB LMICT Loan Amount</t>
        </is>
      </c>
      <c r="C75" s="4" t="n">
        <v>50.30538662033015</v>
      </c>
      <c r="D75" s="4" t="n">
        <v>31.62789164343305</v>
      </c>
      <c r="E75" s="5">
        <f>IFERROR((C75/D75)-1,0)</f>
        <v/>
      </c>
    </row>
    <row r="76">
      <c r="A76" t="inlineStr">
        <is>
          <t>CBSA 48424</t>
        </is>
      </c>
      <c r="B76" t="inlineStr">
        <is>
          <t>Loans Rev Under $1m</t>
        </is>
      </c>
      <c r="C76" s="4" t="n">
        <v>46011</v>
      </c>
      <c r="D76" s="4" t="n">
        <v>232450</v>
      </c>
      <c r="E76" s="5">
        <f>IFERROR((C76/C73)-(D76/D73),0)</f>
        <v/>
      </c>
    </row>
    <row r="77">
      <c r="A77" t="inlineStr">
        <is>
          <t>CBSA 48424</t>
        </is>
      </c>
      <c r="B77" t="inlineStr">
        <is>
          <t>Avg Loan Amt for RUM SB</t>
        </is>
      </c>
      <c r="C77" s="4" t="n">
        <v>28.64019473604138</v>
      </c>
      <c r="D77" s="4" t="n">
        <v>17.11289309528931</v>
      </c>
      <c r="E77" s="5">
        <f>IFERROR((C77/D77)-1,0)</f>
        <v/>
      </c>
    </row>
    <row r="78">
      <c r="A78" t="inlineStr">
        <is>
          <t>CBSA 37964</t>
        </is>
      </c>
      <c r="B78" t="inlineStr">
        <is>
          <t>SB Loans</t>
        </is>
      </c>
      <c r="C78" s="4" t="n">
        <v>67956</v>
      </c>
      <c r="D78" s="4" t="n">
        <v>538104</v>
      </c>
    </row>
    <row r="79">
      <c r="A79" t="inlineStr">
        <is>
          <t>CBSA 37964</t>
        </is>
      </c>
      <c r="B79" t="inlineStr">
        <is>
          <t>#LMICT</t>
        </is>
      </c>
      <c r="C79" s="4" t="n">
        <v>10143</v>
      </c>
      <c r="D79" s="4" t="n">
        <v>61348</v>
      </c>
      <c r="E79" s="5">
        <f>IFERROR((C79/C78)-(D79/D78),0)</f>
        <v/>
      </c>
    </row>
    <row r="80">
      <c r="A80" t="inlineStr">
        <is>
          <t>CBSA 37964</t>
        </is>
      </c>
      <c r="B80" t="inlineStr">
        <is>
          <t>Avg SB LMICT Loan Amount</t>
        </is>
      </c>
      <c r="C80" s="4" t="n">
        <v>63.92615596963423</v>
      </c>
      <c r="D80" s="4" t="n">
        <v>25.30602464628024</v>
      </c>
      <c r="E80" s="5">
        <f>IFERROR((C80/D80)-1,0)</f>
        <v/>
      </c>
    </row>
    <row r="81">
      <c r="A81" t="inlineStr">
        <is>
          <t>CBSA 37964</t>
        </is>
      </c>
      <c r="B81" t="inlineStr">
        <is>
          <t>Loans Rev Under $1m</t>
        </is>
      </c>
      <c r="C81" s="4" t="n">
        <v>39774</v>
      </c>
      <c r="D81" s="4" t="n">
        <v>334624</v>
      </c>
      <c r="E81" s="5">
        <f>IFERROR((C81/C78)-(D81/D78),0)</f>
        <v/>
      </c>
    </row>
    <row r="82">
      <c r="A82" t="inlineStr">
        <is>
          <t>CBSA 37964</t>
        </is>
      </c>
      <c r="B82" t="inlineStr">
        <is>
          <t>Avg Loan Amt for RUM SB</t>
        </is>
      </c>
      <c r="C82" s="4" t="n">
        <v>36.5658218936994</v>
      </c>
      <c r="D82" s="4" t="n">
        <v>15.63838218418284</v>
      </c>
      <c r="E82" s="5">
        <f>IFERROR((C82/D82)-1,0)</f>
        <v/>
      </c>
    </row>
    <row r="83">
      <c r="A83" t="inlineStr">
        <is>
          <t>Louisville/Jefferson County, KY-IN</t>
        </is>
      </c>
      <c r="B83" t="inlineStr">
        <is>
          <t>SB Loans</t>
        </is>
      </c>
      <c r="C83" s="4" t="n">
        <v>66745</v>
      </c>
      <c r="D83" s="4" t="n">
        <v>333866</v>
      </c>
    </row>
    <row r="84">
      <c r="A84" t="inlineStr">
        <is>
          <t>Louisville/Jefferson County, KY-IN</t>
        </is>
      </c>
      <c r="B84" t="inlineStr">
        <is>
          <t>#LMICT</t>
        </is>
      </c>
      <c r="C84" s="4" t="n">
        <v>13832</v>
      </c>
      <c r="D84" s="4" t="n">
        <v>32605</v>
      </c>
      <c r="E84" s="5">
        <f>IFERROR((C84/C83)-(D84/D83),0)</f>
        <v/>
      </c>
    </row>
    <row r="85">
      <c r="A85" t="inlineStr">
        <is>
          <t>Louisville/Jefferson County, KY-IN</t>
        </is>
      </c>
      <c r="B85" t="inlineStr">
        <is>
          <t>Avg SB LMICT Loan Amount</t>
        </is>
      </c>
      <c r="C85" s="4" t="n">
        <v>63.52580971659919</v>
      </c>
      <c r="D85" s="4" t="n">
        <v>73.15184787609262</v>
      </c>
      <c r="E85" s="5">
        <f>IFERROR((C85/D85)-1,0)</f>
        <v/>
      </c>
    </row>
    <row r="86">
      <c r="A86" t="inlineStr">
        <is>
          <t>Louisville/Jefferson County, KY-IN</t>
        </is>
      </c>
      <c r="B86" t="inlineStr">
        <is>
          <t>Loans Rev Under $1m</t>
        </is>
      </c>
      <c r="C86" s="4" t="n">
        <v>38780</v>
      </c>
      <c r="D86" s="4" t="n">
        <v>176675</v>
      </c>
      <c r="E86" s="5">
        <f>IFERROR((C86/C83)-(D86/D83),0)</f>
        <v/>
      </c>
    </row>
    <row r="87">
      <c r="A87" t="inlineStr">
        <is>
          <t>Louisville/Jefferson County, KY-IN</t>
        </is>
      </c>
      <c r="B87" t="inlineStr">
        <is>
          <t>Avg Loan Amt for RUM SB</t>
        </is>
      </c>
      <c r="C87" s="4" t="n">
        <v>29.52851985559567</v>
      </c>
      <c r="D87" s="4" t="n">
        <v>32.18440639592472</v>
      </c>
      <c r="E87" s="5">
        <f>IFERROR((C87/D87)-1,0)</f>
        <v/>
      </c>
    </row>
    <row r="88">
      <c r="A88" t="inlineStr">
        <is>
          <t>CBSA 22744</t>
        </is>
      </c>
      <c r="B88" t="inlineStr">
        <is>
          <t>SB Loans</t>
        </is>
      </c>
      <c r="C88" s="4" t="n">
        <v>45535</v>
      </c>
      <c r="D88" s="4" t="n">
        <v>357300</v>
      </c>
    </row>
    <row r="89">
      <c r="A89" t="inlineStr">
        <is>
          <t>CBSA 22744</t>
        </is>
      </c>
      <c r="B89" t="inlineStr">
        <is>
          <t>#LMICT</t>
        </is>
      </c>
      <c r="C89" s="4" t="n">
        <v>9429</v>
      </c>
      <c r="D89" s="4" t="n">
        <v>63931</v>
      </c>
      <c r="E89" s="5">
        <f>IFERROR((C89/C88)-(D89/D88),0)</f>
        <v/>
      </c>
    </row>
    <row r="90">
      <c r="A90" t="inlineStr">
        <is>
          <t>CBSA 22744</t>
        </is>
      </c>
      <c r="B90" t="inlineStr">
        <is>
          <t>Avg SB LMICT Loan Amount</t>
        </is>
      </c>
      <c r="C90" s="4" t="n">
        <v>45.04008908685969</v>
      </c>
      <c r="D90" s="4" t="n">
        <v>44.34781248533575</v>
      </c>
      <c r="E90" s="5">
        <f>IFERROR((C90/D90)-1,0)</f>
        <v/>
      </c>
    </row>
    <row r="91">
      <c r="A91" t="inlineStr">
        <is>
          <t>CBSA 22744</t>
        </is>
      </c>
      <c r="B91" t="inlineStr">
        <is>
          <t>Loans Rev Under $1m</t>
        </is>
      </c>
      <c r="C91" s="4" t="n">
        <v>29589</v>
      </c>
      <c r="D91" s="4" t="n">
        <v>160194</v>
      </c>
      <c r="E91" s="5">
        <f>IFERROR((C91/C88)-(D91/D88),0)</f>
        <v/>
      </c>
    </row>
    <row r="92">
      <c r="A92" t="inlineStr">
        <is>
          <t>CBSA 22744</t>
        </is>
      </c>
      <c r="B92" t="inlineStr">
        <is>
          <t>Avg Loan Amt for RUM SB</t>
        </is>
      </c>
      <c r="C92" s="4" t="n">
        <v>32.05654128223326</v>
      </c>
      <c r="D92" s="4" t="n">
        <v>16.57505899097345</v>
      </c>
      <c r="E92" s="5">
        <f>IFERROR((C92/D92)-1,0)</f>
        <v/>
      </c>
    </row>
    <row r="93">
      <c r="A93" t="inlineStr">
        <is>
          <t>CBSA 23224</t>
        </is>
      </c>
      <c r="B93" t="inlineStr">
        <is>
          <t>SB Loans</t>
        </is>
      </c>
      <c r="C93" s="4" t="n">
        <v>45395</v>
      </c>
      <c r="D93" s="4" t="n">
        <v>318904</v>
      </c>
    </row>
    <row r="94">
      <c r="A94" t="inlineStr">
        <is>
          <t>CBSA 23224</t>
        </is>
      </c>
      <c r="B94" t="inlineStr">
        <is>
          <t>#LMICT</t>
        </is>
      </c>
      <c r="C94" s="4" t="n">
        <v>12418</v>
      </c>
      <c r="D94" s="4" t="n">
        <v>52645</v>
      </c>
      <c r="E94" s="5">
        <f>IFERROR((C94/C93)-(D94/D93),0)</f>
        <v/>
      </c>
    </row>
    <row r="95">
      <c r="A95" t="inlineStr">
        <is>
          <t>CBSA 23224</t>
        </is>
      </c>
      <c r="B95" t="inlineStr">
        <is>
          <t>Avg SB LMICT Loan Amount</t>
        </is>
      </c>
      <c r="C95" s="4" t="n">
        <v>66.41657271702367</v>
      </c>
      <c r="D95" s="4" t="n">
        <v>51.57321682970842</v>
      </c>
      <c r="E95" s="5">
        <f>IFERROR((C95/D95)-1,0)</f>
        <v/>
      </c>
    </row>
    <row r="96">
      <c r="A96" t="inlineStr">
        <is>
          <t>CBSA 23224</t>
        </is>
      </c>
      <c r="B96" t="inlineStr">
        <is>
          <t>Loans Rev Under $1m</t>
        </is>
      </c>
      <c r="C96" s="4" t="n">
        <v>27097</v>
      </c>
      <c r="D96" s="4" t="n">
        <v>195433</v>
      </c>
      <c r="E96" s="5">
        <f>IFERROR((C96/C93)-(D96/D93),0)</f>
        <v/>
      </c>
    </row>
    <row r="97">
      <c r="A97" t="inlineStr">
        <is>
          <t>CBSA 23224</t>
        </is>
      </c>
      <c r="B97" t="inlineStr">
        <is>
          <t>Avg Loan Amt for RUM SB</t>
        </is>
      </c>
      <c r="C97" s="4" t="n">
        <v>40.67114440712994</v>
      </c>
      <c r="D97" s="4" t="n">
        <v>25.56505810175354</v>
      </c>
      <c r="E97" s="5">
        <f>IFERROR((C97/D97)-1,0)</f>
        <v/>
      </c>
    </row>
    <row r="98">
      <c r="A98" t="inlineStr">
        <is>
          <t>CBSA 15804</t>
        </is>
      </c>
      <c r="B98" t="inlineStr">
        <is>
          <t>SB Loans</t>
        </is>
      </c>
      <c r="C98" s="4" t="n">
        <v>41944</v>
      </c>
      <c r="D98" s="4" t="n">
        <v>331694</v>
      </c>
    </row>
    <row r="99">
      <c r="A99" t="inlineStr">
        <is>
          <t>CBSA 15804</t>
        </is>
      </c>
      <c r="B99" t="inlineStr">
        <is>
          <t>#LMICT</t>
        </is>
      </c>
      <c r="C99" s="4" t="n">
        <v>4690</v>
      </c>
      <c r="D99" s="4" t="n">
        <v>32800</v>
      </c>
      <c r="E99" s="5">
        <f>IFERROR((C99/C98)-(D99/D98),0)</f>
        <v/>
      </c>
    </row>
    <row r="100">
      <c r="A100" t="inlineStr">
        <is>
          <t>CBSA 15804</t>
        </is>
      </c>
      <c r="B100" t="inlineStr">
        <is>
          <t>Avg SB LMICT Loan Amount</t>
        </is>
      </c>
      <c r="C100" s="4" t="n">
        <v>85.12089552238805</v>
      </c>
      <c r="D100" s="4" t="n">
        <v>34.91356707317073</v>
      </c>
      <c r="E100" s="5">
        <f>IFERROR((C100/D100)-1,0)</f>
        <v/>
      </c>
    </row>
    <row r="101">
      <c r="A101" t="inlineStr">
        <is>
          <t>CBSA 15804</t>
        </is>
      </c>
      <c r="B101" t="inlineStr">
        <is>
          <t>Loans Rev Under $1m</t>
        </is>
      </c>
      <c r="C101" s="4" t="n">
        <v>24493</v>
      </c>
      <c r="D101" s="4" t="n">
        <v>199634</v>
      </c>
      <c r="E101" s="5">
        <f>IFERROR((C101/C98)-(D101/D98),0)</f>
        <v/>
      </c>
    </row>
    <row r="102">
      <c r="A102" t="inlineStr">
        <is>
          <t>CBSA 15804</t>
        </is>
      </c>
      <c r="B102" t="inlineStr">
        <is>
          <t>Avg Loan Amt for RUM SB</t>
        </is>
      </c>
      <c r="C102" s="4" t="n">
        <v>42.30237210631609</v>
      </c>
      <c r="D102" s="4" t="n">
        <v>16.22499173487482</v>
      </c>
      <c r="E102" s="5">
        <f>IFERROR((C102/D102)-1,0)</f>
        <v/>
      </c>
    </row>
    <row r="103">
      <c r="A103" t="inlineStr">
        <is>
          <t>CBSA 48864</t>
        </is>
      </c>
      <c r="B103" t="inlineStr">
        <is>
          <t>SB Loans</t>
        </is>
      </c>
      <c r="C103" s="4" t="n">
        <v>37051</v>
      </c>
      <c r="D103" s="4" t="n">
        <v>223634</v>
      </c>
    </row>
    <row r="104">
      <c r="A104" t="inlineStr">
        <is>
          <t>CBSA 48864</t>
        </is>
      </c>
      <c r="B104" t="inlineStr">
        <is>
          <t>#LMICT</t>
        </is>
      </c>
      <c r="C104" s="4" t="n">
        <v>9723</v>
      </c>
      <c r="D104" s="4" t="n">
        <v>30783</v>
      </c>
      <c r="E104" s="5">
        <f>IFERROR((C104/C103)-(D104/D103),0)</f>
        <v/>
      </c>
    </row>
    <row r="105">
      <c r="A105" t="inlineStr">
        <is>
          <t>CBSA 48864</t>
        </is>
      </c>
      <c r="B105" t="inlineStr">
        <is>
          <t>Avg SB LMICT Loan Amount</t>
        </is>
      </c>
      <c r="C105" s="4" t="n">
        <v>80.20374370050396</v>
      </c>
      <c r="D105" s="4" t="n">
        <v>47.35068057044472</v>
      </c>
      <c r="E105" s="5">
        <f>IFERROR((C105/D105)-1,0)</f>
        <v/>
      </c>
    </row>
    <row r="106">
      <c r="A106" t="inlineStr">
        <is>
          <t>CBSA 48864</t>
        </is>
      </c>
      <c r="B106" t="inlineStr">
        <is>
          <t>Loans Rev Under $1m</t>
        </is>
      </c>
      <c r="C106" s="4" t="n">
        <v>18865</v>
      </c>
      <c r="D106" s="4" t="n">
        <v>120711</v>
      </c>
      <c r="E106" s="5">
        <f>IFERROR((C106/C103)-(D106/D103),0)</f>
        <v/>
      </c>
    </row>
    <row r="107">
      <c r="A107" t="inlineStr">
        <is>
          <t>CBSA 48864</t>
        </is>
      </c>
      <c r="B107" t="inlineStr">
        <is>
          <t>Avg Loan Amt for RUM SB</t>
        </is>
      </c>
      <c r="C107" s="4" t="n">
        <v>36.80667903525046</v>
      </c>
      <c r="D107" s="4" t="n">
        <v>16.62902303849691</v>
      </c>
      <c r="E107" s="5">
        <f>IFERROR((C107/D107)-1,0)</f>
        <v/>
      </c>
    </row>
    <row r="108">
      <c r="A108" t="inlineStr">
        <is>
          <t>CBSA 19804</t>
        </is>
      </c>
      <c r="B108" t="inlineStr">
        <is>
          <t>SB Loans</t>
        </is>
      </c>
      <c r="C108" s="4" t="n">
        <v>36519</v>
      </c>
      <c r="D108" s="4" t="n">
        <v>296617</v>
      </c>
    </row>
    <row r="109">
      <c r="A109" t="inlineStr">
        <is>
          <t>CBSA 19804</t>
        </is>
      </c>
      <c r="B109" t="inlineStr">
        <is>
          <t>#LMICT</t>
        </is>
      </c>
      <c r="C109" s="4" t="n">
        <v>6307</v>
      </c>
      <c r="D109" s="4" t="n">
        <v>49728</v>
      </c>
      <c r="E109" s="5">
        <f>IFERROR((C109/C108)-(D109/D108),0)</f>
        <v/>
      </c>
    </row>
    <row r="110">
      <c r="A110" t="inlineStr">
        <is>
          <t>CBSA 19804</t>
        </is>
      </c>
      <c r="B110" t="inlineStr">
        <is>
          <t>Avg SB LMICT Loan Amount</t>
        </is>
      </c>
      <c r="C110" s="4" t="n">
        <v>50.0754716981132</v>
      </c>
      <c r="D110" s="4" t="n">
        <v>35.55383285070785</v>
      </c>
      <c r="E110" s="5">
        <f>IFERROR((C110/D110)-1,0)</f>
        <v/>
      </c>
    </row>
    <row r="111">
      <c r="A111" t="inlineStr">
        <is>
          <t>CBSA 19804</t>
        </is>
      </c>
      <c r="B111" t="inlineStr">
        <is>
          <t>Loans Rev Under $1m</t>
        </is>
      </c>
      <c r="C111" s="4" t="n">
        <v>20531</v>
      </c>
      <c r="D111" s="4" t="n">
        <v>166913</v>
      </c>
      <c r="E111" s="5">
        <f>IFERROR((C111/C108)-(D111/D108),0)</f>
        <v/>
      </c>
    </row>
    <row r="112">
      <c r="A112" t="inlineStr">
        <is>
          <t>CBSA 19804</t>
        </is>
      </c>
      <c r="B112" t="inlineStr">
        <is>
          <t>Avg Loan Amt for RUM SB</t>
        </is>
      </c>
      <c r="C112" s="4" t="n">
        <v>35.11319468121378</v>
      </c>
      <c r="D112" s="4" t="n">
        <v>26.07723185132375</v>
      </c>
      <c r="E112" s="5">
        <f>IFERROR((C112/D112)-1,0)</f>
        <v/>
      </c>
    </row>
    <row r="113">
      <c r="A113" t="inlineStr">
        <is>
          <t>CBSA 19124</t>
        </is>
      </c>
      <c r="B113" t="inlineStr">
        <is>
          <t>SB Loans</t>
        </is>
      </c>
      <c r="C113" s="4" t="n">
        <v>22309</v>
      </c>
      <c r="D113" s="4" t="n">
        <v>251235</v>
      </c>
    </row>
    <row r="114">
      <c r="A114" t="inlineStr">
        <is>
          <t>CBSA 19124</t>
        </is>
      </c>
      <c r="B114" t="inlineStr">
        <is>
          <t>#LMICT</t>
        </is>
      </c>
      <c r="C114" s="4" t="n">
        <v>406</v>
      </c>
      <c r="D114" s="4" t="n">
        <v>14220</v>
      </c>
      <c r="E114" s="5">
        <f>IFERROR((C114/C113)-(D114/D113),0)</f>
        <v/>
      </c>
    </row>
    <row r="115">
      <c r="A115" t="inlineStr">
        <is>
          <t>CBSA 19124</t>
        </is>
      </c>
      <c r="B115" t="inlineStr">
        <is>
          <t>Avg SB LMICT Loan Amount</t>
        </is>
      </c>
      <c r="C115" s="4" t="n">
        <v>73.41379310344827</v>
      </c>
      <c r="D115" s="4" t="n">
        <v>88.62412095639944</v>
      </c>
      <c r="E115" s="5">
        <f>IFERROR((C115/D115)-1,0)</f>
        <v/>
      </c>
    </row>
    <row r="116">
      <c r="A116" t="inlineStr">
        <is>
          <t>CBSA 19124</t>
        </is>
      </c>
      <c r="B116" t="inlineStr">
        <is>
          <t>Loans Rev Under $1m</t>
        </is>
      </c>
      <c r="C116" s="4" t="n">
        <v>11431</v>
      </c>
      <c r="D116" s="4" t="n">
        <v>86567</v>
      </c>
      <c r="E116" s="5">
        <f>IFERROR((C116/C113)-(D116/D113),0)</f>
        <v/>
      </c>
    </row>
    <row r="117">
      <c r="A117" t="inlineStr">
        <is>
          <t>CBSA 19124</t>
        </is>
      </c>
      <c r="B117" t="inlineStr">
        <is>
          <t>Avg Loan Amt for RUM SB</t>
        </is>
      </c>
      <c r="C117" s="4" t="n">
        <v>28.31292100428659</v>
      </c>
      <c r="D117" s="4" t="n">
        <v>46.71356290503309</v>
      </c>
      <c r="E117" s="5">
        <f>IFERROR((C117/D117)-1,0)</f>
        <v/>
      </c>
    </row>
    <row r="118">
      <c r="A118" t="inlineStr">
        <is>
          <t>Houston-The Woodlands-Sugar Land, TX</t>
        </is>
      </c>
      <c r="B118" t="inlineStr">
        <is>
          <t>SB Loans</t>
        </is>
      </c>
      <c r="C118" s="4" t="n">
        <v>21728</v>
      </c>
      <c r="D118" s="4" t="n">
        <v>218010</v>
      </c>
    </row>
    <row r="119">
      <c r="A119" t="inlineStr">
        <is>
          <t>Houston-The Woodlands-Sugar Land, TX</t>
        </is>
      </c>
      <c r="B119" t="inlineStr">
        <is>
          <t>#LMICT</t>
        </is>
      </c>
      <c r="C119" s="4" t="n">
        <v>847</v>
      </c>
      <c r="D119" s="4" t="n">
        <v>12569</v>
      </c>
      <c r="E119" s="5">
        <f>IFERROR((C119/C118)-(D119/D118),0)</f>
        <v/>
      </c>
    </row>
    <row r="120">
      <c r="A120" t="inlineStr">
        <is>
          <t>Houston-The Woodlands-Sugar Land, TX</t>
        </is>
      </c>
      <c r="B120" t="inlineStr">
        <is>
          <t>Avg SB LMICT Loan Amount</t>
        </is>
      </c>
      <c r="C120" s="4" t="n">
        <v>152.6198347107438</v>
      </c>
      <c r="D120" s="4" t="n">
        <v>124.2380459861564</v>
      </c>
      <c r="E120" s="5">
        <f>IFERROR((C120/D120)-1,0)</f>
        <v/>
      </c>
    </row>
    <row r="121">
      <c r="A121" t="inlineStr">
        <is>
          <t>Houston-The Woodlands-Sugar Land, TX</t>
        </is>
      </c>
      <c r="B121" t="inlineStr">
        <is>
          <t>Loans Rev Under $1m</t>
        </is>
      </c>
      <c r="C121" s="4" t="n">
        <v>11690</v>
      </c>
      <c r="D121" s="4" t="n">
        <v>71182</v>
      </c>
      <c r="E121" s="5">
        <f>IFERROR((C121/C118)-(D121/D118),0)</f>
        <v/>
      </c>
    </row>
    <row r="122">
      <c r="A122" t="inlineStr">
        <is>
          <t>Houston-The Woodlands-Sugar Land, TX</t>
        </is>
      </c>
      <c r="B122" t="inlineStr">
        <is>
          <t>Avg Loan Amt for RUM SB</t>
        </is>
      </c>
      <c r="C122" s="4" t="n">
        <v>32.0814371257485</v>
      </c>
      <c r="D122" s="4" t="n">
        <v>111.1686943328369</v>
      </c>
      <c r="E122" s="5">
        <f>IFERROR((C122/D122)-1,0)</f>
        <v/>
      </c>
    </row>
    <row r="123">
      <c r="A123" t="inlineStr">
        <is>
          <t>CBSA 29404</t>
        </is>
      </c>
      <c r="B123" t="inlineStr">
        <is>
          <t>SB Loans</t>
        </is>
      </c>
      <c r="C123" s="4" t="n">
        <v>17976</v>
      </c>
      <c r="D123" s="4" t="n">
        <v>153954</v>
      </c>
    </row>
    <row r="124">
      <c r="A124" t="inlineStr">
        <is>
          <t>CBSA 29404</t>
        </is>
      </c>
      <c r="B124" t="inlineStr">
        <is>
          <t>#LMICT</t>
        </is>
      </c>
      <c r="C124" s="4" t="n">
        <v>2450</v>
      </c>
      <c r="D124" s="4" t="n">
        <v>22650</v>
      </c>
      <c r="E124" s="5">
        <f>IFERROR((C124/C123)-(D124/D123),0)</f>
        <v/>
      </c>
    </row>
    <row r="125">
      <c r="A125" t="inlineStr">
        <is>
          <t>CBSA 29404</t>
        </is>
      </c>
      <c r="B125" t="inlineStr">
        <is>
          <t>Avg SB LMICT Loan Amount</t>
        </is>
      </c>
      <c r="C125" s="4" t="n">
        <v>26.32571428571429</v>
      </c>
      <c r="D125" s="4" t="n">
        <v>57.50088300220751</v>
      </c>
      <c r="E125" s="5">
        <f>IFERROR((C125/D125)-1,0)</f>
        <v/>
      </c>
    </row>
    <row r="126">
      <c r="A126" t="inlineStr">
        <is>
          <t>CBSA 29404</t>
        </is>
      </c>
      <c r="B126" t="inlineStr">
        <is>
          <t>Loans Rev Under $1m</t>
        </is>
      </c>
      <c r="C126" s="4" t="n">
        <v>10815</v>
      </c>
      <c r="D126" s="4" t="n">
        <v>78917</v>
      </c>
      <c r="E126" s="5">
        <f>IFERROR((C126/C123)-(D126/D123),0)</f>
        <v/>
      </c>
    </row>
    <row r="127">
      <c r="A127" t="inlineStr">
        <is>
          <t>CBSA 29404</t>
        </is>
      </c>
      <c r="B127" t="inlineStr">
        <is>
          <t>Avg Loan Amt for RUM SB</t>
        </is>
      </c>
      <c r="C127" s="4" t="n">
        <v>28.6453074433657</v>
      </c>
      <c r="D127" s="4" t="n">
        <v>35.84675038331412</v>
      </c>
      <c r="E127" s="5">
        <f>IFERROR((C127/D127)-1,0)</f>
        <v/>
      </c>
    </row>
    <row r="128">
      <c r="A128" t="inlineStr">
        <is>
          <t>CBSA 33124</t>
        </is>
      </c>
      <c r="B128" t="inlineStr">
        <is>
          <t>SB Loans</t>
        </is>
      </c>
      <c r="C128" s="4" t="n">
        <v>16051</v>
      </c>
      <c r="D128" s="4" t="n">
        <v>184807</v>
      </c>
    </row>
    <row r="129">
      <c r="A129" t="inlineStr">
        <is>
          <t>CBSA 33124</t>
        </is>
      </c>
      <c r="B129" t="inlineStr">
        <is>
          <t>#LMICT</t>
        </is>
      </c>
      <c r="C129" s="4" t="n">
        <v>2569</v>
      </c>
      <c r="D129" s="4" t="n">
        <v>22235</v>
      </c>
      <c r="E129" s="5">
        <f>IFERROR((C129/C128)-(D129/D128),0)</f>
        <v/>
      </c>
    </row>
    <row r="130">
      <c r="A130" t="inlineStr">
        <is>
          <t>CBSA 33124</t>
        </is>
      </c>
      <c r="B130" t="inlineStr">
        <is>
          <t>Avg SB LMICT Loan Amount</t>
        </is>
      </c>
      <c r="C130" s="4" t="n">
        <v>52.283378746594</v>
      </c>
      <c r="D130" s="4" t="n">
        <v>60.99883067236339</v>
      </c>
      <c r="E130" s="5">
        <f>IFERROR((C130/D130)-1,0)</f>
        <v/>
      </c>
    </row>
    <row r="131">
      <c r="A131" t="inlineStr">
        <is>
          <t>CBSA 33124</t>
        </is>
      </c>
      <c r="B131" t="inlineStr">
        <is>
          <t>Loans Rev Under $1m</t>
        </is>
      </c>
      <c r="C131" s="4" t="n">
        <v>9093</v>
      </c>
      <c r="D131" s="4" t="n">
        <v>54681</v>
      </c>
      <c r="E131" s="5">
        <f>IFERROR((C131/C128)-(D131/D128),0)</f>
        <v/>
      </c>
    </row>
    <row r="132">
      <c r="A132" t="inlineStr">
        <is>
          <t>CBSA 33124</t>
        </is>
      </c>
      <c r="B132" t="inlineStr">
        <is>
          <t>Avg Loan Amt for RUM SB</t>
        </is>
      </c>
      <c r="C132" s="4" t="n">
        <v>30.93918398768283</v>
      </c>
      <c r="D132" s="4" t="n">
        <v>59.22276476289753</v>
      </c>
      <c r="E132" s="5">
        <f>IFERROR((C132/D132)-1,0)</f>
        <v/>
      </c>
    </row>
    <row r="133">
      <c r="A133" t="inlineStr">
        <is>
          <t>Birmingham-Hoover, AL</t>
        </is>
      </c>
      <c r="B133" t="inlineStr">
        <is>
          <t>SB Loans</t>
        </is>
      </c>
      <c r="C133" s="4" t="n">
        <v>15197</v>
      </c>
      <c r="D133" s="4" t="n">
        <v>174343</v>
      </c>
    </row>
    <row r="134">
      <c r="A134" t="inlineStr">
        <is>
          <t>Birmingham-Hoover, AL</t>
        </is>
      </c>
      <c r="B134" t="inlineStr">
        <is>
          <t>#LMICT</t>
        </is>
      </c>
      <c r="C134" s="4" t="n">
        <v>1995</v>
      </c>
      <c r="D134" s="4" t="n">
        <v>26089</v>
      </c>
      <c r="E134" s="5">
        <f>IFERROR((C134/C133)-(D134/D133),0)</f>
        <v/>
      </c>
    </row>
    <row r="135">
      <c r="A135" t="inlineStr">
        <is>
          <t>Birmingham-Hoover, AL</t>
        </is>
      </c>
      <c r="B135" t="inlineStr">
        <is>
          <t>Avg SB LMICT Loan Amount</t>
        </is>
      </c>
      <c r="C135" s="4" t="n">
        <v>59.24912280701754</v>
      </c>
      <c r="D135" s="4" t="n">
        <v>77.60914561692667</v>
      </c>
      <c r="E135" s="5">
        <f>IFERROR((C135/D135)-1,0)</f>
        <v/>
      </c>
    </row>
    <row r="136">
      <c r="A136" t="inlineStr">
        <is>
          <t>Birmingham-Hoover, AL</t>
        </is>
      </c>
      <c r="B136" t="inlineStr">
        <is>
          <t>Loans Rev Under $1m</t>
        </is>
      </c>
      <c r="C136" s="4" t="n">
        <v>8540</v>
      </c>
      <c r="D136" s="4" t="n">
        <v>77043</v>
      </c>
      <c r="E136" s="5">
        <f>IFERROR((C136/C133)-(D136/D133),0)</f>
        <v/>
      </c>
    </row>
    <row r="137">
      <c r="A137" t="inlineStr">
        <is>
          <t>Birmingham-Hoover, AL</t>
        </is>
      </c>
      <c r="B137" t="inlineStr">
        <is>
          <t>Avg Loan Amt for RUM SB</t>
        </is>
      </c>
      <c r="C137" s="4" t="n">
        <v>27.98688524590164</v>
      </c>
      <c r="D137" s="4" t="n">
        <v>53.02627104344327</v>
      </c>
      <c r="E137" s="5">
        <f>IFERROR((C137/D137)-1,0)</f>
        <v/>
      </c>
    </row>
    <row r="138">
      <c r="A138" t="inlineStr">
        <is>
          <t>Harrisburg-Carlisle, PA</t>
        </is>
      </c>
      <c r="B138" t="inlineStr">
        <is>
          <t>SB Loans</t>
        </is>
      </c>
      <c r="C138" s="4" t="n">
        <v>14294</v>
      </c>
      <c r="D138" s="4" t="n">
        <v>119448</v>
      </c>
    </row>
    <row r="139">
      <c r="A139" t="inlineStr">
        <is>
          <t>Harrisburg-Carlisle, PA</t>
        </is>
      </c>
      <c r="B139" t="inlineStr">
        <is>
          <t>#LMICT</t>
        </is>
      </c>
      <c r="C139" s="4" t="n">
        <v>2807</v>
      </c>
      <c r="D139" s="4" t="n">
        <v>22055</v>
      </c>
      <c r="E139" s="5">
        <f>IFERROR((C139/C138)-(D139/D138),0)</f>
        <v/>
      </c>
    </row>
    <row r="140">
      <c r="A140" t="inlineStr">
        <is>
          <t>Harrisburg-Carlisle, PA</t>
        </is>
      </c>
      <c r="B140" t="inlineStr">
        <is>
          <t>Avg SB LMICT Loan Amount</t>
        </is>
      </c>
      <c r="C140" s="4" t="n">
        <v>79.22443890274315</v>
      </c>
      <c r="D140" s="4" t="n">
        <v>41.30582634323283</v>
      </c>
      <c r="E140" s="5">
        <f>IFERROR((C140/D140)-1,0)</f>
        <v/>
      </c>
    </row>
    <row r="141">
      <c r="A141" t="inlineStr">
        <is>
          <t>Harrisburg-Carlisle, PA</t>
        </is>
      </c>
      <c r="B141" t="inlineStr">
        <is>
          <t>Loans Rev Under $1m</t>
        </is>
      </c>
      <c r="C141" s="4" t="n">
        <v>7721</v>
      </c>
      <c r="D141" s="4" t="n">
        <v>60875</v>
      </c>
      <c r="E141" s="5">
        <f>IFERROR((C141/C138)-(D141/D138),0)</f>
        <v/>
      </c>
    </row>
    <row r="142">
      <c r="A142" t="inlineStr">
        <is>
          <t>Harrisburg-Carlisle, PA</t>
        </is>
      </c>
      <c r="B142" t="inlineStr">
        <is>
          <t>Avg Loan Amt for RUM SB</t>
        </is>
      </c>
      <c r="C142" s="4" t="n">
        <v>36.21849501359927</v>
      </c>
      <c r="D142" s="4" t="n">
        <v>25.98147022587269</v>
      </c>
      <c r="E142" s="5">
        <f>IFERROR((C142/D142)-1,0)</f>
        <v/>
      </c>
    </row>
    <row r="143">
      <c r="A143" t="inlineStr">
        <is>
          <t>CBSA 20994</t>
        </is>
      </c>
      <c r="B143" t="inlineStr">
        <is>
          <t>SB Loans</t>
        </is>
      </c>
      <c r="C143" s="4" t="n">
        <v>11018</v>
      </c>
      <c r="D143" s="4" t="n">
        <v>115769</v>
      </c>
    </row>
    <row r="144">
      <c r="A144" t="inlineStr">
        <is>
          <t>CBSA 20994</t>
        </is>
      </c>
      <c r="B144" t="inlineStr">
        <is>
          <t>#LMICT</t>
        </is>
      </c>
      <c r="C144" s="4" t="n">
        <v>2170</v>
      </c>
      <c r="D144" s="4" t="n">
        <v>14919</v>
      </c>
      <c r="E144" s="5">
        <f>IFERROR((C144/C143)-(D144/D143),0)</f>
        <v/>
      </c>
    </row>
    <row r="145">
      <c r="A145" t="inlineStr">
        <is>
          <t>CBSA 20994</t>
        </is>
      </c>
      <c r="B145" t="inlineStr">
        <is>
          <t>Avg SB LMICT Loan Amount</t>
        </is>
      </c>
      <c r="C145" s="4" t="n">
        <v>44.27096774193549</v>
      </c>
      <c r="D145" s="4" t="n">
        <v>59.45445405188016</v>
      </c>
      <c r="E145" s="5">
        <f>IFERROR((C145/D145)-1,0)</f>
        <v/>
      </c>
    </row>
    <row r="146">
      <c r="A146" t="inlineStr">
        <is>
          <t>CBSA 20994</t>
        </is>
      </c>
      <c r="B146" t="inlineStr">
        <is>
          <t>Loans Rev Under $1m</t>
        </is>
      </c>
      <c r="C146" s="4" t="n">
        <v>7168</v>
      </c>
      <c r="D146" s="4" t="n">
        <v>48755</v>
      </c>
      <c r="E146" s="5">
        <f>IFERROR((C146/C143)-(D146/D143),0)</f>
        <v/>
      </c>
    </row>
    <row r="147">
      <c r="A147" t="inlineStr">
        <is>
          <t>CBSA 20994</t>
        </is>
      </c>
      <c r="B147" t="inlineStr">
        <is>
          <t>Avg Loan Amt for RUM SB</t>
        </is>
      </c>
      <c r="C147" s="4" t="n">
        <v>33.158203125</v>
      </c>
      <c r="D147" s="4" t="n">
        <v>45.74632345400472</v>
      </c>
      <c r="E147" s="5">
        <f>IFERROR((C147/D147)-1,0)</f>
        <v/>
      </c>
    </row>
    <row r="148">
      <c r="A148" t="inlineStr">
        <is>
          <t>CBSA 23104</t>
        </is>
      </c>
      <c r="B148" t="inlineStr">
        <is>
          <t>SB Loans</t>
        </is>
      </c>
      <c r="C148" s="4" t="n">
        <v>9639</v>
      </c>
      <c r="D148" s="4" t="n">
        <v>119654</v>
      </c>
    </row>
    <row r="149">
      <c r="A149" t="inlineStr">
        <is>
          <t>CBSA 23104</t>
        </is>
      </c>
      <c r="B149" t="inlineStr">
        <is>
          <t>#LMICT</t>
        </is>
      </c>
      <c r="C149" s="4" t="n">
        <v>364</v>
      </c>
      <c r="D149" s="4" t="n">
        <v>8489</v>
      </c>
      <c r="E149" s="5">
        <f>IFERROR((C149/C148)-(D149/D148),0)</f>
        <v/>
      </c>
    </row>
    <row r="150">
      <c r="A150" t="inlineStr">
        <is>
          <t>CBSA 23104</t>
        </is>
      </c>
      <c r="B150" t="inlineStr">
        <is>
          <t>Avg SB LMICT Loan Amount</t>
        </is>
      </c>
      <c r="C150" s="4" t="n">
        <v>123.5384615384615</v>
      </c>
      <c r="D150" s="4" t="n">
        <v>105.8832606903051</v>
      </c>
      <c r="E150" s="5">
        <f>IFERROR((C150/D150)-1,0)</f>
        <v/>
      </c>
    </row>
    <row r="151">
      <c r="A151" t="inlineStr">
        <is>
          <t>CBSA 23104</t>
        </is>
      </c>
      <c r="B151" t="inlineStr">
        <is>
          <t>Loans Rev Under $1m</t>
        </is>
      </c>
      <c r="C151" s="4" t="n">
        <v>4956</v>
      </c>
      <c r="D151" s="4" t="n">
        <v>36468</v>
      </c>
      <c r="E151" s="5">
        <f>IFERROR((C151/C148)-(D151/D148),0)</f>
        <v/>
      </c>
    </row>
    <row r="152">
      <c r="A152" t="inlineStr">
        <is>
          <t>CBSA 23104</t>
        </is>
      </c>
      <c r="B152" t="inlineStr">
        <is>
          <t>Avg Loan Amt for RUM SB</t>
        </is>
      </c>
      <c r="C152" s="4" t="n">
        <v>33.32768361581921</v>
      </c>
      <c r="D152" s="4" t="n">
        <v>80.91625534715367</v>
      </c>
      <c r="E152" s="5">
        <f>IFERROR((C152/D152)-1,0)</f>
        <v/>
      </c>
    </row>
    <row r="153">
      <c r="A153" t="inlineStr">
        <is>
          <t>CBSA 23844</t>
        </is>
      </c>
      <c r="B153" t="inlineStr">
        <is>
          <t>SB Loans</t>
        </is>
      </c>
      <c r="C153" s="4" t="n">
        <v>4242</v>
      </c>
      <c r="D153" s="4" t="n">
        <v>54992</v>
      </c>
    </row>
    <row r="154">
      <c r="A154" t="inlineStr">
        <is>
          <t>CBSA 23844</t>
        </is>
      </c>
      <c r="B154" t="inlineStr">
        <is>
          <t>#LMICT</t>
        </is>
      </c>
      <c r="C154" s="4" t="n">
        <v>1309</v>
      </c>
      <c r="D154" s="4" t="n">
        <v>10975</v>
      </c>
      <c r="E154" s="5">
        <f>IFERROR((C154/C153)-(D154/D153),0)</f>
        <v/>
      </c>
    </row>
    <row r="155">
      <c r="A155" t="inlineStr">
        <is>
          <t>CBSA 23844</t>
        </is>
      </c>
      <c r="B155" t="inlineStr">
        <is>
          <t>Avg SB LMICT Loan Amount</t>
        </is>
      </c>
      <c r="C155" s="4" t="n">
        <v>75.55614973262033</v>
      </c>
      <c r="D155" s="4" t="n">
        <v>95.01558086560364</v>
      </c>
      <c r="E155" s="5">
        <f>IFERROR((C155/D155)-1,0)</f>
        <v/>
      </c>
    </row>
    <row r="156">
      <c r="A156" t="inlineStr">
        <is>
          <t>CBSA 23844</t>
        </is>
      </c>
      <c r="B156" t="inlineStr">
        <is>
          <t>Loans Rev Under $1m</t>
        </is>
      </c>
      <c r="C156" s="4" t="n">
        <v>2296</v>
      </c>
      <c r="D156" s="4" t="n">
        <v>23363</v>
      </c>
      <c r="E156" s="5">
        <f>IFERROR((C156/C153)-(D156/D153),0)</f>
        <v/>
      </c>
    </row>
    <row r="157">
      <c r="A157" t="inlineStr">
        <is>
          <t>CBSA 23844</t>
        </is>
      </c>
      <c r="B157" t="inlineStr">
        <is>
          <t>Avg Loan Amt for RUM SB</t>
        </is>
      </c>
      <c r="C157" s="4" t="n">
        <v>36.875</v>
      </c>
      <c r="D157" s="4" t="n">
        <v>68.08016949878012</v>
      </c>
      <c r="E157" s="5">
        <f>IFERROR((C157/D157)-1,0)</f>
        <v/>
      </c>
    </row>
    <row r="158">
      <c r="A158" t="inlineStr">
        <is>
          <t>CBSA 35004</t>
        </is>
      </c>
      <c r="B158" t="inlineStr">
        <is>
          <t>SB Loans</t>
        </is>
      </c>
      <c r="C158" s="4" t="n">
        <v>1946</v>
      </c>
      <c r="D158" s="4" t="n">
        <v>34828</v>
      </c>
    </row>
    <row r="159">
      <c r="A159" t="inlineStr">
        <is>
          <t>CBSA 35004</t>
        </is>
      </c>
      <c r="B159" t="inlineStr">
        <is>
          <t>#LMICT</t>
        </is>
      </c>
      <c r="C159" s="4" t="n">
        <v>105</v>
      </c>
      <c r="D159" s="4" t="n">
        <v>2840</v>
      </c>
      <c r="E159" s="5">
        <f>IFERROR((C159/C158)-(D159/D158),0)</f>
        <v/>
      </c>
    </row>
    <row r="160">
      <c r="A160" t="inlineStr">
        <is>
          <t>CBSA 35004</t>
        </is>
      </c>
      <c r="B160" t="inlineStr">
        <is>
          <t>Avg SB LMICT Loan Amount</t>
        </is>
      </c>
      <c r="C160" s="4" t="n">
        <v>358.6666666666667</v>
      </c>
      <c r="D160" s="4" t="n">
        <v>111.7584507042254</v>
      </c>
      <c r="E160" s="5">
        <f>IFERROR((C160/D160)-1,0)</f>
        <v/>
      </c>
    </row>
    <row r="161">
      <c r="A161" t="inlineStr">
        <is>
          <t>CBSA 35004</t>
        </is>
      </c>
      <c r="B161" t="inlineStr">
        <is>
          <t>Loans Rev Under $1m</t>
        </is>
      </c>
      <c r="C161" s="4" t="n">
        <v>742</v>
      </c>
      <c r="D161" s="4" t="n">
        <v>9491</v>
      </c>
      <c r="E161" s="5">
        <f>IFERROR((C161/C158)-(D161/D158),0)</f>
        <v/>
      </c>
    </row>
    <row r="162">
      <c r="A162" t="inlineStr">
        <is>
          <t>CBSA 35004</t>
        </is>
      </c>
      <c r="B162" t="inlineStr">
        <is>
          <t>Avg Loan Amt for RUM SB</t>
        </is>
      </c>
      <c r="C162" s="4" t="n">
        <v>74.44339622641509</v>
      </c>
      <c r="D162" s="4" t="n">
        <v>126.3356864397851</v>
      </c>
      <c r="E162" s="5">
        <f>IFERROR((C162/D162)-1,0)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212443</v>
      </c>
      <c r="D2" s="4" t="n">
        <v>1203171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34013</v>
      </c>
      <c r="D3" s="4" t="n">
        <v>202459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106.2066268779584</v>
      </c>
      <c r="D4" s="4" t="n">
        <v>56.60970369309342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56287</v>
      </c>
      <c r="D5" s="4" t="n">
        <v>602298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100.0683994528044</v>
      </c>
      <c r="D6" s="4" t="n">
        <v>28.74150835632859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133854</v>
      </c>
      <c r="D8" s="4" t="n">
        <v>696348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19334</v>
      </c>
      <c r="D9" s="4" t="n">
        <v>100960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97.76140477914555</v>
      </c>
      <c r="D10" s="4" t="n">
        <v>35.72160261489699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34895</v>
      </c>
      <c r="D11" s="4" t="n">
        <v>374759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87.02627883650953</v>
      </c>
      <c r="D12" s="4" t="n">
        <v>18.95979015847518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13545</v>
      </c>
      <c r="D18" s="4" t="n">
        <v>23218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161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64.82608695652173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2961</v>
      </c>
      <c r="D21" s="4" t="n">
        <v>12468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73.02364066193853</v>
      </c>
      <c r="D22" s="4" t="n">
        <v>35.46920115495669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11382</v>
      </c>
      <c r="D28" s="4" t="n">
        <v>63405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11795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28.76244171259008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3682</v>
      </c>
      <c r="D31" s="4" t="n">
        <v>28372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106.1026615969582</v>
      </c>
      <c r="D32" s="4" t="n">
        <v>20.34065275623854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10262</v>
      </c>
      <c r="D33" s="4" t="n">
        <v>147287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1421</v>
      </c>
      <c r="D34" s="4" t="n">
        <v>20953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178.2019704433498</v>
      </c>
      <c r="D35" s="4" t="n">
        <v>166.1016560874338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3059</v>
      </c>
      <c r="D36" s="4" t="n">
        <v>44579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207.5858123569794</v>
      </c>
      <c r="D37" s="4" t="n">
        <v>111.7565445613405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6699</v>
      </c>
      <c r="D43" s="4" t="n">
        <v>30064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343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41.26530612244898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1715</v>
      </c>
      <c r="D46" s="4" t="n">
        <v>17486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76.69795918367348</v>
      </c>
      <c r="D47" s="4" t="n">
        <v>24.93303213999771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1168</v>
      </c>
      <c r="D2" s="7" t="n">
        <v>16796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298</v>
      </c>
      <c r="D3" s="7" t="n">
        <v>4006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407</v>
      </c>
      <c r="D4" s="7" t="n">
        <v>5870</v>
      </c>
      <c r="E4" s="5">
        <f>IFERROR(IF(C2=0,0,IF(D2=0,0,(C4/C2)-(D4/D2))),0)</f>
        <v/>
      </c>
    </row>
    <row r="6">
      <c r="A6" t="inlineStr">
        <is>
          <t>Philadelphia-Camden-Wilmington, PA-NJ-DE-MD</t>
        </is>
      </c>
      <c r="B6" t="inlineStr">
        <is>
          <t>Branches</t>
        </is>
      </c>
      <c r="C6" s="7" t="n">
        <v>132</v>
      </c>
      <c r="D6" s="7" t="n">
        <v>1231</v>
      </c>
    </row>
    <row r="7">
      <c r="A7" t="inlineStr">
        <is>
          <t>Philadelphia-Camden-Wilmington, PA-NJ-DE-MD</t>
        </is>
      </c>
      <c r="B7" t="inlineStr">
        <is>
          <t>LMICT</t>
        </is>
      </c>
      <c r="C7" s="7" t="n">
        <v>27</v>
      </c>
      <c r="D7" s="7" t="n">
        <v>262</v>
      </c>
      <c r="E7" s="5">
        <f>IFERROR(IF(C6=0,0,IF(D6=0,0,(C7/C6)-(D7/D6))),0)</f>
        <v/>
      </c>
    </row>
    <row r="8">
      <c r="A8" t="inlineStr">
        <is>
          <t>Philadelphia-Camden-Wilmington, PA-NJ-DE-MD</t>
        </is>
      </c>
      <c r="B8" t="inlineStr">
        <is>
          <t>MMCT</t>
        </is>
      </c>
      <c r="C8" s="7" t="n">
        <v>41</v>
      </c>
      <c r="D8" s="7" t="n">
        <v>201</v>
      </c>
      <c r="E8" s="5">
        <f>IFERROR(IF(C6=0,0,IF(D6=0,0,(C8/C6)-(D8/D6))),0)</f>
        <v/>
      </c>
    </row>
    <row r="9">
      <c r="A9" t="inlineStr">
        <is>
          <t>New York-Newark-Jersey City, NY-NJ-PA</t>
        </is>
      </c>
      <c r="B9" t="inlineStr">
        <is>
          <t>Branches</t>
        </is>
      </c>
      <c r="C9" s="7" t="n">
        <v>126</v>
      </c>
      <c r="D9" s="7" t="n">
        <v>4039</v>
      </c>
    </row>
    <row r="10">
      <c r="A10" t="inlineStr">
        <is>
          <t>New York-Newark-Jersey City, NY-NJ-PA</t>
        </is>
      </c>
      <c r="B10" t="inlineStr">
        <is>
          <t>LMICT</t>
        </is>
      </c>
      <c r="C10" s="7" t="n">
        <v>28</v>
      </c>
      <c r="D10" s="7" t="n">
        <v>921</v>
      </c>
      <c r="E10" s="5">
        <f>IFERROR(IF(C9=0,0,IF(D9=0,0,(C10/C9)-(D10/D9))),0)</f>
        <v/>
      </c>
    </row>
    <row r="11">
      <c r="A11" t="inlineStr">
        <is>
          <t>New York-Newark-Jersey City, NY-NJ-PA</t>
        </is>
      </c>
      <c r="B11" t="inlineStr">
        <is>
          <t>MMCT</t>
        </is>
      </c>
      <c r="C11" s="7" t="n">
        <v>51</v>
      </c>
      <c r="D11" s="7" t="n">
        <v>1576</v>
      </c>
      <c r="E11" s="5">
        <f>IFERROR(IF(C9=0,0,IF(D9=0,0,(C11/C9)-(D11/D9))),0)</f>
        <v/>
      </c>
    </row>
    <row r="12">
      <c r="A12" t="inlineStr">
        <is>
          <t>Chicago-Naperville-Elgin, IL-IN-WI</t>
        </is>
      </c>
      <c r="B12" t="inlineStr">
        <is>
          <t>Branches</t>
        </is>
      </c>
      <c r="C12" s="7" t="n">
        <v>119</v>
      </c>
      <c r="D12" s="7" t="n">
        <v>2072</v>
      </c>
    </row>
    <row r="13">
      <c r="A13" t="inlineStr">
        <is>
          <t>Chicago-Naperville-Elgin, IL-IN-WI</t>
        </is>
      </c>
      <c r="B13" t="inlineStr">
        <is>
          <t>LMICT</t>
        </is>
      </c>
      <c r="C13" s="7" t="n">
        <v>23</v>
      </c>
      <c r="D13" s="7" t="n">
        <v>441</v>
      </c>
      <c r="E13" s="5">
        <f>IFERROR(IF(C12=0,0,IF(D12=0,0,(C13/C12)-(D13/D12))),0)</f>
        <v/>
      </c>
    </row>
    <row r="14">
      <c r="A14" t="inlineStr">
        <is>
          <t>Chicago-Naperville-Elgin, IL-IN-WI</t>
        </is>
      </c>
      <c r="B14" t="inlineStr">
        <is>
          <t>MMCT</t>
        </is>
      </c>
      <c r="C14" s="7" t="n">
        <v>44</v>
      </c>
      <c r="D14" s="7" t="n">
        <v>639</v>
      </c>
      <c r="E14" s="5">
        <f>IFERROR(IF(C12=0,0,IF(D12=0,0,(C14/C12)-(D14/D12))),0)</f>
        <v/>
      </c>
    </row>
    <row r="15">
      <c r="A15" t="inlineStr">
        <is>
          <t>Washington-Arlington-Alexandria, DC-VA-MD-WV</t>
        </is>
      </c>
      <c r="B15" t="inlineStr">
        <is>
          <t>Branches</t>
        </is>
      </c>
      <c r="C15" s="7" t="n">
        <v>102</v>
      </c>
      <c r="D15" s="7" t="n">
        <v>1093</v>
      </c>
    </row>
    <row r="16">
      <c r="A16" t="inlineStr">
        <is>
          <t>Washington-Arlington-Alexandria, DC-VA-MD-WV</t>
        </is>
      </c>
      <c r="B16" t="inlineStr">
        <is>
          <t>LMICT</t>
        </is>
      </c>
      <c r="C16" s="7" t="n">
        <v>26</v>
      </c>
      <c r="D16" s="7" t="n">
        <v>322</v>
      </c>
      <c r="E16" s="5">
        <f>IFERROR(IF(C15=0,0,IF(D15=0,0,(C16/C15)-(D16/D15))),0)</f>
        <v/>
      </c>
    </row>
    <row r="17">
      <c r="A17" t="inlineStr">
        <is>
          <t>Washington-Arlington-Alexandria, DC-VA-MD-WV</t>
        </is>
      </c>
      <c r="B17" t="inlineStr">
        <is>
          <t>MMCT</t>
        </is>
      </c>
      <c r="C17" s="7" t="n">
        <v>54</v>
      </c>
      <c r="D17" s="7" t="n">
        <v>538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99</v>
      </c>
      <c r="D18" s="7" t="n">
        <v>1488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31</v>
      </c>
      <c r="D19" s="7" t="n">
        <v>361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51</v>
      </c>
      <c r="D20" s="7" t="n">
        <v>706</v>
      </c>
      <c r="E20" s="5">
        <f>IFERROR(IF(C18=0,0,IF(D18=0,0,(C20/C18)-(D20/D18))),0)</f>
        <v/>
      </c>
    </row>
    <row r="21">
      <c r="A21" t="inlineStr">
        <is>
          <t>Pittsburgh, PA</t>
        </is>
      </c>
      <c r="B21" t="inlineStr">
        <is>
          <t>Branches</t>
        </is>
      </c>
      <c r="C21" s="7" t="n">
        <v>87</v>
      </c>
      <c r="D21" s="7" t="n">
        <v>592</v>
      </c>
    </row>
    <row r="22">
      <c r="A22" t="inlineStr">
        <is>
          <t>Pittsburgh, PA</t>
        </is>
      </c>
      <c r="B22" t="inlineStr">
        <is>
          <t>LMICT</t>
        </is>
      </c>
      <c r="C22" s="7" t="n">
        <v>16</v>
      </c>
      <c r="D22" s="7" t="n">
        <v>135</v>
      </c>
      <c r="E22" s="5">
        <f>IFERROR(IF(C21=0,0,IF(D21=0,0,(C22/C21)-(D22/D21))),0)</f>
        <v/>
      </c>
    </row>
    <row r="23">
      <c r="A23" t="inlineStr">
        <is>
          <t>Pittsburgh, PA</t>
        </is>
      </c>
      <c r="B23" t="inlineStr">
        <is>
          <t>MMCT</t>
        </is>
      </c>
      <c r="C23" s="7" t="n">
        <v>7</v>
      </c>
      <c r="D23" s="7" t="n">
        <v>27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77</v>
      </c>
      <c r="D24" s="7" t="n">
        <v>1264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18</v>
      </c>
      <c r="D25" s="7" t="n">
        <v>356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40</v>
      </c>
      <c r="D26" s="7" t="n">
        <v>725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63</v>
      </c>
      <c r="D27" s="7" t="n">
        <v>1270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19</v>
      </c>
      <c r="D28" s="7" t="n">
        <v>291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32</v>
      </c>
      <c r="D29" s="7" t="n">
        <v>845</v>
      </c>
      <c r="E29" s="5">
        <f>IFERROR(IF(C27=0,0,IF(D27=0,0,(C29/C27)-(D29/D27))),0)</f>
        <v/>
      </c>
    </row>
    <row r="30">
      <c r="A30" t="inlineStr">
        <is>
          <t>Detroit-Warren-Dearborn, MI</t>
        </is>
      </c>
      <c r="B30" t="inlineStr">
        <is>
          <t>Branches</t>
        </is>
      </c>
      <c r="C30" s="7" t="n">
        <v>59</v>
      </c>
      <c r="D30" s="7" t="n">
        <v>684</v>
      </c>
    </row>
    <row r="31">
      <c r="A31" t="inlineStr">
        <is>
          <t>Detroit-Warren-Dearborn, MI</t>
        </is>
      </c>
      <c r="B31" t="inlineStr">
        <is>
          <t>LMICT</t>
        </is>
      </c>
      <c r="C31" s="7" t="n">
        <v>21</v>
      </c>
      <c r="D31" s="7" t="n">
        <v>178</v>
      </c>
      <c r="E31" s="5">
        <f>IFERROR(IF(C30=0,0,IF(D30=0,0,(C31/C30)-(D31/D30))),0)</f>
        <v/>
      </c>
    </row>
    <row r="32">
      <c r="A32" t="inlineStr">
        <is>
          <t>Detroit-Warren-Dearborn, MI</t>
        </is>
      </c>
      <c r="B32" t="inlineStr">
        <is>
          <t>MMCT</t>
        </is>
      </c>
      <c r="C32" s="7" t="n">
        <v>15</v>
      </c>
      <c r="D32" s="7" t="n">
        <v>109</v>
      </c>
      <c r="E32" s="5">
        <f>IFERROR(IF(C30=0,0,IF(D30=0,0,(C32/C30)-(D32/D30))),0)</f>
        <v/>
      </c>
    </row>
    <row r="33">
      <c r="A33" t="inlineStr">
        <is>
          <t>Baltimore-Columbia-Towson, MD</t>
        </is>
      </c>
      <c r="B33" t="inlineStr">
        <is>
          <t>Branches</t>
        </is>
      </c>
      <c r="C33" s="7" t="n">
        <v>54</v>
      </c>
      <c r="D33" s="7" t="n">
        <v>472</v>
      </c>
    </row>
    <row r="34">
      <c r="A34" t="inlineStr">
        <is>
          <t>Baltimore-Columbia-Towson, MD</t>
        </is>
      </c>
      <c r="B34" t="inlineStr">
        <is>
          <t>LMICT</t>
        </is>
      </c>
      <c r="C34" s="7" t="n">
        <v>13</v>
      </c>
      <c r="D34" s="7" t="n">
        <v>113</v>
      </c>
      <c r="E34" s="5">
        <f>IFERROR(IF(C33=0,0,IF(D33=0,0,(C34/C33)-(D34/D33))),0)</f>
        <v/>
      </c>
    </row>
    <row r="35">
      <c r="A35" t="inlineStr">
        <is>
          <t>Baltimore-Columbia-Towson, MD</t>
        </is>
      </c>
      <c r="B35" t="inlineStr">
        <is>
          <t>MMCT</t>
        </is>
      </c>
      <c r="C35" s="7" t="n">
        <v>19</v>
      </c>
      <c r="D35" s="7" t="n">
        <v>155</v>
      </c>
      <c r="E35" s="5">
        <f>IFERROR(IF(C33=0,0,IF(D33=0,0,(C35/C33)-(D35/D33))),0)</f>
        <v/>
      </c>
    </row>
    <row r="36">
      <c r="A36" t="inlineStr">
        <is>
          <t>Cincinnati, OH-KY-IN</t>
        </is>
      </c>
      <c r="B36" t="inlineStr">
        <is>
          <t>Branches</t>
        </is>
      </c>
      <c r="C36" s="7" t="n">
        <v>47</v>
      </c>
      <c r="D36" s="7" t="n">
        <v>558</v>
      </c>
    </row>
    <row r="37">
      <c r="A37" t="inlineStr">
        <is>
          <t>Cincinnati, OH-KY-IN</t>
        </is>
      </c>
      <c r="B37" t="inlineStr">
        <is>
          <t>LMICT</t>
        </is>
      </c>
      <c r="C37" s="7" t="n">
        <v>13</v>
      </c>
      <c r="D37" s="7" t="n">
        <v>145</v>
      </c>
      <c r="E37" s="5">
        <f>IFERROR(IF(C36=0,0,IF(D36=0,0,(C37/C36)-(D37/D36))),0)</f>
        <v/>
      </c>
    </row>
    <row r="38">
      <c r="A38" t="inlineStr">
        <is>
          <t>Cincinnati, OH-KY-IN</t>
        </is>
      </c>
      <c r="B38" t="inlineStr">
        <is>
          <t>MMCT</t>
        </is>
      </c>
      <c r="C38" s="7" t="n">
        <v>8</v>
      </c>
      <c r="D38" s="7" t="n">
        <v>58</v>
      </c>
      <c r="E38" s="5">
        <f>IFERROR(IF(C36=0,0,IF(D36=0,0,(C38/C36)-(D38/D36))),0)</f>
        <v/>
      </c>
    </row>
    <row r="39">
      <c r="A39" t="inlineStr">
        <is>
          <t>Cleveland-Elyria, OH</t>
        </is>
      </c>
      <c r="B39" t="inlineStr">
        <is>
          <t>Branches</t>
        </is>
      </c>
      <c r="C39" s="7" t="n">
        <v>45</v>
      </c>
      <c r="D39" s="7" t="n">
        <v>468</v>
      </c>
    </row>
    <row r="40">
      <c r="A40" t="inlineStr">
        <is>
          <t>Cleveland-Elyria, OH</t>
        </is>
      </c>
      <c r="B40" t="inlineStr">
        <is>
          <t>LMICT</t>
        </is>
      </c>
      <c r="C40" s="7" t="n">
        <v>12</v>
      </c>
      <c r="D40" s="7" t="n">
        <v>113</v>
      </c>
      <c r="E40" s="5">
        <f>IFERROR(IF(C39=0,0,IF(D39=0,0,(C40/C39)-(D40/D39))),0)</f>
        <v/>
      </c>
    </row>
    <row r="41">
      <c r="A41" t="inlineStr">
        <is>
          <t>Cleveland-Elyria, OH</t>
        </is>
      </c>
      <c r="B41" t="inlineStr">
        <is>
          <t>MMCT</t>
        </is>
      </c>
      <c r="C41" s="7" t="n">
        <v>13</v>
      </c>
      <c r="D41" s="7" t="n">
        <v>84</v>
      </c>
      <c r="E41" s="5">
        <f>IFERROR(IF(C39=0,0,IF(D39=0,0,(C41/C39)-(D41/D39))),0)</f>
        <v/>
      </c>
    </row>
    <row r="42">
      <c r="A42" t="inlineStr">
        <is>
          <t>Indianapolis-Carmel-Anderson, IN</t>
        </is>
      </c>
      <c r="B42" t="inlineStr">
        <is>
          <t>Branches</t>
        </is>
      </c>
      <c r="C42" s="7" t="n">
        <v>44</v>
      </c>
      <c r="D42" s="7" t="n">
        <v>450</v>
      </c>
    </row>
    <row r="43">
      <c r="A43" t="inlineStr">
        <is>
          <t>Indianapolis-Carmel-Anderson, IN</t>
        </is>
      </c>
      <c r="B43" t="inlineStr">
        <is>
          <t>LMICT</t>
        </is>
      </c>
      <c r="C43" s="7" t="n">
        <v>16</v>
      </c>
      <c r="D43" s="7" t="n">
        <v>95</v>
      </c>
      <c r="E43" s="5">
        <f>IFERROR(IF(C42=0,0,IF(D42=0,0,(C43/C42)-(D43/D42))),0)</f>
        <v/>
      </c>
    </row>
    <row r="44">
      <c r="A44" t="inlineStr">
        <is>
          <t>Indianapolis-Carmel-Anderson, IN</t>
        </is>
      </c>
      <c r="B44" t="inlineStr">
        <is>
          <t>MMCT</t>
        </is>
      </c>
      <c r="C44" s="7" t="n">
        <v>9</v>
      </c>
      <c r="D44" s="7" t="n">
        <v>50</v>
      </c>
      <c r="E44" s="5">
        <f>IFERROR(IF(C42=0,0,IF(D42=0,0,(C44/C42)-(D44/D42))),0)</f>
        <v/>
      </c>
    </row>
    <row r="45">
      <c r="A45" t="inlineStr">
        <is>
          <t>Columbus, OH</t>
        </is>
      </c>
      <c r="B45" t="inlineStr">
        <is>
          <t>Branches</t>
        </is>
      </c>
      <c r="C45" s="7" t="n">
        <v>42</v>
      </c>
      <c r="D45" s="7" t="n">
        <v>434</v>
      </c>
    </row>
    <row r="46">
      <c r="A46" t="inlineStr">
        <is>
          <t>Columbus, OH</t>
        </is>
      </c>
      <c r="B46" t="inlineStr">
        <is>
          <t>LMICT</t>
        </is>
      </c>
      <c r="C46" s="7" t="n">
        <v>15</v>
      </c>
      <c r="D46" s="7" t="n">
        <v>132</v>
      </c>
      <c r="E46" s="5">
        <f>IFERROR(IF(C45=0,0,IF(D45=0,0,(C46/C45)-(D46/D45))),0)</f>
        <v/>
      </c>
    </row>
    <row r="47">
      <c r="A47" t="inlineStr">
        <is>
          <t>Columbus, OH</t>
        </is>
      </c>
      <c r="B47" t="inlineStr">
        <is>
          <t>MMCT</t>
        </is>
      </c>
      <c r="C47" s="7" t="n">
        <v>7</v>
      </c>
      <c r="D47" s="7" t="n">
        <v>50</v>
      </c>
      <c r="E47" s="5">
        <f>IFERROR(IF(C45=0,0,IF(D45=0,0,(C47/C45)-(D47/D45))),0)</f>
        <v/>
      </c>
    </row>
    <row r="48">
      <c r="A48" t="inlineStr">
        <is>
          <t>Louisville/Jefferson County, KY-IN</t>
        </is>
      </c>
      <c r="B48" t="inlineStr">
        <is>
          <t>Branches</t>
        </is>
      </c>
      <c r="C48" s="7" t="n">
        <v>39</v>
      </c>
      <c r="D48" s="7" t="n">
        <v>292</v>
      </c>
    </row>
    <row r="49">
      <c r="A49" t="inlineStr">
        <is>
          <t>Louisville/Jefferson County, KY-IN</t>
        </is>
      </c>
      <c r="B49" t="inlineStr">
        <is>
          <t>LMICT</t>
        </is>
      </c>
      <c r="C49" s="7" t="n">
        <v>10</v>
      </c>
      <c r="D49" s="7" t="n">
        <v>60</v>
      </c>
      <c r="E49" s="5">
        <f>IFERROR(IF(C48=0,0,IF(D48=0,0,(C49/C48)-(D49/D48))),0)</f>
        <v/>
      </c>
    </row>
    <row r="50">
      <c r="A50" t="inlineStr">
        <is>
          <t>Louisville/Jefferson County, KY-IN</t>
        </is>
      </c>
      <c r="B50" t="inlineStr">
        <is>
          <t>MMCT</t>
        </is>
      </c>
      <c r="C50" s="7" t="n">
        <v>5</v>
      </c>
      <c r="D50" s="7" t="n">
        <v>37</v>
      </c>
      <c r="E50" s="5">
        <f>IFERROR(IF(C48=0,0,IF(D48=0,0,(C50/C48)-(D50/D48))),0)</f>
        <v/>
      </c>
    </row>
    <row r="51">
      <c r="A51" t="inlineStr">
        <is>
          <t>Birmingham-Hoover, AL</t>
        </is>
      </c>
      <c r="B51" t="inlineStr">
        <is>
          <t>Branches</t>
        </is>
      </c>
      <c r="C51" s="7" t="n">
        <v>25</v>
      </c>
      <c r="D51" s="7" t="n">
        <v>256</v>
      </c>
    </row>
    <row r="52">
      <c r="A52" t="inlineStr">
        <is>
          <t>Birmingham-Hoover, AL</t>
        </is>
      </c>
      <c r="B52" t="inlineStr">
        <is>
          <t>LMICT</t>
        </is>
      </c>
      <c r="C52" s="7" t="n">
        <v>9</v>
      </c>
      <c r="D52" s="7" t="n">
        <v>48</v>
      </c>
      <c r="E52" s="5">
        <f>IFERROR(IF(C51=0,0,IF(D51=0,0,(C52/C51)-(D52/D51))),0)</f>
        <v/>
      </c>
    </row>
    <row r="53">
      <c r="A53" t="inlineStr">
        <is>
          <t>Birmingham-Hoover, AL</t>
        </is>
      </c>
      <c r="B53" t="inlineStr">
        <is>
          <t>MMCT</t>
        </is>
      </c>
      <c r="C53" s="7" t="n">
        <v>9</v>
      </c>
      <c r="D53" s="7" t="n">
        <v>52</v>
      </c>
      <c r="E53" s="5">
        <f>IFERROR(IF(C51=0,0,IF(D51=0,0,(C53/C51)-(D53/D51))),0)</f>
        <v/>
      </c>
    </row>
    <row r="54">
      <c r="A54" t="inlineStr">
        <is>
          <t>Harrisburg-Carlisle, PA</t>
        </is>
      </c>
      <c r="B54" t="inlineStr">
        <is>
          <t>Branches</t>
        </is>
      </c>
      <c r="C54" s="7" t="n">
        <v>8</v>
      </c>
      <c r="D54" s="7" t="n">
        <v>133</v>
      </c>
    </row>
    <row r="55">
      <c r="A55" t="inlineStr">
        <is>
          <t>Harrisburg-Carlisle, PA</t>
        </is>
      </c>
      <c r="B55" t="inlineStr">
        <is>
          <t>LMICT</t>
        </is>
      </c>
      <c r="C55" s="7" t="n">
        <v>1</v>
      </c>
      <c r="D55" s="7" t="n">
        <v>33</v>
      </c>
      <c r="E55" s="5">
        <f>IFERROR(IF(C54=0,0,IF(D54=0,0,(C55/C54)-(D55/D54))),0)</f>
        <v/>
      </c>
    </row>
    <row r="56">
      <c r="A56" t="inlineStr">
        <is>
          <t>Harrisburg-Carlisle, PA</t>
        </is>
      </c>
      <c r="B56" t="inlineStr">
        <is>
          <t>MMCT</t>
        </is>
      </c>
      <c r="C56" s="7" t="n">
        <v>2</v>
      </c>
      <c r="D56" s="7" t="n">
        <v>18</v>
      </c>
      <c r="E56" s="5">
        <f>IFERROR(IF(C54=0,0,IF(D54=0,0,(C56/C54)-(D56/D54))),0)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92</v>
      </c>
      <c r="D2" s="7" t="n">
        <v>1576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382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272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535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134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651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144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146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124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47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Breckenridge, CO</t>
        </is>
      </c>
      <c r="B27" t="inlineStr">
        <is>
          <t>Branches</t>
        </is>
      </c>
      <c r="C27" s="7" t="n">
        <v>2</v>
      </c>
      <c r="D27" s="7" t="n">
        <v>9</v>
      </c>
    </row>
    <row r="28">
      <c r="A28" t="inlineStr">
        <is>
          <t>Breckenridge,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Breckenridge,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2025-11-21 08:27:10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2025-11-21T13:25:48Z</dcterms:created>
  <dcterms:modified xsi:type="dcterms:W3CDTF">2025-11-21T13:27:10Z</dcterms:modified>
</cp:coreProperties>
</file>