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Areas" sheetId="1" state="visible" r:id="rId1"/>
    <sheet xmlns:r="http://schemas.openxmlformats.org/officeDocument/2006/relationships" name="PNC BANK Mortgage Data" sheetId="2" state="visible" r:id="rId2"/>
    <sheet xmlns:r="http://schemas.openxmlformats.org/officeDocument/2006/relationships" name="FIRSTBANK Mortgage Data" sheetId="3" state="visible" r:id="rId3"/>
    <sheet xmlns:r="http://schemas.openxmlformats.org/officeDocument/2006/relationships" name="PNC BANK SB Lending" sheetId="4" state="visible" r:id="rId4"/>
    <sheet xmlns:r="http://schemas.openxmlformats.org/officeDocument/2006/relationships" name="FIRSTBANK SB Lending" sheetId="5" state="visible" r:id="rId5"/>
    <sheet xmlns:r="http://schemas.openxmlformats.org/officeDocument/2006/relationships" name="PNC BANK Branches" sheetId="6" state="visible" r:id="rId6"/>
    <sheet xmlns:r="http://schemas.openxmlformats.org/officeDocument/2006/relationships" name="FIRSTBANK Branche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Arizona</t>
        </is>
      </c>
      <c r="B3" t="inlineStr">
        <is>
          <t>Phoenix-Mesa-Chandler, AZ</t>
        </is>
      </c>
      <c r="C3" t="inlineStr">
        <is>
          <t>Phoenix-Mesa-Chandler, AZ</t>
        </is>
      </c>
      <c r="D3" t="inlineStr">
        <is>
          <t>38060</t>
        </is>
      </c>
      <c r="E3" t="inlineStr">
        <is>
          <t>Maricopa County, Arizona</t>
        </is>
      </c>
      <c r="F3" t="inlineStr">
        <is>
          <t>04013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Maricopa County, Arizona</t>
        </is>
      </c>
      <c r="L3" t="inlineStr">
        <is>
          <t>04013</t>
        </is>
      </c>
    </row>
    <row r="4">
      <c r="A4" t="inlineStr">
        <is>
          <t>Delaware</t>
        </is>
      </c>
      <c r="B4" t="inlineStr">
        <is>
          <t>Philadelphia-Camden-Wilmington, PA-NJ-DE-MD</t>
        </is>
      </c>
      <c r="C4" t="inlineStr">
        <is>
          <t>Philadelphia-Camden-Wilmington, PA-NJ-DE-MD</t>
        </is>
      </c>
      <c r="D4" t="inlineStr">
        <is>
          <t>37980</t>
        </is>
      </c>
      <c r="E4" t="inlineStr">
        <is>
          <t>New Castle County, Delaware</t>
        </is>
      </c>
      <c r="F4" t="inlineStr">
        <is>
          <t>10003</t>
        </is>
      </c>
      <c r="G4" t="inlineStr">
        <is>
          <t>Colorado</t>
        </is>
      </c>
      <c r="H4" t="inlineStr">
        <is>
          <t>Boulder, CO</t>
        </is>
      </c>
      <c r="I4" t="inlineStr">
        <is>
          <t>Boulder, CO</t>
        </is>
      </c>
      <c r="J4" t="inlineStr">
        <is>
          <t>14500</t>
        </is>
      </c>
      <c r="K4" t="inlineStr">
        <is>
          <t>Boulder County, Colorado</t>
        </is>
      </c>
      <c r="L4" t="inlineStr">
        <is>
          <t>08013</t>
        </is>
      </c>
    </row>
    <row r="5">
      <c r="A5" t="inlineStr">
        <is>
          <t>Florida</t>
        </is>
      </c>
      <c r="B5" t="inlineStr">
        <is>
          <t>Miami-Fort Lauderdale-Pompano Beach, FL</t>
        </is>
      </c>
      <c r="C5" t="inlineStr">
        <is>
          <t>Miami-Fort Lauderdale-Pompano Beach, FL</t>
        </is>
      </c>
      <c r="D5" t="inlineStr">
        <is>
          <t>33100</t>
        </is>
      </c>
      <c r="E5" t="inlineStr">
        <is>
          <t>Palm Beach County, Florida</t>
        </is>
      </c>
      <c r="F5" t="inlineStr">
        <is>
          <t>12099</t>
        </is>
      </c>
      <c r="G5" t="inlineStr">
        <is>
          <t>Colorado</t>
        </is>
      </c>
      <c r="H5" t="inlineStr">
        <is>
          <t>Greeley, CO</t>
        </is>
      </c>
      <c r="I5" t="inlineStr">
        <is>
          <t>Greeley, CO</t>
        </is>
      </c>
      <c r="J5" t="inlineStr">
        <is>
          <t>24540</t>
        </is>
      </c>
      <c r="K5" t="inlineStr">
        <is>
          <t>Weld County, Colorado</t>
        </is>
      </c>
      <c r="L5" t="inlineStr">
        <is>
          <t>08123</t>
        </is>
      </c>
    </row>
    <row r="6">
      <c r="A6" t="inlineStr">
        <is>
          <t>Illinois</t>
        </is>
      </c>
      <c r="B6" t="inlineStr">
        <is>
          <t>Chicago-Naperville-Elgin, IL-IN-WI</t>
        </is>
      </c>
      <c r="C6" t="inlineStr">
        <is>
          <t>Chicago-Naperville-Elgin, IL-IN-WI</t>
        </is>
      </c>
      <c r="D6" t="inlineStr">
        <is>
          <t>16980</t>
        </is>
      </c>
      <c r="E6" t="inlineStr">
        <is>
          <t>Cook County, Illinois</t>
        </is>
      </c>
      <c r="F6" t="inlineStr">
        <is>
          <t>17031</t>
        </is>
      </c>
      <c r="G6" t="inlineStr">
        <is>
          <t>Colorado</t>
        </is>
      </c>
      <c r="H6" t="inlineStr">
        <is>
          <t>Glenwood Springs, CO</t>
        </is>
      </c>
      <c r="I6" t="inlineStr">
        <is>
          <t>Glenwood Springs, CO</t>
        </is>
      </c>
      <c r="J6" t="inlineStr">
        <is>
          <t>24060</t>
        </is>
      </c>
      <c r="K6" t="inlineStr">
        <is>
          <t>Garfield County, Colorado</t>
        </is>
      </c>
      <c r="L6" t="inlineStr">
        <is>
          <t>08045</t>
        </is>
      </c>
    </row>
    <row r="7">
      <c r="A7" t="inlineStr">
        <is>
          <t>Kentucky</t>
        </is>
      </c>
      <c r="B7" t="inlineStr">
        <is>
          <t>Louisville/Jefferson County, KY-IN</t>
        </is>
      </c>
      <c r="C7" t="inlineStr">
        <is>
          <t>Louisville/Jefferson County, KY-IN</t>
        </is>
      </c>
      <c r="D7" t="inlineStr">
        <is>
          <t>31140</t>
        </is>
      </c>
      <c r="E7" t="inlineStr">
        <is>
          <t>Jefferson County, Kentucky</t>
        </is>
      </c>
      <c r="F7" t="inlineStr">
        <is>
          <t>21111</t>
        </is>
      </c>
      <c r="G7" t="inlineStr">
        <is>
          <t>Colorado</t>
        </is>
      </c>
      <c r="H7" t="inlineStr">
        <is>
          <t>Edwards, CO</t>
        </is>
      </c>
      <c r="I7" t="inlineStr">
        <is>
          <t>Edwards, CO</t>
        </is>
      </c>
      <c r="J7" t="inlineStr">
        <is>
          <t>20780</t>
        </is>
      </c>
      <c r="K7" t="inlineStr">
        <is>
          <t>Eagle County, Colorado</t>
        </is>
      </c>
      <c r="L7" t="inlineStr">
        <is>
          <t>08037</t>
        </is>
      </c>
    </row>
    <row r="8">
      <c r="A8" t="inlineStr">
        <is>
          <t>Michigan</t>
        </is>
      </c>
      <c r="B8" t="inlineStr">
        <is>
          <t>Detroit-Warren-Dearborn, MI</t>
        </is>
      </c>
      <c r="C8" t="inlineStr">
        <is>
          <t>Detroit-Warren-Dearborn, MI</t>
        </is>
      </c>
      <c r="D8" t="inlineStr">
        <is>
          <t>19820</t>
        </is>
      </c>
      <c r="E8" t="inlineStr">
        <is>
          <t>Wayne County, Michigan</t>
        </is>
      </c>
      <c r="F8" t="inlineStr">
        <is>
          <t>26163</t>
        </is>
      </c>
      <c r="G8" t="inlineStr">
        <is>
          <t>Colorado</t>
        </is>
      </c>
      <c r="H8" t="inlineStr">
        <is>
          <t>Denver-Aurora-Lakewood, CO</t>
        </is>
      </c>
      <c r="I8" t="inlineStr">
        <is>
          <t>Denver-Aurora-Lakewood, CO</t>
        </is>
      </c>
      <c r="J8" t="inlineStr">
        <is>
          <t>19740</t>
        </is>
      </c>
      <c r="K8" t="inlineStr">
        <is>
          <t>Adams County, Colorado</t>
        </is>
      </c>
      <c r="L8" t="inlineStr">
        <is>
          <t>08001</t>
        </is>
      </c>
    </row>
    <row r="9">
      <c r="A9" t="inlineStr">
        <is>
          <t>Ohio</t>
        </is>
      </c>
      <c r="B9" t="inlineStr">
        <is>
          <t>Cincinnati, OH-KY-IN</t>
        </is>
      </c>
      <c r="C9" t="inlineStr">
        <is>
          <t>Cincinnati, OH-KY-IN</t>
        </is>
      </c>
      <c r="D9" t="inlineStr">
        <is>
          <t>17140</t>
        </is>
      </c>
      <c r="E9" t="inlineStr">
        <is>
          <t>Hamilton County, Ohio</t>
        </is>
      </c>
      <c r="F9" t="inlineStr">
        <is>
          <t>39061</t>
        </is>
      </c>
      <c r="G9" t="inlineStr">
        <is>
          <t>Colorado</t>
        </is>
      </c>
      <c r="H9" t="inlineStr">
        <is>
          <t>Breckenridge, CO</t>
        </is>
      </c>
      <c r="I9" t="inlineStr">
        <is>
          <t>Breckenridge, CO</t>
        </is>
      </c>
      <c r="J9" t="inlineStr">
        <is>
          <t>14720</t>
        </is>
      </c>
      <c r="K9" t="inlineStr">
        <is>
          <t>Summit County, Colorado</t>
        </is>
      </c>
      <c r="L9" t="inlineStr">
        <is>
          <t>08117</t>
        </is>
      </c>
    </row>
    <row r="10">
      <c r="A10" t="inlineStr">
        <is>
          <t>Ohio</t>
        </is>
      </c>
      <c r="B10" t="inlineStr">
        <is>
          <t>Cleveland-Elyria, OH</t>
        </is>
      </c>
      <c r="C10" t="inlineStr">
        <is>
          <t>Cleveland-Elyria, OH</t>
        </is>
      </c>
      <c r="D10" t="inlineStr">
        <is>
          <t>17460</t>
        </is>
      </c>
      <c r="E10" t="inlineStr">
        <is>
          <t>Cuyahoga County, Ohio</t>
        </is>
      </c>
      <c r="F10" t="inlineStr">
        <is>
          <t>39035</t>
        </is>
      </c>
      <c r="G10" t="inlineStr">
        <is>
          <t>Colorado</t>
        </is>
      </c>
      <c r="H10" t="inlineStr">
        <is>
          <t>Colorado Springs, CO</t>
        </is>
      </c>
      <c r="I10" t="inlineStr">
        <is>
          <t>Colorado Springs, CO</t>
        </is>
      </c>
      <c r="J10" t="inlineStr">
        <is>
          <t>17820</t>
        </is>
      </c>
      <c r="K10" t="inlineStr">
        <is>
          <t>El Paso County, Colorado</t>
        </is>
      </c>
      <c r="L10" t="inlineStr">
        <is>
          <t>08041</t>
        </is>
      </c>
    </row>
    <row r="11">
      <c r="A11" t="inlineStr">
        <is>
          <t>Ohio</t>
        </is>
      </c>
      <c r="B11" t="inlineStr">
        <is>
          <t>Columbus, OH</t>
        </is>
      </c>
      <c r="C11" t="inlineStr">
        <is>
          <t>Columbus, OH</t>
        </is>
      </c>
      <c r="D11" t="inlineStr">
        <is>
          <t>18140</t>
        </is>
      </c>
      <c r="E11" t="inlineStr">
        <is>
          <t>Franklin County, Ohio</t>
        </is>
      </c>
      <c r="F11" t="inlineStr">
        <is>
          <t>39049</t>
        </is>
      </c>
      <c r="G11" t="inlineStr">
        <is>
          <t>Colorado</t>
        </is>
      </c>
      <c r="H11" t="inlineStr">
        <is>
          <t>Denver-Aurora-Lakewood, CO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Denver County, Colorado</t>
        </is>
      </c>
      <c r="L11" t="inlineStr">
        <is>
          <t>08031</t>
        </is>
      </c>
    </row>
    <row r="12">
      <c r="A12" t="inlineStr">
        <is>
          <t>Pennsylvania</t>
        </is>
      </c>
      <c r="B12" t="inlineStr">
        <is>
          <t>Philadelphia-Camden-Wilmington, PA-NJ-DE-MD</t>
        </is>
      </c>
      <c r="C12" t="inlineStr">
        <is>
          <t>Philadelphia-Camden-Wilmington, PA-NJ-DE-MD</t>
        </is>
      </c>
      <c r="D12" t="inlineStr">
        <is>
          <t>37980</t>
        </is>
      </c>
      <c r="E12" t="inlineStr">
        <is>
          <t>Philadelphia County, Pennsylvania</t>
        </is>
      </c>
      <c r="F12" t="inlineStr">
        <is>
          <t>42101</t>
        </is>
      </c>
      <c r="G12" t="inlineStr">
        <is>
          <t>Colorado</t>
        </is>
      </c>
      <c r="H12" t="inlineStr">
        <is>
          <t>Denver-Aurora-Lakewood, CO</t>
        </is>
      </c>
      <c r="I12" t="inlineStr">
        <is>
          <t>Denver-Aurora-Lakewood, CO</t>
        </is>
      </c>
      <c r="J12" t="inlineStr">
        <is>
          <t>19740</t>
        </is>
      </c>
      <c r="K12" t="inlineStr">
        <is>
          <t>Arapahoe County, Colorado</t>
        </is>
      </c>
      <c r="L12" t="inlineStr">
        <is>
          <t>08005</t>
        </is>
      </c>
    </row>
    <row r="13">
      <c r="A13" t="inlineStr">
        <is>
          <t>Pennsylvania</t>
        </is>
      </c>
      <c r="B13" t="inlineStr">
        <is>
          <t>Pittsburgh, PA</t>
        </is>
      </c>
      <c r="C13" t="inlineStr">
        <is>
          <t>Pittsburgh, PA</t>
        </is>
      </c>
      <c r="D13" t="inlineStr">
        <is>
          <t>38300</t>
        </is>
      </c>
      <c r="E13" t="inlineStr">
        <is>
          <t>Allegheny County, Pennsylvania</t>
        </is>
      </c>
      <c r="F13" t="inlineStr">
        <is>
          <t>42003</t>
        </is>
      </c>
      <c r="G13" t="inlineStr">
        <is>
          <t>Colorado</t>
        </is>
      </c>
      <c r="H13" t="inlineStr">
        <is>
          <t>Denver-Aurora-Lakewood, CO</t>
        </is>
      </c>
      <c r="I13" t="inlineStr">
        <is>
          <t>Denver-Aurora-Lakewood, CO</t>
        </is>
      </c>
      <c r="J13" t="inlineStr">
        <is>
          <t>19740</t>
        </is>
      </c>
      <c r="K13" t="inlineStr">
        <is>
          <t>Jefferson County, Colorado</t>
        </is>
      </c>
      <c r="L13" t="inlineStr">
        <is>
          <t>08059</t>
        </is>
      </c>
    </row>
    <row r="14">
      <c r="A14" t="inlineStr">
        <is>
          <t>Texas</t>
        </is>
      </c>
      <c r="B14" t="inlineStr">
        <is>
          <t>Houston-The Woodlands-Sugar Land, TX</t>
        </is>
      </c>
      <c r="C14" t="inlineStr">
        <is>
          <t>Houston-The Woodlands-Sugar Land, TX</t>
        </is>
      </c>
      <c r="D14" t="inlineStr">
        <is>
          <t>26420</t>
        </is>
      </c>
      <c r="E14" t="inlineStr">
        <is>
          <t>Harris County, Texas</t>
        </is>
      </c>
      <c r="F14" t="inlineStr">
        <is>
          <t>48201</t>
        </is>
      </c>
      <c r="G14" t="inlineStr">
        <is>
          <t>Colorado</t>
        </is>
      </c>
      <c r="H14" t="inlineStr">
        <is>
          <t>Fort Collins, CO</t>
        </is>
      </c>
      <c r="I14" t="inlineStr">
        <is>
          <t>Fort Collins, CO</t>
        </is>
      </c>
      <c r="J14" t="inlineStr">
        <is>
          <t>22660</t>
        </is>
      </c>
      <c r="K14" t="inlineStr">
        <is>
          <t>Larimer County, Colorado</t>
        </is>
      </c>
      <c r="L14" t="inlineStr">
        <is>
          <t>08069</t>
        </is>
      </c>
    </row>
    <row r="15">
      <c r="A15" t="inlineStr">
        <is>
          <t>Texas</t>
        </is>
      </c>
      <c r="B15" t="inlineStr">
        <is>
          <t>Dallas-Fort Worth-Arlington, TX</t>
        </is>
      </c>
      <c r="C15" t="inlineStr">
        <is>
          <t>Dallas-Fort Worth-Arlington, TX</t>
        </is>
      </c>
      <c r="D15" t="inlineStr">
        <is>
          <t>19100</t>
        </is>
      </c>
      <c r="E15" t="inlineStr">
        <is>
          <t>Tarrant County, Texas</t>
        </is>
      </c>
      <c r="F15" t="inlineStr">
        <is>
          <t>48439</t>
        </is>
      </c>
      <c r="G15" t="inlineStr">
        <is>
          <t>Colorado</t>
        </is>
      </c>
      <c r="H15" t="inlineStr">
        <is>
          <t>Denver-Aurora-Lakewood, CO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Broomfield County, Colorado</t>
        </is>
      </c>
      <c r="L15" t="inlineStr">
        <is>
          <t>08014</t>
        </is>
      </c>
    </row>
    <row r="16">
      <c r="A16" t="inlineStr">
        <is>
          <t>Texas</t>
        </is>
      </c>
      <c r="B16" t="inlineStr">
        <is>
          <t>Dallas-Fort Worth-Arlington, TX</t>
        </is>
      </c>
      <c r="C16" t="inlineStr">
        <is>
          <t>Dallas-Fort Worth-Arlington, TX</t>
        </is>
      </c>
      <c r="D16" t="inlineStr">
        <is>
          <t>19100</t>
        </is>
      </c>
      <c r="E16" t="inlineStr">
        <is>
          <t>Dallas County, Texas</t>
        </is>
      </c>
      <c r="F16" t="inlineStr">
        <is>
          <t>48113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Douglas County, Colorado</t>
        </is>
      </c>
      <c r="L16" t="inlineStr">
        <is>
          <t>08035</t>
        </is>
      </c>
    </row>
    <row r="17">
      <c r="G17" t="inlineStr">
        <is>
          <t>Colorado</t>
        </is>
      </c>
      <c r="H17" t="inlineStr">
        <is>
          <t>Glenwood Springs, CO</t>
        </is>
      </c>
      <c r="I17" t="inlineStr">
        <is>
          <t>Glenwood Springs, CO</t>
        </is>
      </c>
      <c r="J17" t="inlineStr">
        <is>
          <t>24060</t>
        </is>
      </c>
      <c r="K17" t="inlineStr">
        <is>
          <t>Pitkin County, Colorado</t>
        </is>
      </c>
      <c r="L17" t="inlineStr">
        <is>
          <t>08097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10973</v>
      </c>
      <c r="D2" s="4" t="n">
        <v>333313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0.2144354324250433</v>
      </c>
      <c r="D3" s="5" t="n">
        <v>0.2541095006795415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0.3340016403900484</v>
      </c>
      <c r="D4" s="5" t="n">
        <v>0.3264319123466531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600465000</v>
      </c>
      <c r="D5" s="6" t="n">
        <v>20133010000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0.1947507518454388</v>
      </c>
      <c r="D6" s="5" t="n">
        <v>0.3207675668215761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0.2168960174974938</v>
      </c>
      <c r="D7" s="5" t="n">
        <v>0.3577928253623471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0.06078556456757496</v>
      </c>
      <c r="D8" s="5" t="n">
        <v>0.07423652842823412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0.07965005012302925</v>
      </c>
      <c r="D9" s="5" t="n">
        <v>0.1278978017659077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0.001822655609222638</v>
      </c>
      <c r="D10" s="5" t="n">
        <v>0.003582218515329435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0.0004556639023056594</v>
      </c>
      <c r="D11" s="5" t="n">
        <v>0.001020062223795651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0.07418208329536134</v>
      </c>
      <c r="D12" s="5" t="n">
        <v>0.1510562144290802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2956</v>
      </c>
      <c r="D14" s="4" t="n">
        <v>29048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0.1742219215155616</v>
      </c>
      <c r="D15" s="5" t="n">
        <v>0.1545028917653539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0.3406630581867388</v>
      </c>
      <c r="D16" s="5" t="n">
        <v>0.3824015422748554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146725000</v>
      </c>
      <c r="D17" s="6" t="n">
        <v>1738300000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0.05378890392422192</v>
      </c>
      <c r="D18" s="5" t="n">
        <v>0.05008950702285872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0.1153585926928282</v>
      </c>
      <c r="D19" s="5" t="n">
        <v>0.1425227210134949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0.04972936400541272</v>
      </c>
      <c r="D20" s="5" t="n">
        <v>0.05057146791517488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0.04634641407307171</v>
      </c>
      <c r="D21" s="5" t="n">
        <v>0.05955659597906913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0.002029769959404601</v>
      </c>
      <c r="D22" s="5" t="n">
        <v>0.002375378683558248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0.0003382949932341001</v>
      </c>
      <c r="D23" s="5" t="n">
        <v>0.0005163866703387496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0.01691474966170501</v>
      </c>
      <c r="D24" s="5" t="n">
        <v>0.0295028917653539</v>
      </c>
      <c r="E24" s="5">
        <f>IFERROR(C24-D24,0)</f>
        <v/>
      </c>
    </row>
    <row r="25">
      <c r="A25" t="inlineStr">
        <is>
          <t>Chicago-Naperville-Elgin, IL-IN-WI</t>
        </is>
      </c>
      <c r="B25" t="inlineStr">
        <is>
          <t>Loans</t>
        </is>
      </c>
      <c r="C25" s="4" t="n">
        <v>1635</v>
      </c>
      <c r="D25" s="4" t="n">
        <v>48498</v>
      </c>
    </row>
    <row r="26">
      <c r="A26" t="inlineStr">
        <is>
          <t>Chicago-Naperville-Elgin, IL-IN-WI</t>
        </is>
      </c>
      <c r="B26" t="inlineStr">
        <is>
          <t>LMICT%</t>
        </is>
      </c>
      <c r="C26" s="5" t="n">
        <v>0.2152905198776758</v>
      </c>
      <c r="D26" s="5" t="n">
        <v>0.2866922347313292</v>
      </c>
      <c r="E26" s="5">
        <f>IFERROR(C26-D26,0)</f>
        <v/>
      </c>
    </row>
    <row r="27">
      <c r="A27" t="inlineStr">
        <is>
          <t>Chicago-Naperville-Elgin, IL-IN-WI</t>
        </is>
      </c>
      <c r="B27" t="inlineStr">
        <is>
          <t>LMIB%</t>
        </is>
      </c>
      <c r="C27" s="5" t="n">
        <v>0.3467889908256881</v>
      </c>
      <c r="D27" s="5" t="n">
        <v>0.375644356468308</v>
      </c>
      <c r="E27" s="5">
        <f>IFERROR(C27-D27,0)</f>
        <v/>
      </c>
    </row>
    <row r="28">
      <c r="A28" t="inlineStr">
        <is>
          <t>Chicago-Naperville-Elgin, IL-IN-WI</t>
        </is>
      </c>
      <c r="B28" t="inlineStr">
        <is>
          <t>LMIB$</t>
        </is>
      </c>
      <c r="C28" s="6" t="n">
        <v>105705000</v>
      </c>
      <c r="D28" s="6" t="n">
        <v>3544000000</v>
      </c>
    </row>
    <row r="29">
      <c r="A29" t="inlineStr">
        <is>
          <t>Chicago-Naperville-Elgin, IL-IN-WI</t>
        </is>
      </c>
      <c r="B29" t="inlineStr">
        <is>
          <t>MMCT%</t>
        </is>
      </c>
      <c r="C29" s="5" t="n">
        <v>0.2923547400611621</v>
      </c>
      <c r="D29" s="5" t="n">
        <v>0.4166357375561878</v>
      </c>
      <c r="E29" s="5">
        <f>IFERROR(C29-D29,0)</f>
        <v/>
      </c>
    </row>
    <row r="30">
      <c r="A30" t="inlineStr">
        <is>
          <t>Chicago-Naperville-Elgin, IL-IN-WI</t>
        </is>
      </c>
      <c r="B30" t="inlineStr">
        <is>
          <t>MINB%</t>
        </is>
      </c>
      <c r="C30" s="5" t="n">
        <v>0.2856269113149847</v>
      </c>
      <c r="D30" s="5" t="n">
        <v>0.4771124582457009</v>
      </c>
      <c r="E30" s="5">
        <f>IFERROR(C30-D30,0)</f>
        <v/>
      </c>
    </row>
    <row r="31">
      <c r="A31" t="inlineStr">
        <is>
          <t>Chicago-Naperville-Elgin, IL-IN-WI</t>
        </is>
      </c>
      <c r="B31" t="inlineStr">
        <is>
          <t>Asian%</t>
        </is>
      </c>
      <c r="C31" s="5" t="n">
        <v>0.05565749235474006</v>
      </c>
      <c r="D31" s="5" t="n">
        <v>0.09206565219184296</v>
      </c>
      <c r="E31" s="5">
        <f>IFERROR(C31-D31,0)</f>
        <v/>
      </c>
    </row>
    <row r="32">
      <c r="A32" t="inlineStr">
        <is>
          <t>Chicago-Naperville-Elgin, IL-IN-WI</t>
        </is>
      </c>
      <c r="B32" t="inlineStr">
        <is>
          <t>Black%</t>
        </is>
      </c>
      <c r="C32" s="5" t="n">
        <v>0.04587155963302753</v>
      </c>
      <c r="D32" s="5" t="n">
        <v>0.1494907006474494</v>
      </c>
      <c r="E32" s="5">
        <f>IFERROR(C32-D32,0)</f>
        <v/>
      </c>
    </row>
    <row r="33">
      <c r="A33" t="inlineStr">
        <is>
          <t>Chicago-Naperville-Elgin, IL-IN-WI</t>
        </is>
      </c>
      <c r="B33" t="inlineStr">
        <is>
          <t>Native American%</t>
        </is>
      </c>
      <c r="C33" s="5" t="n">
        <v>0.001834862385321101</v>
      </c>
      <c r="D33" s="5" t="n">
        <v>0.002082560105571364</v>
      </c>
      <c r="E33" s="5">
        <f>IFERROR(C33-D33,0)</f>
        <v/>
      </c>
    </row>
    <row r="34">
      <c r="A34" t="inlineStr">
        <is>
          <t>Chicago-Naperville-Elgin, IL-IN-WI</t>
        </is>
      </c>
      <c r="B34" t="inlineStr">
        <is>
          <t>HoPI%</t>
        </is>
      </c>
      <c r="C34" s="5" t="n">
        <v>0</v>
      </c>
      <c r="D34" s="5" t="n">
        <v>0.0005979628025897975</v>
      </c>
      <c r="E34" s="5">
        <f>IFERROR(C34-D34,0)</f>
        <v/>
      </c>
    </row>
    <row r="35">
      <c r="A35" t="inlineStr">
        <is>
          <t>Chicago-Naperville-Elgin, IL-IN-WI</t>
        </is>
      </c>
      <c r="B35" t="inlineStr">
        <is>
          <t>Hispanic%</t>
        </is>
      </c>
      <c r="C35" s="5" t="n">
        <v>0.182262996941896</v>
      </c>
      <c r="D35" s="5" t="n">
        <v>0.2328755824982473</v>
      </c>
      <c r="E35" s="5">
        <f>IFERROR(C35-D35,0)</f>
        <v/>
      </c>
    </row>
    <row r="36">
      <c r="A36" t="inlineStr">
        <is>
          <t>Cleveland-Elyria, OH</t>
        </is>
      </c>
      <c r="B36" t="inlineStr">
        <is>
          <t>Loans</t>
        </is>
      </c>
      <c r="C36" s="4" t="n">
        <v>1153</v>
      </c>
      <c r="D36" s="4" t="n">
        <v>22259</v>
      </c>
    </row>
    <row r="37">
      <c r="A37" t="inlineStr">
        <is>
          <t>Cleveland-Elyria, OH</t>
        </is>
      </c>
      <c r="B37" t="inlineStr">
        <is>
          <t>LMICT%</t>
        </is>
      </c>
      <c r="C37" s="5" t="n">
        <v>0.3052905464006939</v>
      </c>
      <c r="D37" s="5" t="n">
        <v>0.2754391482097129</v>
      </c>
      <c r="E37" s="5">
        <f>IFERROR(C37-D37,0)</f>
        <v/>
      </c>
    </row>
    <row r="38">
      <c r="A38" t="inlineStr">
        <is>
          <t>Cleveland-Elyria, OH</t>
        </is>
      </c>
      <c r="B38" t="inlineStr">
        <is>
          <t>LMIB%</t>
        </is>
      </c>
      <c r="C38" s="5" t="n">
        <v>0.4509973980919341</v>
      </c>
      <c r="D38" s="5" t="n">
        <v>0.458511164023541</v>
      </c>
      <c r="E38" s="5">
        <f>IFERROR(C38-D38,0)</f>
        <v/>
      </c>
    </row>
    <row r="39">
      <c r="A39" t="inlineStr">
        <is>
          <t>Cleveland-Elyria, OH</t>
        </is>
      </c>
      <c r="B39" t="inlineStr">
        <is>
          <t>LMIB$</t>
        </is>
      </c>
      <c r="C39" s="6" t="n">
        <v>67880000</v>
      </c>
      <c r="D39" s="6" t="n">
        <v>1411340000</v>
      </c>
    </row>
    <row r="40">
      <c r="A40" t="inlineStr">
        <is>
          <t>Cleveland-Elyria, OH</t>
        </is>
      </c>
      <c r="B40" t="inlineStr">
        <is>
          <t>MMCT%</t>
        </is>
      </c>
      <c r="C40" s="5" t="n">
        <v>0.2532523850823938</v>
      </c>
      <c r="D40" s="5" t="n">
        <v>0.2391392245833146</v>
      </c>
      <c r="E40" s="5">
        <f>IFERROR(C40-D40,0)</f>
        <v/>
      </c>
    </row>
    <row r="41">
      <c r="A41" t="inlineStr">
        <is>
          <t>Cleveland-Elyria, OH</t>
        </is>
      </c>
      <c r="B41" t="inlineStr">
        <is>
          <t>MINB%</t>
        </is>
      </c>
      <c r="C41" s="5" t="n">
        <v>0.2532523850823938</v>
      </c>
      <c r="D41" s="5" t="n">
        <v>0.2745406352486635</v>
      </c>
      <c r="E41" s="5">
        <f>IFERROR(C41-D41,0)</f>
        <v/>
      </c>
    </row>
    <row r="42">
      <c r="A42" t="inlineStr">
        <is>
          <t>Cleveland-Elyria, OH</t>
        </is>
      </c>
      <c r="B42" t="inlineStr">
        <is>
          <t>Asian%</t>
        </is>
      </c>
      <c r="C42" s="5" t="n">
        <v>0.04683434518647007</v>
      </c>
      <c r="D42" s="5" t="n">
        <v>0.03472752594456175</v>
      </c>
      <c r="E42" s="5">
        <f>IFERROR(C42-D42,0)</f>
        <v/>
      </c>
    </row>
    <row r="43">
      <c r="A43" t="inlineStr">
        <is>
          <t>Cleveland-Elyria, OH</t>
        </is>
      </c>
      <c r="B43" t="inlineStr">
        <is>
          <t>Black%</t>
        </is>
      </c>
      <c r="C43" s="5" t="n">
        <v>0.1431049436253252</v>
      </c>
      <c r="D43" s="5" t="n">
        <v>0.1620917381733231</v>
      </c>
      <c r="E43" s="5">
        <f>IFERROR(C43-D43,0)</f>
        <v/>
      </c>
    </row>
    <row r="44">
      <c r="A44" t="inlineStr">
        <is>
          <t>Cleveland-Elyria, OH</t>
        </is>
      </c>
      <c r="B44" t="inlineStr">
        <is>
          <t>Native American%</t>
        </is>
      </c>
      <c r="C44" s="5" t="n">
        <v>0.0008673026886383347</v>
      </c>
      <c r="D44" s="5" t="n">
        <v>0.002021654162361292</v>
      </c>
      <c r="E44" s="5">
        <f>IFERROR(C44-D44,0)</f>
        <v/>
      </c>
    </row>
    <row r="45">
      <c r="A45" t="inlineStr">
        <is>
          <t>Cleveland-Elyria, OH</t>
        </is>
      </c>
      <c r="B45" t="inlineStr">
        <is>
          <t>HoPI%</t>
        </is>
      </c>
      <c r="C45" s="5" t="n">
        <v>0.0008673026886383347</v>
      </c>
      <c r="D45" s="5" t="n">
        <v>0.0006289590727346242</v>
      </c>
      <c r="E45" s="5">
        <f>IFERROR(C45-D45,0)</f>
        <v/>
      </c>
    </row>
    <row r="46">
      <c r="A46" t="inlineStr">
        <is>
          <t>Cleveland-Elyria, OH</t>
        </is>
      </c>
      <c r="B46" t="inlineStr">
        <is>
          <t>Hispanic%</t>
        </is>
      </c>
      <c r="C46" s="5" t="n">
        <v>0.06157849089332177</v>
      </c>
      <c r="D46" s="5" t="n">
        <v>0.07507075789568264</v>
      </c>
      <c r="E46" s="5">
        <f>IFERROR(C46-D46,0)</f>
        <v/>
      </c>
    </row>
    <row r="47">
      <c r="A47" t="inlineStr">
        <is>
          <t>Louisville/Jefferson County, KY-IN</t>
        </is>
      </c>
      <c r="B47" t="inlineStr">
        <is>
          <t>Loans</t>
        </is>
      </c>
      <c r="C47" s="4" t="n">
        <v>902</v>
      </c>
      <c r="D47" s="4" t="n">
        <v>21345</v>
      </c>
    </row>
    <row r="48">
      <c r="A48" t="inlineStr">
        <is>
          <t>Louisville/Jefferson County, KY-IN</t>
        </is>
      </c>
      <c r="B48" t="inlineStr">
        <is>
          <t>LMICT%</t>
        </is>
      </c>
      <c r="C48" s="5" t="n">
        <v>0.1685144124168514</v>
      </c>
      <c r="D48" s="5" t="n">
        <v>0.235605528226751</v>
      </c>
      <c r="E48" s="5">
        <f>IFERROR(C48-D48,0)</f>
        <v/>
      </c>
    </row>
    <row r="49">
      <c r="A49" t="inlineStr">
        <is>
          <t>Louisville/Jefferson County, KY-IN</t>
        </is>
      </c>
      <c r="B49" t="inlineStr">
        <is>
          <t>LMIB%</t>
        </is>
      </c>
      <c r="C49" s="5" t="n">
        <v>0.417960088691796</v>
      </c>
      <c r="D49" s="5" t="n">
        <v>0.4416490981494496</v>
      </c>
      <c r="E49" s="5">
        <f>IFERROR(C49-D49,0)</f>
        <v/>
      </c>
    </row>
    <row r="50">
      <c r="A50" t="inlineStr">
        <is>
          <t>Louisville/Jefferson County, KY-IN</t>
        </is>
      </c>
      <c r="B50" t="inlineStr">
        <is>
          <t>LMIB$</t>
        </is>
      </c>
      <c r="C50" s="6" t="n">
        <v>58855000</v>
      </c>
      <c r="D50" s="6" t="n">
        <v>1537895000</v>
      </c>
    </row>
    <row r="51">
      <c r="A51" t="inlineStr">
        <is>
          <t>Louisville/Jefferson County, KY-IN</t>
        </is>
      </c>
      <c r="B51" t="inlineStr">
        <is>
          <t>MMCT%</t>
        </is>
      </c>
      <c r="C51" s="5" t="n">
        <v>0.08093126385809313</v>
      </c>
      <c r="D51" s="5" t="n">
        <v>0.1107987819161396</v>
      </c>
      <c r="E51" s="5">
        <f>IFERROR(C51-D51,0)</f>
        <v/>
      </c>
    </row>
    <row r="52">
      <c r="A52" t="inlineStr">
        <is>
          <t>Louisville/Jefferson County, KY-IN</t>
        </is>
      </c>
      <c r="B52" t="inlineStr">
        <is>
          <t>MINB%</t>
        </is>
      </c>
      <c r="C52" s="5" t="n">
        <v>0.2184035476718403</v>
      </c>
      <c r="D52" s="5" t="n">
        <v>0.2699461232138674</v>
      </c>
      <c r="E52" s="5">
        <f>IFERROR(C52-D52,0)</f>
        <v/>
      </c>
    </row>
    <row r="53">
      <c r="A53" t="inlineStr">
        <is>
          <t>Louisville/Jefferson County, KY-IN</t>
        </is>
      </c>
      <c r="B53" t="inlineStr">
        <is>
          <t>Asian%</t>
        </is>
      </c>
      <c r="C53" s="5" t="n">
        <v>0.0787139689578714</v>
      </c>
      <c r="D53" s="5" t="n">
        <v>0.05186226282501757</v>
      </c>
      <c r="E53" s="5">
        <f>IFERROR(C53-D53,0)</f>
        <v/>
      </c>
    </row>
    <row r="54">
      <c r="A54" t="inlineStr">
        <is>
          <t>Louisville/Jefferson County, KY-IN</t>
        </is>
      </c>
      <c r="B54" t="inlineStr">
        <is>
          <t>Black%</t>
        </is>
      </c>
      <c r="C54" s="5" t="n">
        <v>0.1108647450110865</v>
      </c>
      <c r="D54" s="5" t="n">
        <v>0.1291637385804638</v>
      </c>
      <c r="E54" s="5">
        <f>IFERROR(C54-D54,0)</f>
        <v/>
      </c>
    </row>
    <row r="55">
      <c r="A55" t="inlineStr">
        <is>
          <t>Louisville/Jefferson County, KY-IN</t>
        </is>
      </c>
      <c r="B55" t="inlineStr">
        <is>
          <t>Native American%</t>
        </is>
      </c>
      <c r="C55" s="5" t="n">
        <v>0</v>
      </c>
      <c r="D55" s="5" t="n">
        <v>0.002857812133989225</v>
      </c>
      <c r="E55" s="5">
        <f>IFERROR(C55-D55,0)</f>
        <v/>
      </c>
    </row>
    <row r="56">
      <c r="A56" t="inlineStr">
        <is>
          <t>Louisville/Jefferson County, KY-IN</t>
        </is>
      </c>
      <c r="B56" t="inlineStr">
        <is>
          <t>HoPI%</t>
        </is>
      </c>
      <c r="C56" s="5" t="n">
        <v>0</v>
      </c>
      <c r="D56" s="5" t="n">
        <v>0.0008901382056687749</v>
      </c>
      <c r="E56" s="5">
        <f>IFERROR(C56-D56,0)</f>
        <v/>
      </c>
    </row>
    <row r="57">
      <c r="A57" t="inlineStr">
        <is>
          <t>Louisville/Jefferson County, KY-IN</t>
        </is>
      </c>
      <c r="B57" t="inlineStr">
        <is>
          <t>Hispanic%</t>
        </is>
      </c>
      <c r="C57" s="5" t="n">
        <v>0.02882483370288248</v>
      </c>
      <c r="D57" s="5" t="n">
        <v>0.08517217146872805</v>
      </c>
      <c r="E57" s="5">
        <f>IFERROR(C57-D57,0)</f>
        <v/>
      </c>
    </row>
    <row r="58">
      <c r="A58" t="inlineStr">
        <is>
          <t>Columbus, OH</t>
        </is>
      </c>
      <c r="B58" t="inlineStr">
        <is>
          <t>Loans</t>
        </is>
      </c>
      <c r="C58" s="4" t="n">
        <v>837</v>
      </c>
      <c r="D58" s="4" t="n">
        <v>26103</v>
      </c>
    </row>
    <row r="59">
      <c r="A59" t="inlineStr">
        <is>
          <t>Columbus, OH</t>
        </is>
      </c>
      <c r="B59" t="inlineStr">
        <is>
          <t>LMICT%</t>
        </is>
      </c>
      <c r="C59" s="5" t="n">
        <v>0.2855436081242533</v>
      </c>
      <c r="D59" s="5" t="n">
        <v>0.3067846607669616</v>
      </c>
      <c r="E59" s="5">
        <f>IFERROR(C59-D59,0)</f>
        <v/>
      </c>
    </row>
    <row r="60">
      <c r="A60" t="inlineStr">
        <is>
          <t>Columbus, OH</t>
        </is>
      </c>
      <c r="B60" t="inlineStr">
        <is>
          <t>LMIB%</t>
        </is>
      </c>
      <c r="C60" s="5" t="n">
        <v>0.4396654719235364</v>
      </c>
      <c r="D60" s="5" t="n">
        <v>0.3892272918821592</v>
      </c>
      <c r="E60" s="5">
        <f>IFERROR(C60-D60,0)</f>
        <v/>
      </c>
    </row>
    <row r="61">
      <c r="A61" t="inlineStr">
        <is>
          <t>Columbus, OH</t>
        </is>
      </c>
      <c r="B61" t="inlineStr">
        <is>
          <t>LMIB$</t>
        </is>
      </c>
      <c r="C61" s="6" t="n">
        <v>67820000</v>
      </c>
      <c r="D61" s="6" t="n">
        <v>1921980000</v>
      </c>
    </row>
    <row r="62">
      <c r="A62" t="inlineStr">
        <is>
          <t>Columbus, OH</t>
        </is>
      </c>
      <c r="B62" t="inlineStr">
        <is>
          <t>MMCT%</t>
        </is>
      </c>
      <c r="C62" s="5" t="n">
        <v>0.1911589008363202</v>
      </c>
      <c r="D62" s="5" t="n">
        <v>0.1897099950197295</v>
      </c>
      <c r="E62" s="5">
        <f>IFERROR(C62-D62,0)</f>
        <v/>
      </c>
    </row>
    <row r="63">
      <c r="A63" t="inlineStr">
        <is>
          <t>Columbus, OH</t>
        </is>
      </c>
      <c r="B63" t="inlineStr">
        <is>
          <t>MINB%</t>
        </is>
      </c>
      <c r="C63" s="5" t="n">
        <v>0.2281959378733572</v>
      </c>
      <c r="D63" s="5" t="n">
        <v>0.2554112554112554</v>
      </c>
      <c r="E63" s="5">
        <f>IFERROR(C63-D63,0)</f>
        <v/>
      </c>
    </row>
    <row r="64">
      <c r="A64" t="inlineStr">
        <is>
          <t>Columbus, OH</t>
        </is>
      </c>
      <c r="B64" t="inlineStr">
        <is>
          <t>Asian%</t>
        </is>
      </c>
      <c r="C64" s="5" t="n">
        <v>0.08124253285543608</v>
      </c>
      <c r="D64" s="5" t="n">
        <v>0.05662184423246371</v>
      </c>
      <c r="E64" s="5">
        <f>IFERROR(C64-D64,0)</f>
        <v/>
      </c>
    </row>
    <row r="65">
      <c r="A65" t="inlineStr">
        <is>
          <t>Columbus, OH</t>
        </is>
      </c>
      <c r="B65" t="inlineStr">
        <is>
          <t>Black%</t>
        </is>
      </c>
      <c r="C65" s="5" t="n">
        <v>0.1003584229390681</v>
      </c>
      <c r="D65" s="5" t="n">
        <v>0.1426272842202046</v>
      </c>
      <c r="E65" s="5">
        <f>IFERROR(C65-D65,0)</f>
        <v/>
      </c>
    </row>
    <row r="66">
      <c r="A66" t="inlineStr">
        <is>
          <t>Columbus, OH</t>
        </is>
      </c>
      <c r="B66" t="inlineStr">
        <is>
          <t>Native American%</t>
        </is>
      </c>
      <c r="C66" s="5" t="n">
        <v>0.001194743130227001</v>
      </c>
      <c r="D66" s="5" t="n">
        <v>0.002719993870436348</v>
      </c>
      <c r="E66" s="5">
        <f>IFERROR(C66-D66,0)</f>
        <v/>
      </c>
    </row>
    <row r="67">
      <c r="A67" t="inlineStr">
        <is>
          <t>Columbus, OH</t>
        </is>
      </c>
      <c r="B67" t="inlineStr">
        <is>
          <t>HoPI%</t>
        </is>
      </c>
      <c r="C67" s="5" t="n">
        <v>0.001194743130227001</v>
      </c>
      <c r="D67" s="5" t="n">
        <v>0.0006129563651687545</v>
      </c>
      <c r="E67" s="5">
        <f>IFERROR(C67-D67,0)</f>
        <v/>
      </c>
    </row>
    <row r="68">
      <c r="A68" t="inlineStr">
        <is>
          <t>Columbus, OH</t>
        </is>
      </c>
      <c r="B68" t="inlineStr">
        <is>
          <t>Hispanic%</t>
        </is>
      </c>
      <c r="C68" s="5" t="n">
        <v>0.04420549581839905</v>
      </c>
      <c r="D68" s="5" t="n">
        <v>0.05282917672298203</v>
      </c>
      <c r="E68" s="5">
        <f>IFERROR(C68-D68,0)</f>
        <v/>
      </c>
    </row>
    <row r="69">
      <c r="A69" t="inlineStr">
        <is>
          <t>Philadelphia-Camden-Wilmington, PA-NJ-DE-MD</t>
        </is>
      </c>
      <c r="B69" t="inlineStr">
        <is>
          <t>Loans</t>
        </is>
      </c>
      <c r="C69" s="4" t="n">
        <v>801</v>
      </c>
      <c r="D69" s="4" t="n">
        <v>35872</v>
      </c>
    </row>
    <row r="70">
      <c r="A70" t="inlineStr">
        <is>
          <t>Philadelphia-Camden-Wilmington, PA-NJ-DE-MD</t>
        </is>
      </c>
      <c r="B70" t="inlineStr">
        <is>
          <t>LMICT%</t>
        </is>
      </c>
      <c r="C70" s="5" t="n">
        <v>0.250936329588015</v>
      </c>
      <c r="D70" s="5" t="n">
        <v>0.3269402319357717</v>
      </c>
      <c r="E70" s="5">
        <f>IFERROR(C70-D70,0)</f>
        <v/>
      </c>
    </row>
    <row r="71">
      <c r="A71" t="inlineStr">
        <is>
          <t>Philadelphia-Camden-Wilmington, PA-NJ-DE-MD</t>
        </is>
      </c>
      <c r="B71" t="inlineStr">
        <is>
          <t>LMIB%</t>
        </is>
      </c>
      <c r="C71" s="5" t="n">
        <v>0.2784019975031211</v>
      </c>
      <c r="D71" s="5" t="n">
        <v>0.3712087421944692</v>
      </c>
      <c r="E71" s="5">
        <f>IFERROR(C71-D71,0)</f>
        <v/>
      </c>
    </row>
    <row r="72">
      <c r="A72" t="inlineStr">
        <is>
          <t>Philadelphia-Camden-Wilmington, PA-NJ-DE-MD</t>
        </is>
      </c>
      <c r="B72" t="inlineStr">
        <is>
          <t>LMIB$</t>
        </is>
      </c>
      <c r="C72" s="6" t="n">
        <v>40935000</v>
      </c>
      <c r="D72" s="6" t="n">
        <v>2594860000</v>
      </c>
    </row>
    <row r="73">
      <c r="A73" t="inlineStr">
        <is>
          <t>Philadelphia-Camden-Wilmington, PA-NJ-DE-MD</t>
        </is>
      </c>
      <c r="B73" t="inlineStr">
        <is>
          <t>MMCT%</t>
        </is>
      </c>
      <c r="C73" s="5" t="n">
        <v>0.3495630461922597</v>
      </c>
      <c r="D73" s="5" t="n">
        <v>0.4225579839429081</v>
      </c>
      <c r="E73" s="5">
        <f>IFERROR(C73-D73,0)</f>
        <v/>
      </c>
    </row>
    <row r="74">
      <c r="A74" t="inlineStr">
        <is>
          <t>Philadelphia-Camden-Wilmington, PA-NJ-DE-MD</t>
        </is>
      </c>
      <c r="B74" t="inlineStr">
        <is>
          <t>MINB%</t>
        </is>
      </c>
      <c r="C74" s="5" t="n">
        <v>0.2846441947565543</v>
      </c>
      <c r="D74" s="5" t="n">
        <v>0.45985727029438</v>
      </c>
      <c r="E74" s="5">
        <f>IFERROR(C74-D74,0)</f>
        <v/>
      </c>
    </row>
    <row r="75">
      <c r="A75" t="inlineStr">
        <is>
          <t>Philadelphia-Camden-Wilmington, PA-NJ-DE-MD</t>
        </is>
      </c>
      <c r="B75" t="inlineStr">
        <is>
          <t>Asian%</t>
        </is>
      </c>
      <c r="C75" s="5" t="n">
        <v>0.08364544319600499</v>
      </c>
      <c r="D75" s="5" t="n">
        <v>0.1004125780553078</v>
      </c>
      <c r="E75" s="5">
        <f>IFERROR(C75-D75,0)</f>
        <v/>
      </c>
    </row>
    <row r="76">
      <c r="A76" t="inlineStr">
        <is>
          <t>Philadelphia-Camden-Wilmington, PA-NJ-DE-MD</t>
        </is>
      </c>
      <c r="B76" t="inlineStr">
        <is>
          <t>Black%</t>
        </is>
      </c>
      <c r="C76" s="5" t="n">
        <v>0.1460674157303371</v>
      </c>
      <c r="D76" s="5" t="n">
        <v>0.2179973238180196</v>
      </c>
      <c r="E76" s="5">
        <f>IFERROR(C76-D76,0)</f>
        <v/>
      </c>
    </row>
    <row r="77">
      <c r="A77" t="inlineStr">
        <is>
          <t>Philadelphia-Camden-Wilmington, PA-NJ-DE-MD</t>
        </is>
      </c>
      <c r="B77" t="inlineStr">
        <is>
          <t>Native American%</t>
        </is>
      </c>
      <c r="C77" s="5" t="n">
        <v>0</v>
      </c>
      <c r="D77" s="5" t="n">
        <v>0.003345227475468332</v>
      </c>
      <c r="E77" s="5">
        <f>IFERROR(C77-D77,0)</f>
        <v/>
      </c>
    </row>
    <row r="78">
      <c r="A78" t="inlineStr">
        <is>
          <t>Philadelphia-Camden-Wilmington, PA-NJ-DE-MD</t>
        </is>
      </c>
      <c r="B78" t="inlineStr">
        <is>
          <t>HoPI%</t>
        </is>
      </c>
      <c r="C78" s="5" t="n">
        <v>0</v>
      </c>
      <c r="D78" s="5" t="n">
        <v>0.0010035682426405</v>
      </c>
      <c r="E78" s="5">
        <f>IFERROR(C78-D78,0)</f>
        <v/>
      </c>
    </row>
    <row r="79">
      <c r="A79" t="inlineStr">
        <is>
          <t>Philadelphia-Camden-Wilmington, PA-NJ-DE-MD</t>
        </is>
      </c>
      <c r="B79" t="inlineStr">
        <is>
          <t>Hispanic%</t>
        </is>
      </c>
      <c r="C79" s="5" t="n">
        <v>0.05493133583021224</v>
      </c>
      <c r="D79" s="5" t="n">
        <v>0.1370985727029438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592</v>
      </c>
      <c r="D80" s="4" t="n">
        <v>18317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0.2972972972972973</v>
      </c>
      <c r="D81" s="5" t="n">
        <v>0.2987388764535677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0.4155405405405405</v>
      </c>
      <c r="D82" s="5" t="n">
        <v>0.4373532783752798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36820000</v>
      </c>
      <c r="D83" s="6" t="n">
        <v>1335285000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0.1587837837837838</v>
      </c>
      <c r="D84" s="5" t="n">
        <v>0.1934268712125348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0.1689189189189189</v>
      </c>
      <c r="D85" s="5" t="n">
        <v>0.2106240104820659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0.03547297297297297</v>
      </c>
      <c r="D86" s="5" t="n">
        <v>0.0340667139815472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0.09797297297297297</v>
      </c>
      <c r="D87" s="5" t="n">
        <v>0.135229568160725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0.003378378378378378</v>
      </c>
      <c r="D88" s="5" t="n">
        <v>0.001801605066331823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0.001689189189189189</v>
      </c>
      <c r="D89" s="5" t="n">
        <v>0.0006551291150297538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0.03040540540540541</v>
      </c>
      <c r="D90" s="5" t="n">
        <v>0.03887099415843206</v>
      </c>
      <c r="E90" s="5">
        <f>IFERROR(C90-D90,0)</f>
        <v/>
      </c>
    </row>
    <row r="91">
      <c r="A91" t="inlineStr">
        <is>
          <t>Miami-Fort Lauderdale-Pompano Beach, FL</t>
        </is>
      </c>
      <c r="B91" t="inlineStr">
        <is>
          <t>Loans</t>
        </is>
      </c>
      <c r="C91" s="4" t="n">
        <v>478</v>
      </c>
      <c r="D91" s="4" t="n">
        <v>19961</v>
      </c>
    </row>
    <row r="92">
      <c r="A92" t="inlineStr">
        <is>
          <t>Miami-Fort Lauderdale-Pompano Beach, FL</t>
        </is>
      </c>
      <c r="B92" t="inlineStr">
        <is>
          <t>LMICT%</t>
        </is>
      </c>
      <c r="C92" s="5" t="n">
        <v>0.2154811715481172</v>
      </c>
      <c r="D92" s="5" t="n">
        <v>0.2586543760332649</v>
      </c>
      <c r="E92" s="5">
        <f>IFERROR(C92-D92,0)</f>
        <v/>
      </c>
    </row>
    <row r="93">
      <c r="A93" t="inlineStr">
        <is>
          <t>Miami-Fort Lauderdale-Pompano Beach, FL</t>
        </is>
      </c>
      <c r="B93" t="inlineStr">
        <is>
          <t>LMIB%</t>
        </is>
      </c>
      <c r="C93" s="5" t="n">
        <v>0.1882845188284519</v>
      </c>
      <c r="D93" s="5" t="n">
        <v>0.2012925204148089</v>
      </c>
      <c r="E93" s="5">
        <f>IFERROR(C93-D93,0)</f>
        <v/>
      </c>
    </row>
    <row r="94">
      <c r="A94" t="inlineStr">
        <is>
          <t>Miami-Fort Lauderdale-Pompano Beach, FL</t>
        </is>
      </c>
      <c r="B94" t="inlineStr">
        <is>
          <t>LMIB$</t>
        </is>
      </c>
      <c r="C94" s="6" t="n">
        <v>21940000</v>
      </c>
      <c r="D94" s="6" t="n">
        <v>851720000</v>
      </c>
    </row>
    <row r="95">
      <c r="A95" t="inlineStr">
        <is>
          <t>Miami-Fort Lauderdale-Pompano Beach, FL</t>
        </is>
      </c>
      <c r="B95" t="inlineStr">
        <is>
          <t>MMCT%</t>
        </is>
      </c>
      <c r="C95" s="5" t="n">
        <v>0.2322175732217573</v>
      </c>
      <c r="D95" s="5" t="n">
        <v>0.2898652372125645</v>
      </c>
      <c r="E95" s="5">
        <f>IFERROR(C95-D95,0)</f>
        <v/>
      </c>
    </row>
    <row r="96">
      <c r="A96" t="inlineStr">
        <is>
          <t>Miami-Fort Lauderdale-Pompano Beach, FL</t>
        </is>
      </c>
      <c r="B96" t="inlineStr">
        <is>
          <t>MINB%</t>
        </is>
      </c>
      <c r="C96" s="5" t="n">
        <v>0.2510460251046025</v>
      </c>
      <c r="D96" s="5" t="n">
        <v>0.3506838334752768</v>
      </c>
      <c r="E96" s="5">
        <f>IFERROR(C96-D96,0)</f>
        <v/>
      </c>
    </row>
    <row r="97">
      <c r="A97" t="inlineStr">
        <is>
          <t>Miami-Fort Lauderdale-Pompano Beach, FL</t>
        </is>
      </c>
      <c r="B97" t="inlineStr">
        <is>
          <t>Asian%</t>
        </is>
      </c>
      <c r="C97" s="5" t="n">
        <v>0.02510460251046025</v>
      </c>
      <c r="D97" s="5" t="n">
        <v>0.03296428034667602</v>
      </c>
      <c r="E97" s="5">
        <f>IFERROR(C97-D97,0)</f>
        <v/>
      </c>
    </row>
    <row r="98">
      <c r="A98" t="inlineStr">
        <is>
          <t>Miami-Fort Lauderdale-Pompano Beach, FL</t>
        </is>
      </c>
      <c r="B98" t="inlineStr">
        <is>
          <t>Black%</t>
        </is>
      </c>
      <c r="C98" s="5" t="n">
        <v>0.05857740585774059</v>
      </c>
      <c r="D98" s="5" t="n">
        <v>0.1040529031611643</v>
      </c>
      <c r="E98" s="5">
        <f>IFERROR(C98-D98,0)</f>
        <v/>
      </c>
    </row>
    <row r="99">
      <c r="A99" t="inlineStr">
        <is>
          <t>Miami-Fort Lauderdale-Pompano Beach, FL</t>
        </is>
      </c>
      <c r="B99" t="inlineStr">
        <is>
          <t>Native American%</t>
        </is>
      </c>
      <c r="C99" s="5" t="n">
        <v>0</v>
      </c>
      <c r="D99" s="5" t="n">
        <v>0.002304493762837533</v>
      </c>
      <c r="E99" s="5">
        <f>IFERROR(C99-D99,0)</f>
        <v/>
      </c>
    </row>
    <row r="100">
      <c r="A100" t="inlineStr">
        <is>
          <t>Miami-Fort Lauderdale-Pompano Beach, FL</t>
        </is>
      </c>
      <c r="B100" t="inlineStr">
        <is>
          <t>HoPI%</t>
        </is>
      </c>
      <c r="C100" s="5" t="n">
        <v>0</v>
      </c>
      <c r="D100" s="5" t="n">
        <v>0.0009518561194328942</v>
      </c>
      <c r="E100" s="5">
        <f>IFERROR(C100-D100,0)</f>
        <v/>
      </c>
    </row>
    <row r="101">
      <c r="A101" t="inlineStr">
        <is>
          <t>Miami-Fort Lauderdale-Pompano Beach, FL</t>
        </is>
      </c>
      <c r="B101" t="inlineStr">
        <is>
          <t>Hispanic%</t>
        </is>
      </c>
      <c r="C101" s="5" t="n">
        <v>0.1673640167364017</v>
      </c>
      <c r="D101" s="5" t="n">
        <v>0.2104103000851661</v>
      </c>
      <c r="E101" s="5">
        <f>IFERROR(C101-D101,0)</f>
        <v/>
      </c>
    </row>
    <row r="102">
      <c r="A102" t="inlineStr">
        <is>
          <t>Phoenix-Mesa-Chandler, AZ</t>
        </is>
      </c>
      <c r="B102" t="inlineStr">
        <is>
          <t>Loans</t>
        </is>
      </c>
      <c r="C102" s="4" t="n">
        <v>446</v>
      </c>
      <c r="D102" s="4" t="n">
        <v>30998</v>
      </c>
    </row>
    <row r="103">
      <c r="A103" t="inlineStr">
        <is>
          <t>Phoenix-Mesa-Chandler, AZ</t>
        </is>
      </c>
      <c r="B103" t="inlineStr">
        <is>
          <t>LMICT%</t>
        </is>
      </c>
      <c r="C103" s="5" t="n">
        <v>0.1008968609865471</v>
      </c>
      <c r="D103" s="5" t="n">
        <v>0.2014323504742241</v>
      </c>
      <c r="E103" s="5">
        <f>IFERROR(C103-D103,0)</f>
        <v/>
      </c>
    </row>
    <row r="104">
      <c r="A104" t="inlineStr">
        <is>
          <t>Phoenix-Mesa-Chandler, AZ</t>
        </is>
      </c>
      <c r="B104" t="inlineStr">
        <is>
          <t>LMIB%</t>
        </is>
      </c>
      <c r="C104" s="5" t="n">
        <v>0.07847533632286996</v>
      </c>
      <c r="D104" s="5" t="n">
        <v>0.2020130330989096</v>
      </c>
      <c r="E104" s="5">
        <f>IFERROR(C104-D104,0)</f>
        <v/>
      </c>
    </row>
    <row r="105">
      <c r="A105" t="inlineStr">
        <is>
          <t>Phoenix-Mesa-Chandler, AZ</t>
        </is>
      </c>
      <c r="B105" t="inlineStr">
        <is>
          <t>LMIB$</t>
        </is>
      </c>
      <c r="C105" s="6" t="n">
        <v>11185000</v>
      </c>
      <c r="D105" s="6" t="n">
        <v>1676260000</v>
      </c>
    </row>
    <row r="106">
      <c r="A106" t="inlineStr">
        <is>
          <t>Phoenix-Mesa-Chandler, AZ</t>
        </is>
      </c>
      <c r="B106" t="inlineStr">
        <is>
          <t>MMCT%</t>
        </is>
      </c>
      <c r="C106" s="5" t="n">
        <v>0.1031390134529148</v>
      </c>
      <c r="D106" s="5" t="n">
        <v>0.2357894057681141</v>
      </c>
      <c r="E106" s="5">
        <f>IFERROR(C106-D106,0)</f>
        <v/>
      </c>
    </row>
    <row r="107">
      <c r="A107" t="inlineStr">
        <is>
          <t>Phoenix-Mesa-Chandler, AZ</t>
        </is>
      </c>
      <c r="B107" t="inlineStr">
        <is>
          <t>MINB%</t>
        </is>
      </c>
      <c r="C107" s="5" t="n">
        <v>0.2040358744394619</v>
      </c>
      <c r="D107" s="5" t="n">
        <v>0.3098264404155107</v>
      </c>
      <c r="E107" s="5">
        <f>IFERROR(C107-D107,0)</f>
        <v/>
      </c>
    </row>
    <row r="108">
      <c r="A108" t="inlineStr">
        <is>
          <t>Phoenix-Mesa-Chandler, AZ</t>
        </is>
      </c>
      <c r="B108" t="inlineStr">
        <is>
          <t>Asian%</t>
        </is>
      </c>
      <c r="C108" s="5" t="n">
        <v>0.08968609865470852</v>
      </c>
      <c r="D108" s="5" t="n">
        <v>0.07148848312794374</v>
      </c>
      <c r="E108" s="5">
        <f>IFERROR(C108-D108,0)</f>
        <v/>
      </c>
    </row>
    <row r="109">
      <c r="A109" t="inlineStr">
        <is>
          <t>Phoenix-Mesa-Chandler, AZ</t>
        </is>
      </c>
      <c r="B109" t="inlineStr">
        <is>
          <t>Black%</t>
        </is>
      </c>
      <c r="C109" s="5" t="n">
        <v>0.02017937219730942</v>
      </c>
      <c r="D109" s="5" t="n">
        <v>0.03506677850183883</v>
      </c>
      <c r="E109" s="5">
        <f>IFERROR(C109-D109,0)</f>
        <v/>
      </c>
    </row>
    <row r="110">
      <c r="A110" t="inlineStr">
        <is>
          <t>Phoenix-Mesa-Chandler, AZ</t>
        </is>
      </c>
      <c r="B110" t="inlineStr">
        <is>
          <t>Native American%</t>
        </is>
      </c>
      <c r="C110" s="5" t="n">
        <v>0.004484304932735426</v>
      </c>
      <c r="D110" s="5" t="n">
        <v>0.009097361120072263</v>
      </c>
      <c r="E110" s="5">
        <f>IFERROR(C110-D110,0)</f>
        <v/>
      </c>
    </row>
    <row r="111">
      <c r="A111" t="inlineStr">
        <is>
          <t>Phoenix-Mesa-Chandler, AZ</t>
        </is>
      </c>
      <c r="B111" t="inlineStr">
        <is>
          <t>HoPI%</t>
        </is>
      </c>
      <c r="C111" s="5" t="n">
        <v>0</v>
      </c>
      <c r="D111" s="5" t="n">
        <v>0.002709852248532163</v>
      </c>
      <c r="E111" s="5">
        <f>IFERROR(C111-D111,0)</f>
        <v/>
      </c>
    </row>
    <row r="112">
      <c r="A112" t="inlineStr">
        <is>
          <t>Phoenix-Mesa-Chandler, AZ</t>
        </is>
      </c>
      <c r="B112" t="inlineStr">
        <is>
          <t>Hispanic%</t>
        </is>
      </c>
      <c r="C112" s="5" t="n">
        <v>0.08968609865470852</v>
      </c>
      <c r="D112" s="5" t="n">
        <v>0.1914639654171237</v>
      </c>
      <c r="E112" s="5">
        <f>IFERROR(C112-D112,0)</f>
        <v/>
      </c>
    </row>
    <row r="113">
      <c r="A113" t="inlineStr">
        <is>
          <t>Houston-The Woodlands-Sugar Land, TX</t>
        </is>
      </c>
      <c r="B113" t="inlineStr">
        <is>
          <t>Loans</t>
        </is>
      </c>
      <c r="C113" s="4" t="n">
        <v>442</v>
      </c>
      <c r="D113" s="4" t="n">
        <v>35296</v>
      </c>
    </row>
    <row r="114">
      <c r="A114" t="inlineStr">
        <is>
          <t>Houston-The Woodlands-Sugar Land, TX</t>
        </is>
      </c>
      <c r="B114" t="inlineStr">
        <is>
          <t>LMICT%</t>
        </is>
      </c>
      <c r="C114" s="5" t="n">
        <v>0.1470588235294118</v>
      </c>
      <c r="D114" s="5" t="n">
        <v>0.2165967815049864</v>
      </c>
      <c r="E114" s="5">
        <f>IFERROR(C114-D114,0)</f>
        <v/>
      </c>
    </row>
    <row r="115">
      <c r="A115" t="inlineStr">
        <is>
          <t>Houston-The Woodlands-Sugar Land, TX</t>
        </is>
      </c>
      <c r="B115" t="inlineStr">
        <is>
          <t>LMIB%</t>
        </is>
      </c>
      <c r="C115" s="5" t="n">
        <v>0.07918552036199095</v>
      </c>
      <c r="D115" s="5" t="n">
        <v>0.2032524932003626</v>
      </c>
      <c r="E115" s="5">
        <f>IFERROR(C115-D115,0)</f>
        <v/>
      </c>
    </row>
    <row r="116">
      <c r="A116" t="inlineStr">
        <is>
          <t>Houston-The Woodlands-Sugar Land, TX</t>
        </is>
      </c>
      <c r="B116" t="inlineStr">
        <is>
          <t>LMIB$</t>
        </is>
      </c>
      <c r="C116" s="6" t="n">
        <v>6245000</v>
      </c>
      <c r="D116" s="6" t="n">
        <v>1442270000</v>
      </c>
    </row>
    <row r="117">
      <c r="A117" t="inlineStr">
        <is>
          <t>Houston-The Woodlands-Sugar Land, TX</t>
        </is>
      </c>
      <c r="B117" t="inlineStr">
        <is>
          <t>MMCT%</t>
        </is>
      </c>
      <c r="C117" s="5" t="n">
        <v>0.4276018099547511</v>
      </c>
      <c r="D117" s="5" t="n">
        <v>0.5896418857660924</v>
      </c>
      <c r="E117" s="5">
        <f>IFERROR(C117-D117,0)</f>
        <v/>
      </c>
    </row>
    <row r="118">
      <c r="A118" t="inlineStr">
        <is>
          <t>Houston-The Woodlands-Sugar Land, TX</t>
        </is>
      </c>
      <c r="B118" t="inlineStr">
        <is>
          <t>MINB%</t>
        </is>
      </c>
      <c r="C118" s="5" t="n">
        <v>0.3438914027149321</v>
      </c>
      <c r="D118" s="5" t="n">
        <v>0.5214188576609248</v>
      </c>
      <c r="E118" s="5">
        <f>IFERROR(C118-D118,0)</f>
        <v/>
      </c>
    </row>
    <row r="119">
      <c r="A119" t="inlineStr">
        <is>
          <t>Houston-The Woodlands-Sugar Land, TX</t>
        </is>
      </c>
      <c r="B119" t="inlineStr">
        <is>
          <t>Asian%</t>
        </is>
      </c>
      <c r="C119" s="5" t="n">
        <v>0.09049773755656108</v>
      </c>
      <c r="D119" s="5" t="n">
        <v>0.1065276518585676</v>
      </c>
      <c r="E119" s="5">
        <f>IFERROR(C119-D119,0)</f>
        <v/>
      </c>
    </row>
    <row r="120">
      <c r="A120" t="inlineStr">
        <is>
          <t>Houston-The Woodlands-Sugar Land, TX</t>
        </is>
      </c>
      <c r="B120" t="inlineStr">
        <is>
          <t>Black%</t>
        </is>
      </c>
      <c r="C120" s="5" t="n">
        <v>0.05203619909502263</v>
      </c>
      <c r="D120" s="5" t="n">
        <v>0.1145738893925657</v>
      </c>
      <c r="E120" s="5">
        <f>IFERROR(C120-D120,0)</f>
        <v/>
      </c>
    </row>
    <row r="121">
      <c r="A121" t="inlineStr">
        <is>
          <t>Houston-The Woodlands-Sugar Land, TX</t>
        </is>
      </c>
      <c r="B121" t="inlineStr">
        <is>
          <t>Native American%</t>
        </is>
      </c>
      <c r="C121" s="5" t="n">
        <v>0</v>
      </c>
      <c r="D121" s="5" t="n">
        <v>0.004278105167724388</v>
      </c>
      <c r="E121" s="5">
        <f>IFERROR(C121-D121,0)</f>
        <v/>
      </c>
    </row>
    <row r="122">
      <c r="A122" t="inlineStr">
        <is>
          <t>Houston-The Woodlands-Sugar Land, TX</t>
        </is>
      </c>
      <c r="B122" t="inlineStr">
        <is>
          <t>HoPI%</t>
        </is>
      </c>
      <c r="C122" s="5" t="n">
        <v>0</v>
      </c>
      <c r="D122" s="5" t="n">
        <v>0.001473254759746147</v>
      </c>
      <c r="E122" s="5">
        <f>IFERROR(C122-D122,0)</f>
        <v/>
      </c>
    </row>
    <row r="123">
      <c r="A123" t="inlineStr">
        <is>
          <t>Houston-The Woodlands-Sugar Land, TX</t>
        </is>
      </c>
      <c r="B123" t="inlineStr">
        <is>
          <t>Hispanic%</t>
        </is>
      </c>
      <c r="C123" s="5" t="n">
        <v>0.2013574660633484</v>
      </c>
      <c r="D123" s="5" t="n">
        <v>0.2945659564823209</v>
      </c>
      <c r="E123" s="5">
        <f>IFERROR(C123-D123,0)</f>
        <v/>
      </c>
    </row>
    <row r="124">
      <c r="A124" t="inlineStr">
        <is>
          <t>Detroit-Warren-Dearborn, MI</t>
        </is>
      </c>
      <c r="B124" t="inlineStr">
        <is>
          <t>Loans</t>
        </is>
      </c>
      <c r="C124" s="4" t="n">
        <v>410</v>
      </c>
      <c r="D124" s="4" t="n">
        <v>13167</v>
      </c>
    </row>
    <row r="125">
      <c r="A125" t="inlineStr">
        <is>
          <t>Detroit-Warren-Dearborn, MI</t>
        </is>
      </c>
      <c r="B125" t="inlineStr">
        <is>
          <t>LMICT%</t>
        </is>
      </c>
      <c r="C125" s="5" t="n">
        <v>0.2243902439024391</v>
      </c>
      <c r="D125" s="5" t="n">
        <v>0.1836409204830257</v>
      </c>
      <c r="E125" s="5">
        <f>IFERROR(C125-D125,0)</f>
        <v/>
      </c>
    </row>
    <row r="126">
      <c r="A126" t="inlineStr">
        <is>
          <t>Detroit-Warren-Dearborn, MI</t>
        </is>
      </c>
      <c r="B126" t="inlineStr">
        <is>
          <t>LMIB%</t>
        </is>
      </c>
      <c r="C126" s="5" t="n">
        <v>0.3512195121951219</v>
      </c>
      <c r="D126" s="5" t="n">
        <v>0.3076630971367814</v>
      </c>
      <c r="E126" s="5">
        <f>IFERROR(C126-D126,0)</f>
        <v/>
      </c>
    </row>
    <row r="127">
      <c r="A127" t="inlineStr">
        <is>
          <t>Detroit-Warren-Dearborn, MI</t>
        </is>
      </c>
      <c r="B127" t="inlineStr">
        <is>
          <t>LMIB$</t>
        </is>
      </c>
      <c r="C127" s="6" t="n">
        <v>16420000</v>
      </c>
      <c r="D127" s="6" t="n">
        <v>513325000</v>
      </c>
    </row>
    <row r="128">
      <c r="A128" t="inlineStr">
        <is>
          <t>Detroit-Warren-Dearborn, MI</t>
        </is>
      </c>
      <c r="B128" t="inlineStr">
        <is>
          <t>MMCT%</t>
        </is>
      </c>
      <c r="C128" s="5" t="n">
        <v>0.2536585365853659</v>
      </c>
      <c r="D128" s="5" t="n">
        <v>0.2481203007518797</v>
      </c>
      <c r="E128" s="5">
        <f>IFERROR(C128-D128,0)</f>
        <v/>
      </c>
    </row>
    <row r="129">
      <c r="A129" t="inlineStr">
        <is>
          <t>Detroit-Warren-Dearborn, MI</t>
        </is>
      </c>
      <c r="B129" t="inlineStr">
        <is>
          <t>MINB%</t>
        </is>
      </c>
      <c r="C129" s="5" t="n">
        <v>0.248780487804878</v>
      </c>
      <c r="D129" s="5" t="n">
        <v>0.3125996810207337</v>
      </c>
      <c r="E129" s="5">
        <f>IFERROR(C129-D129,0)</f>
        <v/>
      </c>
    </row>
    <row r="130">
      <c r="A130" t="inlineStr">
        <is>
          <t>Detroit-Warren-Dearborn, MI</t>
        </is>
      </c>
      <c r="B130" t="inlineStr">
        <is>
          <t>Asian%</t>
        </is>
      </c>
      <c r="C130" s="5" t="n">
        <v>0.04878048780487805</v>
      </c>
      <c r="D130" s="5" t="n">
        <v>0.07169438748386117</v>
      </c>
      <c r="E130" s="5">
        <f>IFERROR(C130-D130,0)</f>
        <v/>
      </c>
    </row>
    <row r="131">
      <c r="A131" t="inlineStr">
        <is>
          <t>Detroit-Warren-Dearborn, MI</t>
        </is>
      </c>
      <c r="B131" t="inlineStr">
        <is>
          <t>Black%</t>
        </is>
      </c>
      <c r="C131" s="5" t="n">
        <v>0.1390243902439025</v>
      </c>
      <c r="D131" s="5" t="n">
        <v>0.1812865497076023</v>
      </c>
      <c r="E131" s="5">
        <f>IFERROR(C131-D131,0)</f>
        <v/>
      </c>
    </row>
    <row r="132">
      <c r="A132" t="inlineStr">
        <is>
          <t>Detroit-Warren-Dearborn, MI</t>
        </is>
      </c>
      <c r="B132" t="inlineStr">
        <is>
          <t>Native American%</t>
        </is>
      </c>
      <c r="C132" s="5" t="n">
        <v>0.007317073170731709</v>
      </c>
      <c r="D132" s="5" t="n">
        <v>0.00455684666210982</v>
      </c>
      <c r="E132" s="5">
        <f>IFERROR(C132-D132,0)</f>
        <v/>
      </c>
    </row>
    <row r="133">
      <c r="A133" t="inlineStr">
        <is>
          <t>Detroit-Warren-Dearborn, MI</t>
        </is>
      </c>
      <c r="B133" t="inlineStr">
        <is>
          <t>HoPI%</t>
        </is>
      </c>
      <c r="C133" s="5" t="n">
        <v>0.002439024390243902</v>
      </c>
      <c r="D133" s="5" t="n">
        <v>0.000303789777473988</v>
      </c>
      <c r="E133" s="5">
        <f>IFERROR(C133-D133,0)</f>
        <v/>
      </c>
    </row>
    <row r="134">
      <c r="A134" t="inlineStr">
        <is>
          <t>Detroit-Warren-Dearborn, MI</t>
        </is>
      </c>
      <c r="B134" t="inlineStr">
        <is>
          <t>Hispanic%</t>
        </is>
      </c>
      <c r="C134" s="5" t="n">
        <v>0.05121951219512196</v>
      </c>
      <c r="D134" s="5" t="n">
        <v>0.05475810738968634</v>
      </c>
      <c r="E134" s="5">
        <f>IFERROR(C134-D134,0)</f>
        <v/>
      </c>
    </row>
    <row r="135">
      <c r="A135" t="inlineStr">
        <is>
          <t>Dallas-Fort Worth-Arlington, TX</t>
        </is>
      </c>
      <c r="B135" t="inlineStr">
        <is>
          <t>Loans</t>
        </is>
      </c>
      <c r="C135" s="4" t="n">
        <v>321</v>
      </c>
      <c r="D135" s="4" t="n">
        <v>32449</v>
      </c>
    </row>
    <row r="136">
      <c r="A136" t="inlineStr">
        <is>
          <t>Dallas-Fort Worth-Arlington, TX</t>
        </is>
      </c>
      <c r="B136" t="inlineStr">
        <is>
          <t>LMICT%</t>
        </is>
      </c>
      <c r="C136" s="5" t="n">
        <v>0.1900311526479751</v>
      </c>
      <c r="D136" s="5" t="n">
        <v>0.2609633578846806</v>
      </c>
      <c r="E136" s="5">
        <f>IFERROR(C136-D136,0)</f>
        <v/>
      </c>
    </row>
    <row r="137">
      <c r="A137" t="inlineStr">
        <is>
          <t>Dallas-Fort Worth-Arlington, TX</t>
        </is>
      </c>
      <c r="B137" t="inlineStr">
        <is>
          <t>LMIB%</t>
        </is>
      </c>
      <c r="C137" s="5" t="n">
        <v>0.1651090342679128</v>
      </c>
      <c r="D137" s="5" t="n">
        <v>0.2111929489352522</v>
      </c>
      <c r="E137" s="5">
        <f>IFERROR(C137-D137,0)</f>
        <v/>
      </c>
    </row>
    <row r="138">
      <c r="A138" t="inlineStr">
        <is>
          <t>Dallas-Fort Worth-Arlington, TX</t>
        </is>
      </c>
      <c r="B138" t="inlineStr">
        <is>
          <t>LMIB$</t>
        </is>
      </c>
      <c r="C138" s="6" t="n">
        <v>19935000</v>
      </c>
      <c r="D138" s="6" t="n">
        <v>1565775000</v>
      </c>
    </row>
    <row r="139">
      <c r="A139" t="inlineStr">
        <is>
          <t>Dallas-Fort Worth-Arlington, TX</t>
        </is>
      </c>
      <c r="B139" t="inlineStr">
        <is>
          <t>MMCT%</t>
        </is>
      </c>
      <c r="C139" s="5" t="n">
        <v>0.470404984423676</v>
      </c>
      <c r="D139" s="5" t="n">
        <v>0.5158864679959321</v>
      </c>
      <c r="E139" s="5">
        <f>IFERROR(C139-D139,0)</f>
        <v/>
      </c>
    </row>
    <row r="140">
      <c r="A140" t="inlineStr">
        <is>
          <t>Dallas-Fort Worth-Arlington, TX</t>
        </is>
      </c>
      <c r="B140" t="inlineStr">
        <is>
          <t>MINB%</t>
        </is>
      </c>
      <c r="C140" s="5" t="n">
        <v>0.308411214953271</v>
      </c>
      <c r="D140" s="5" t="n">
        <v>0.4302135659034177</v>
      </c>
      <c r="E140" s="5">
        <f>IFERROR(C140-D140,0)</f>
        <v/>
      </c>
    </row>
    <row r="141">
      <c r="A141" t="inlineStr">
        <is>
          <t>Dallas-Fort Worth-Arlington, TX</t>
        </is>
      </c>
      <c r="B141" t="inlineStr">
        <is>
          <t>Asian%</t>
        </is>
      </c>
      <c r="C141" s="5" t="n">
        <v>0.1121495327102804</v>
      </c>
      <c r="D141" s="5" t="n">
        <v>0.1124225708034146</v>
      </c>
      <c r="E141" s="5">
        <f>IFERROR(C141-D141,0)</f>
        <v/>
      </c>
    </row>
    <row r="142">
      <c r="A142" t="inlineStr">
        <is>
          <t>Dallas-Fort Worth-Arlington, TX</t>
        </is>
      </c>
      <c r="B142" t="inlineStr">
        <is>
          <t>Black%</t>
        </is>
      </c>
      <c r="C142" s="5" t="n">
        <v>0.06542056074766354</v>
      </c>
      <c r="D142" s="5" t="n">
        <v>0.1131005577983913</v>
      </c>
      <c r="E142" s="5">
        <f>IFERROR(C142-D142,0)</f>
        <v/>
      </c>
    </row>
    <row r="143">
      <c r="A143" t="inlineStr">
        <is>
          <t>Dallas-Fort Worth-Arlington, TX</t>
        </is>
      </c>
      <c r="B143" t="inlineStr">
        <is>
          <t>Native American%</t>
        </is>
      </c>
      <c r="C143" s="5" t="n">
        <v>0.006230529595015576</v>
      </c>
      <c r="D143" s="5" t="n">
        <v>0.00477672655551789</v>
      </c>
      <c r="E143" s="5">
        <f>IFERROR(C143-D143,0)</f>
        <v/>
      </c>
    </row>
    <row r="144">
      <c r="A144" t="inlineStr">
        <is>
          <t>Dallas-Fort Worth-Arlington, TX</t>
        </is>
      </c>
      <c r="B144" t="inlineStr">
        <is>
          <t>HoPI%</t>
        </is>
      </c>
      <c r="C144" s="5" t="n">
        <v>0</v>
      </c>
      <c r="D144" s="5" t="n">
        <v>0.001232703627230423</v>
      </c>
      <c r="E144" s="5">
        <f>IFERROR(C144-D144,0)</f>
        <v/>
      </c>
    </row>
    <row r="145">
      <c r="A145" t="inlineStr">
        <is>
          <t>Dallas-Fort Worth-Arlington, TX</t>
        </is>
      </c>
      <c r="B145" t="inlineStr">
        <is>
          <t>Hispanic%</t>
        </is>
      </c>
      <c r="C145" s="5" t="n">
        <v>0.1246105919003115</v>
      </c>
      <c r="D145" s="5" t="n">
        <v>0.1986810071188635</v>
      </c>
      <c r="E145" s="5">
        <f>IFERROR(C145-D145,0)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6276</v>
      </c>
      <c r="D2" s="4" t="n">
        <v>172783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0.1813256851497769</v>
      </c>
      <c r="D3" s="5" t="n">
        <v>0.218800460693471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0.2396430847673678</v>
      </c>
      <c r="D4" s="5" t="n">
        <v>0.2699686890492699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443310000</v>
      </c>
      <c r="D5" s="6" t="n">
        <v>13869070000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0.1295411089866157</v>
      </c>
      <c r="D6" s="5" t="n">
        <v>0.1789007020366587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0.2990758444869344</v>
      </c>
      <c r="D7" s="5" t="n">
        <v>0.2521428612768618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0.07966857871255577</v>
      </c>
      <c r="D8" s="5" t="n">
        <v>0.05649282626184289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0.04461440407903124</v>
      </c>
      <c r="D9" s="5" t="n">
        <v>0.0319533750426836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0.003186743148502231</v>
      </c>
      <c r="D10" s="5" t="n">
        <v>0.005961234612201433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0.001115360101975781</v>
      </c>
      <c r="D11" s="5" t="n">
        <v>0.001898334905633078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0.1704907584448694</v>
      </c>
      <c r="D12" s="5" t="n">
        <v>0.1558370904545007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3485</v>
      </c>
      <c r="D14" s="4" t="n">
        <v>93480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0.2272596843615495</v>
      </c>
      <c r="D15" s="5" t="n">
        <v>0.2529418057338468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0.2637015781922525</v>
      </c>
      <c r="D16" s="5" t="n">
        <v>0.2981707317073171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266325000</v>
      </c>
      <c r="D17" s="6" t="n">
        <v>8524475000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0.1733142037302726</v>
      </c>
      <c r="D18" s="5" t="n">
        <v>0.2232135216089003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0.357819225251076</v>
      </c>
      <c r="D19" s="5" t="n">
        <v>0.2649657680787334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0.1010043041606887</v>
      </c>
      <c r="D20" s="5" t="n">
        <v>0.06221651690201113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0.06915351506456241</v>
      </c>
      <c r="D21" s="5" t="n">
        <v>0.03785836542575952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0.002295552367288379</v>
      </c>
      <c r="D22" s="5" t="n">
        <v>0.004899443731279418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0.0005738880918220947</v>
      </c>
      <c r="D23" s="5" t="n">
        <v>0.001593923833975182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0.1847919655667145</v>
      </c>
      <c r="D24" s="5" t="n">
        <v>0.1583975181857082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423</v>
      </c>
      <c r="D36" s="4" t="n">
        <v>34339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0.215130023640662</v>
      </c>
      <c r="D37" s="5" t="n">
        <v>0.1910655522874865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0.2836879432624114</v>
      </c>
      <c r="D38" s="5" t="n">
        <v>0.2123533009115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32510000</v>
      </c>
      <c r="D39" s="6" t="n">
        <v>1892680000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0.2033096926713948</v>
      </c>
      <c r="D40" s="5" t="n">
        <v>0.2164594193191415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0.3238770685579196</v>
      </c>
      <c r="D41" s="5" t="n">
        <v>0.2933108127784734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0.1040189125295508</v>
      </c>
      <c r="D42" s="5" t="n">
        <v>0.06598910859372725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0.02364066193853428</v>
      </c>
      <c r="D43" s="5" t="n">
        <v>0.03194618363959346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0.002364066193853428</v>
      </c>
      <c r="D44" s="5" t="n">
        <v>0.00879466495821078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0.004728132387706856</v>
      </c>
      <c r="D45" s="5" t="n">
        <v>0.002446198200297038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0.1891252955082742</v>
      </c>
      <c r="D46" s="5" t="n">
        <v>0.1841346573866449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339</v>
      </c>
      <c r="D80" s="4" t="n">
        <v>12821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0.1858407079646018</v>
      </c>
      <c r="D81" s="5" t="n">
        <v>0.204274237578972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0.2330383480825959</v>
      </c>
      <c r="D82" s="5" t="n">
        <v>0.2522424147882381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21925000</v>
      </c>
      <c r="D83" s="6" t="n">
        <v>944610000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0.07374631268436578</v>
      </c>
      <c r="D84" s="5" t="n">
        <v>0.09219249668512595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0.3303834808259587</v>
      </c>
      <c r="D85" s="5" t="n">
        <v>0.2414008267685828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0.07964601769911504</v>
      </c>
      <c r="D86" s="5" t="n">
        <v>0.04094844395912956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0.05309734513274336</v>
      </c>
      <c r="D87" s="5" t="n">
        <v>0.04656423055923876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0.007643709539037516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0.004523828094532408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0.1976401179941003</v>
      </c>
      <c r="D90" s="5" t="n">
        <v>0.1417206146166446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  <row r="102">
      <c r="A102" t="inlineStr">
        <is>
          <t>Glenwood Springs, CO</t>
        </is>
      </c>
      <c r="B102" t="inlineStr">
        <is>
          <t>Loans</t>
        </is>
      </c>
      <c r="C102" s="4" t="n">
        <v>139</v>
      </c>
      <c r="D102" s="4" t="n">
        <v>996</v>
      </c>
    </row>
    <row r="103">
      <c r="A103" t="inlineStr">
        <is>
          <t>Glenwood Springs, CO</t>
        </is>
      </c>
      <c r="B103" t="inlineStr">
        <is>
          <t>LMICT%</t>
        </is>
      </c>
      <c r="C103" s="5" t="n">
        <v>0</v>
      </c>
      <c r="D103" s="5" t="n">
        <v>0</v>
      </c>
      <c r="E103" s="5">
        <f>IFERROR(C103-D103,0)</f>
        <v/>
      </c>
    </row>
    <row r="104">
      <c r="A104" t="inlineStr">
        <is>
          <t>Glenwood Springs, CO</t>
        </is>
      </c>
      <c r="B104" t="inlineStr">
        <is>
          <t>LMIB%</t>
        </is>
      </c>
      <c r="C104" s="5" t="n">
        <v>0.07913669064748201</v>
      </c>
      <c r="D104" s="5" t="n">
        <v>0.1265060240963855</v>
      </c>
      <c r="E104" s="5">
        <f>IFERROR(C104-D104,0)</f>
        <v/>
      </c>
    </row>
    <row r="105">
      <c r="A105" t="inlineStr">
        <is>
          <t>Glenwood Springs, CO</t>
        </is>
      </c>
      <c r="B105" t="inlineStr">
        <is>
          <t>LMIB$</t>
        </is>
      </c>
      <c r="C105" s="6" t="n">
        <v>2515000</v>
      </c>
      <c r="D105" s="6" t="n">
        <v>31010000</v>
      </c>
    </row>
    <row r="106">
      <c r="A106" t="inlineStr">
        <is>
          <t>Glenwood Springs, CO</t>
        </is>
      </c>
      <c r="B106" t="inlineStr">
        <is>
          <t>MMCT%</t>
        </is>
      </c>
      <c r="C106" s="5" t="n">
        <v>0</v>
      </c>
      <c r="D106" s="5" t="n">
        <v>0.02309236947791165</v>
      </c>
      <c r="E106" s="5">
        <f>IFERROR(C106-D106,0)</f>
        <v/>
      </c>
    </row>
    <row r="107">
      <c r="A107" t="inlineStr">
        <is>
          <t>Glenwood Springs, CO</t>
        </is>
      </c>
      <c r="B107" t="inlineStr">
        <is>
          <t>MINB%</t>
        </is>
      </c>
      <c r="C107" s="5" t="n">
        <v>0.237410071942446</v>
      </c>
      <c r="D107" s="5" t="n">
        <v>0.1556224899598393</v>
      </c>
      <c r="E107" s="5">
        <f>IFERROR(C107-D107,0)</f>
        <v/>
      </c>
    </row>
    <row r="108">
      <c r="A108" t="inlineStr">
        <is>
          <t>Glenwood Springs, CO</t>
        </is>
      </c>
      <c r="B108" t="inlineStr">
        <is>
          <t>Asian%</t>
        </is>
      </c>
      <c r="C108" s="5" t="n">
        <v>0.01438848920863309</v>
      </c>
      <c r="D108" s="5" t="n">
        <v>0.006024096385542169</v>
      </c>
      <c r="E108" s="5">
        <f>IFERROR(C108-D108,0)</f>
        <v/>
      </c>
    </row>
    <row r="109">
      <c r="A109" t="inlineStr">
        <is>
          <t>Glenwood Springs, CO</t>
        </is>
      </c>
      <c r="B109" t="inlineStr">
        <is>
          <t>Black%</t>
        </is>
      </c>
      <c r="C109" s="5" t="n">
        <v>0.007194244604316547</v>
      </c>
      <c r="D109" s="5" t="n">
        <v>0.008032128514056224</v>
      </c>
      <c r="E109" s="5">
        <f>IFERROR(C109-D109,0)</f>
        <v/>
      </c>
    </row>
    <row r="110">
      <c r="A110" t="inlineStr">
        <is>
          <t>Glenwood Springs, CO</t>
        </is>
      </c>
      <c r="B110" t="inlineStr">
        <is>
          <t>Native American%</t>
        </is>
      </c>
      <c r="C110" s="5" t="n">
        <v>0.007194244604316547</v>
      </c>
      <c r="D110" s="5" t="n">
        <v>0.007028112449799197</v>
      </c>
      <c r="E110" s="5">
        <f>IFERROR(C110-D110,0)</f>
        <v/>
      </c>
    </row>
    <row r="111">
      <c r="A111" t="inlineStr">
        <is>
          <t>Glenwood Springs, CO</t>
        </is>
      </c>
      <c r="B111" t="inlineStr">
        <is>
          <t>HoPI%</t>
        </is>
      </c>
      <c r="C111" s="5" t="n">
        <v>0</v>
      </c>
      <c r="D111" s="5" t="n">
        <v>0</v>
      </c>
      <c r="E111" s="5">
        <f>IFERROR(C111-D111,0)</f>
        <v/>
      </c>
    </row>
    <row r="112">
      <c r="A112" t="inlineStr">
        <is>
          <t>Glenwood Springs, CO</t>
        </is>
      </c>
      <c r="B112" t="inlineStr">
        <is>
          <t>Hispanic%</t>
        </is>
      </c>
      <c r="C112" s="5" t="n">
        <v>0.2086330935251799</v>
      </c>
      <c r="D112" s="5" t="n">
        <v>0.1345381526104418</v>
      </c>
      <c r="E112" s="5">
        <f>IFERROR(C112-D112,0)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848547</v>
      </c>
      <c r="D2" s="4" t="n">
        <v>4077808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147658</v>
      </c>
      <c r="D3" s="4" t="n">
        <v>544296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61.00895989380867</v>
      </c>
      <c r="D4" s="4" t="n">
        <v>40.03060467098784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409311</v>
      </c>
      <c r="D5" s="4" t="n">
        <v>2071634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34.24371932344843</v>
      </c>
      <c r="D6" s="4" t="n">
        <v>24.79878781676686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176533</v>
      </c>
      <c r="D8" s="4" t="n">
        <v>187790</v>
      </c>
    </row>
    <row r="9">
      <c r="A9" t="inlineStr">
        <is>
          <t>Pittsburgh, PA</t>
        </is>
      </c>
      <c r="B9" t="inlineStr">
        <is>
          <t>#LMICT</t>
        </is>
      </c>
      <c r="C9" s="4" t="n">
        <v>17311</v>
      </c>
      <c r="D9" s="4" t="n">
        <v>6804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67.39142741609382</v>
      </c>
      <c r="D10" s="4" t="n">
        <v>12.33921222810112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78631</v>
      </c>
      <c r="D11" s="4" t="n">
        <v>85531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42.57722781091427</v>
      </c>
      <c r="D12" s="4" t="n">
        <v>8.802516046813436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168476</v>
      </c>
      <c r="D13" s="4" t="n">
        <v>958033</v>
      </c>
    </row>
    <row r="14">
      <c r="A14" t="inlineStr">
        <is>
          <t>CBSA 16984</t>
        </is>
      </c>
      <c r="B14" t="inlineStr">
        <is>
          <t>#LMICT</t>
        </is>
      </c>
      <c r="C14" s="4" t="n">
        <v>26110</v>
      </c>
      <c r="D14" s="4" t="n">
        <v>218198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27.38686327077748</v>
      </c>
      <c r="D15" s="4" t="n">
        <v>26.97032511755378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76076</v>
      </c>
      <c r="D16" s="4" t="n">
        <v>441116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26.34744203165256</v>
      </c>
      <c r="D17" s="4" t="n">
        <v>21.61211790096029</v>
      </c>
      <c r="E17" s="5">
        <f>IFERROR((C17/D17)-1,0)</f>
        <v/>
      </c>
    </row>
    <row r="18">
      <c r="A18" t="inlineStr">
        <is>
          <t>Columbus, OH</t>
        </is>
      </c>
      <c r="B18" t="inlineStr">
        <is>
          <t>SB Loans</t>
        </is>
      </c>
      <c r="C18" s="4" t="n">
        <v>88207</v>
      </c>
      <c r="D18" s="4" t="n">
        <v>300542</v>
      </c>
    </row>
    <row r="19">
      <c r="A19" t="inlineStr">
        <is>
          <t>Columbus, OH</t>
        </is>
      </c>
      <c r="B19" t="inlineStr">
        <is>
          <t>#LMICT</t>
        </is>
      </c>
      <c r="C19" s="4" t="n">
        <v>23142</v>
      </c>
      <c r="D19" s="4" t="n">
        <v>22875</v>
      </c>
      <c r="E19" s="5">
        <f>IFERROR((C19/C18)-(D19/D18),0)</f>
        <v/>
      </c>
    </row>
    <row r="20">
      <c r="A20" t="inlineStr">
        <is>
          <t>Columbus, OH</t>
        </is>
      </c>
      <c r="B20" t="inlineStr">
        <is>
          <t>Avg SB LMICT Loan Amount</t>
        </is>
      </c>
      <c r="C20" s="4" t="n">
        <v>70.92226255293406</v>
      </c>
      <c r="D20" s="4" t="n">
        <v>56.92275409836066</v>
      </c>
      <c r="E20" s="5">
        <f>IFERROR((C20/D20)-1,0)</f>
        <v/>
      </c>
    </row>
    <row r="21">
      <c r="A21" t="inlineStr">
        <is>
          <t>Columbus, OH</t>
        </is>
      </c>
      <c r="B21" t="inlineStr">
        <is>
          <t>Loans Rev Under $1m</t>
        </is>
      </c>
      <c r="C21" s="4" t="n">
        <v>25522</v>
      </c>
      <c r="D21" s="4" t="n">
        <v>169664</v>
      </c>
      <c r="E21" s="5">
        <f>IFERROR((C21/C18)-(D21/D18),0)</f>
        <v/>
      </c>
    </row>
    <row r="22">
      <c r="A22" t="inlineStr">
        <is>
          <t>Columbus, OH</t>
        </is>
      </c>
      <c r="B22" t="inlineStr">
        <is>
          <t>Avg Loan Amt for RUM SB</t>
        </is>
      </c>
      <c r="C22" s="4" t="n">
        <v>36.2144816236972</v>
      </c>
      <c r="D22" s="4" t="n">
        <v>22.45210533760845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79282</v>
      </c>
      <c r="D23" s="4" t="n">
        <v>437479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18032</v>
      </c>
      <c r="D24" s="4" t="n">
        <v>49664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84.0042701863354</v>
      </c>
      <c r="D25" s="4" t="n">
        <v>51.13788659793814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40033</v>
      </c>
      <c r="D26" s="4" t="n">
        <v>256410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37.72897359678265</v>
      </c>
      <c r="D27" s="4" t="n">
        <v>22.07760227760228</v>
      </c>
      <c r="E27" s="5">
        <f>IFERROR((C27/D27)-1,0)</f>
        <v/>
      </c>
    </row>
    <row r="28">
      <c r="A28" t="inlineStr">
        <is>
          <t>CBSA 48424</t>
        </is>
      </c>
      <c r="B28" t="inlineStr">
        <is>
          <t>SB Loans</t>
        </is>
      </c>
      <c r="C28" s="4" t="n">
        <v>72450</v>
      </c>
      <c r="D28" s="4" t="n">
        <v>436390</v>
      </c>
    </row>
    <row r="29">
      <c r="A29" t="inlineStr">
        <is>
          <t>CBSA 48424</t>
        </is>
      </c>
      <c r="B29" t="inlineStr">
        <is>
          <t>#LMICT</t>
        </is>
      </c>
      <c r="C29" s="4" t="n">
        <v>16114</v>
      </c>
      <c r="D29" s="4" t="n">
        <v>53084</v>
      </c>
      <c r="E29" s="5">
        <f>IFERROR((C29/C28)-(D29/D28),0)</f>
        <v/>
      </c>
    </row>
    <row r="30">
      <c r="A30" t="inlineStr">
        <is>
          <t>CBSA 48424</t>
        </is>
      </c>
      <c r="B30" t="inlineStr">
        <is>
          <t>Avg SB LMICT Loan Amount</t>
        </is>
      </c>
      <c r="C30" s="4" t="n">
        <v>50.30538662033015</v>
      </c>
      <c r="D30" s="4" t="n">
        <v>31.62789164343305</v>
      </c>
      <c r="E30" s="5">
        <f>IFERROR((C30/D30)-1,0)</f>
        <v/>
      </c>
    </row>
    <row r="31">
      <c r="A31" t="inlineStr">
        <is>
          <t>CBSA 48424</t>
        </is>
      </c>
      <c r="B31" t="inlineStr">
        <is>
          <t>Loans Rev Under $1m</t>
        </is>
      </c>
      <c r="C31" s="4" t="n">
        <v>46011</v>
      </c>
      <c r="D31" s="4" t="n">
        <v>232450</v>
      </c>
      <c r="E31" s="5">
        <f>IFERROR((C31/C28)-(D31/D28),0)</f>
        <v/>
      </c>
    </row>
    <row r="32">
      <c r="A32" t="inlineStr">
        <is>
          <t>CBSA 48424</t>
        </is>
      </c>
      <c r="B32" t="inlineStr">
        <is>
          <t>Avg Loan Amt for RUM SB</t>
        </is>
      </c>
      <c r="C32" s="4" t="n">
        <v>28.64019473604138</v>
      </c>
      <c r="D32" s="4" t="n">
        <v>17.11289309528931</v>
      </c>
      <c r="E32" s="5">
        <f>IFERROR((C32/D32)-1,0)</f>
        <v/>
      </c>
    </row>
    <row r="33">
      <c r="A33" t="inlineStr">
        <is>
          <t>Cincinnati, OH-KY-IN</t>
        </is>
      </c>
      <c r="B33" t="inlineStr">
        <is>
          <t>SB Loans</t>
        </is>
      </c>
      <c r="C33" s="4" t="n">
        <v>53942</v>
      </c>
      <c r="D33" s="4" t="n">
        <v>223939</v>
      </c>
    </row>
    <row r="34">
      <c r="A34" t="inlineStr">
        <is>
          <t>Cincinnati, OH-KY-IN</t>
        </is>
      </c>
      <c r="B34" t="inlineStr">
        <is>
          <t>#LMICT</t>
        </is>
      </c>
      <c r="C34" s="4" t="n">
        <v>12201</v>
      </c>
      <c r="D34" s="4" t="n">
        <v>28057</v>
      </c>
      <c r="E34" s="5">
        <f>IFERROR((C34/C33)-(D34/D33),0)</f>
        <v/>
      </c>
    </row>
    <row r="35">
      <c r="A35" t="inlineStr">
        <is>
          <t>Cincinnati, OH-KY-IN</t>
        </is>
      </c>
      <c r="B35" t="inlineStr">
        <is>
          <t>Avg SB LMICT Loan Amount</t>
        </is>
      </c>
      <c r="C35" s="4" t="n">
        <v>67.04876649454962</v>
      </c>
      <c r="D35" s="4" t="n">
        <v>51.00944505827422</v>
      </c>
      <c r="E35" s="5">
        <f>IFERROR((C35/D35)-1,0)</f>
        <v/>
      </c>
    </row>
    <row r="36">
      <c r="A36" t="inlineStr">
        <is>
          <t>Cincinnati, OH-KY-IN</t>
        </is>
      </c>
      <c r="B36" t="inlineStr">
        <is>
          <t>Loans Rev Under $1m</t>
        </is>
      </c>
      <c r="C36" s="4" t="n">
        <v>28826</v>
      </c>
      <c r="D36" s="4" t="n">
        <v>131094</v>
      </c>
      <c r="E36" s="5">
        <f>IFERROR((C36/C33)-(D36/D33),0)</f>
        <v/>
      </c>
    </row>
    <row r="37">
      <c r="A37" t="inlineStr">
        <is>
          <t>Cincinnati, OH-KY-IN</t>
        </is>
      </c>
      <c r="B37" t="inlineStr">
        <is>
          <t>Avg Loan Amt for RUM SB</t>
        </is>
      </c>
      <c r="C37" s="4" t="n">
        <v>37.05852355512385</v>
      </c>
      <c r="D37" s="4" t="n">
        <v>23.05483851282286</v>
      </c>
      <c r="E37" s="5">
        <f>IFERROR((C37/D37)-1,0)</f>
        <v/>
      </c>
    </row>
    <row r="38">
      <c r="A38" t="inlineStr">
        <is>
          <t>Louisville/Jefferson County, KY-IN</t>
        </is>
      </c>
      <c r="B38" t="inlineStr">
        <is>
          <t>SB Loans</t>
        </is>
      </c>
      <c r="C38" s="4" t="n">
        <v>48818</v>
      </c>
      <c r="D38" s="4" t="n">
        <v>229785</v>
      </c>
    </row>
    <row r="39">
      <c r="A39" t="inlineStr">
        <is>
          <t>Louisville/Jefferson County, KY-IN</t>
        </is>
      </c>
      <c r="B39" t="inlineStr">
        <is>
          <t>#LMICT</t>
        </is>
      </c>
      <c r="C39" s="4" t="n">
        <v>9975</v>
      </c>
      <c r="D39" s="4" t="n">
        <v>18088</v>
      </c>
      <c r="E39" s="5">
        <f>IFERROR((C39/C38)-(D39/D38),0)</f>
        <v/>
      </c>
    </row>
    <row r="40">
      <c r="A40" t="inlineStr">
        <is>
          <t>Louisville/Jefferson County, KY-IN</t>
        </is>
      </c>
      <c r="B40" t="inlineStr">
        <is>
          <t>Avg SB LMICT Loan Amount</t>
        </is>
      </c>
      <c r="C40" s="4" t="n">
        <v>65.38245614035088</v>
      </c>
      <c r="D40" s="4" t="n">
        <v>89.53516143299424</v>
      </c>
      <c r="E40" s="5">
        <f>IFERROR((C40/D40)-1,0)</f>
        <v/>
      </c>
    </row>
    <row r="41">
      <c r="A41" t="inlineStr">
        <is>
          <t>Louisville/Jefferson County, KY-IN</t>
        </is>
      </c>
      <c r="B41" t="inlineStr">
        <is>
          <t>Loans Rev Under $1m</t>
        </is>
      </c>
      <c r="C41" s="4" t="n">
        <v>27937</v>
      </c>
      <c r="D41" s="4" t="n">
        <v>115971</v>
      </c>
      <c r="E41" s="5">
        <f>IFERROR((C41/C38)-(D41/D38),0)</f>
        <v/>
      </c>
    </row>
    <row r="42">
      <c r="A42" t="inlineStr">
        <is>
          <t>Louisville/Jefferson County, KY-IN</t>
        </is>
      </c>
      <c r="B42" t="inlineStr">
        <is>
          <t>Avg Loan Amt for RUM SB</t>
        </is>
      </c>
      <c r="C42" s="4" t="n">
        <v>30.41894262089702</v>
      </c>
      <c r="D42" s="4" t="n">
        <v>38.28814100076743</v>
      </c>
      <c r="E42" s="5">
        <f>IFERROR((C42/D42)-1,0)</f>
        <v/>
      </c>
    </row>
    <row r="43">
      <c r="A43" t="inlineStr">
        <is>
          <t>CBSA 37964</t>
        </is>
      </c>
      <c r="B43" t="inlineStr">
        <is>
          <t>SB Loans</t>
        </is>
      </c>
      <c r="C43" s="4" t="n">
        <v>47369</v>
      </c>
      <c r="D43" s="4" t="n">
        <v>376711</v>
      </c>
    </row>
    <row r="44">
      <c r="A44" t="inlineStr">
        <is>
          <t>CBSA 37964</t>
        </is>
      </c>
      <c r="B44" t="inlineStr">
        <is>
          <t>#LMICT</t>
        </is>
      </c>
      <c r="C44" s="4" t="n">
        <v>9226</v>
      </c>
      <c r="D44" s="4" t="n">
        <v>53391</v>
      </c>
      <c r="E44" s="5">
        <f>IFERROR((C44/C43)-(D44/D43),0)</f>
        <v/>
      </c>
    </row>
    <row r="45">
      <c r="A45" t="inlineStr">
        <is>
          <t>CBSA 37964</t>
        </is>
      </c>
      <c r="B45" t="inlineStr">
        <is>
          <t>Avg SB LMICT Loan Amount</t>
        </is>
      </c>
      <c r="C45" s="4" t="n">
        <v>59.25872534142641</v>
      </c>
      <c r="D45" s="4" t="n">
        <v>24.2792230900339</v>
      </c>
      <c r="E45" s="5">
        <f>IFERROR((C45/D45)-1,0)</f>
        <v/>
      </c>
    </row>
    <row r="46">
      <c r="A46" t="inlineStr">
        <is>
          <t>CBSA 37964</t>
        </is>
      </c>
      <c r="B46" t="inlineStr">
        <is>
          <t>Loans Rev Under $1m</t>
        </is>
      </c>
      <c r="C46" s="4" t="n">
        <v>27888</v>
      </c>
      <c r="D46" s="4" t="n">
        <v>231705</v>
      </c>
      <c r="E46" s="5">
        <f>IFERROR((C46/C43)-(D46/D43),0)</f>
        <v/>
      </c>
    </row>
    <row r="47">
      <c r="A47" t="inlineStr">
        <is>
          <t>CBSA 37964</t>
        </is>
      </c>
      <c r="B47" t="inlineStr">
        <is>
          <t>Avg Loan Amt for RUM SB</t>
        </is>
      </c>
      <c r="C47" s="4" t="n">
        <v>34.06375502008032</v>
      </c>
      <c r="D47" s="4" t="n">
        <v>15.53803759090222</v>
      </c>
      <c r="E47" s="5">
        <f>IFERROR((C47/D47)-1,0)</f>
        <v/>
      </c>
    </row>
    <row r="48">
      <c r="A48" t="inlineStr">
        <is>
          <t>CBSA 19804</t>
        </is>
      </c>
      <c r="B48" t="inlineStr">
        <is>
          <t>SB Loans</t>
        </is>
      </c>
      <c r="C48" s="4" t="n">
        <v>36519</v>
      </c>
      <c r="D48" s="4" t="n">
        <v>296617</v>
      </c>
    </row>
    <row r="49">
      <c r="A49" t="inlineStr">
        <is>
          <t>CBSA 19804</t>
        </is>
      </c>
      <c r="B49" t="inlineStr">
        <is>
          <t>#LMICT</t>
        </is>
      </c>
      <c r="C49" s="4" t="n">
        <v>6307</v>
      </c>
      <c r="D49" s="4" t="n">
        <v>49728</v>
      </c>
      <c r="E49" s="5">
        <f>IFERROR((C49/C48)-(D49/D48),0)</f>
        <v/>
      </c>
    </row>
    <row r="50">
      <c r="A50" t="inlineStr">
        <is>
          <t>CBSA 19804</t>
        </is>
      </c>
      <c r="B50" t="inlineStr">
        <is>
          <t>Avg SB LMICT Loan Amount</t>
        </is>
      </c>
      <c r="C50" s="4" t="n">
        <v>50.0754716981132</v>
      </c>
      <c r="D50" s="4" t="n">
        <v>35.55383285070785</v>
      </c>
      <c r="E50" s="5">
        <f>IFERROR((C50/D50)-1,0)</f>
        <v/>
      </c>
    </row>
    <row r="51">
      <c r="A51" t="inlineStr">
        <is>
          <t>CBSA 19804</t>
        </is>
      </c>
      <c r="B51" t="inlineStr">
        <is>
          <t>Loans Rev Under $1m</t>
        </is>
      </c>
      <c r="C51" s="4" t="n">
        <v>20531</v>
      </c>
      <c r="D51" s="4" t="n">
        <v>166913</v>
      </c>
      <c r="E51" s="5">
        <f>IFERROR((C51/C48)-(D51/D48),0)</f>
        <v/>
      </c>
    </row>
    <row r="52">
      <c r="A52" t="inlineStr">
        <is>
          <t>CBSA 19804</t>
        </is>
      </c>
      <c r="B52" t="inlineStr">
        <is>
          <t>Avg Loan Amt for RUM SB</t>
        </is>
      </c>
      <c r="C52" s="4" t="n">
        <v>35.11319468121378</v>
      </c>
      <c r="D52" s="4" t="n">
        <v>26.07723185132375</v>
      </c>
      <c r="E52" s="5">
        <f>IFERROR((C52/D52)-1,0)</f>
        <v/>
      </c>
    </row>
    <row r="53">
      <c r="A53" t="inlineStr">
        <is>
          <t>CBSA 48864</t>
        </is>
      </c>
      <c r="B53" t="inlineStr">
        <is>
          <t>SB Loans</t>
        </is>
      </c>
      <c r="C53" s="4" t="n">
        <v>30758</v>
      </c>
      <c r="D53" s="4" t="n">
        <v>194173</v>
      </c>
    </row>
    <row r="54">
      <c r="A54" t="inlineStr">
        <is>
          <t>CBSA 48864</t>
        </is>
      </c>
      <c r="B54" t="inlineStr">
        <is>
          <t>#LMICT</t>
        </is>
      </c>
      <c r="C54" s="4" t="n">
        <v>8638</v>
      </c>
      <c r="D54" s="4" t="n">
        <v>25980</v>
      </c>
      <c r="E54" s="5">
        <f>IFERROR((C54/C53)-(D54/D53),0)</f>
        <v/>
      </c>
    </row>
    <row r="55">
      <c r="A55" t="inlineStr">
        <is>
          <t>CBSA 48864</t>
        </is>
      </c>
      <c r="B55" t="inlineStr">
        <is>
          <t>Avg SB LMICT Loan Amount</t>
        </is>
      </c>
      <c r="C55" s="4" t="n">
        <v>81.07212317666126</v>
      </c>
      <c r="D55" s="4" t="n">
        <v>54.25665896843726</v>
      </c>
      <c r="E55" s="5">
        <f>IFERROR((C55/D55)-1,0)</f>
        <v/>
      </c>
    </row>
    <row r="56">
      <c r="A56" t="inlineStr">
        <is>
          <t>CBSA 48864</t>
        </is>
      </c>
      <c r="B56" t="inlineStr">
        <is>
          <t>Loans Rev Under $1m</t>
        </is>
      </c>
      <c r="C56" s="4" t="n">
        <v>15155</v>
      </c>
      <c r="D56" s="4" t="n">
        <v>101462</v>
      </c>
      <c r="E56" s="5">
        <f>IFERROR((C56/C53)-(D56/D53),0)</f>
        <v/>
      </c>
    </row>
    <row r="57">
      <c r="A57" t="inlineStr">
        <is>
          <t>CBSA 48864</t>
        </is>
      </c>
      <c r="B57" t="inlineStr">
        <is>
          <t>Avg Loan Amt for RUM SB</t>
        </is>
      </c>
      <c r="C57" s="4" t="n">
        <v>39.69099307159353</v>
      </c>
      <c r="D57" s="4" t="n">
        <v>19.70640239695649</v>
      </c>
      <c r="E57" s="5">
        <f>IFERROR((C57/D57)-1,0)</f>
        <v/>
      </c>
    </row>
    <row r="58">
      <c r="A58" t="inlineStr">
        <is>
          <t>Houston-The Woodlands-Sugar Land, TX</t>
        </is>
      </c>
      <c r="B58" t="inlineStr">
        <is>
          <t>SB Loans</t>
        </is>
      </c>
      <c r="C58" s="4" t="n">
        <v>14679</v>
      </c>
      <c r="D58" s="4" t="n">
        <v>142450</v>
      </c>
    </row>
    <row r="59">
      <c r="A59" t="inlineStr">
        <is>
          <t>Houston-The Woodlands-Sugar Land, TX</t>
        </is>
      </c>
      <c r="B59" t="inlineStr">
        <is>
          <t>#LMICT</t>
        </is>
      </c>
      <c r="C59" s="4" t="n">
        <v>336</v>
      </c>
      <c r="D59" s="4" t="n">
        <v>7479</v>
      </c>
      <c r="E59" s="5">
        <f>IFERROR((C59/C58)-(D59/D58),0)</f>
        <v/>
      </c>
    </row>
    <row r="60">
      <c r="A60" t="inlineStr">
        <is>
          <t>Houston-The Woodlands-Sugar Land, TX</t>
        </is>
      </c>
      <c r="B60" t="inlineStr">
        <is>
          <t>Avg SB LMICT Loan Amount</t>
        </is>
      </c>
      <c r="C60" s="4" t="n">
        <v>255.8125</v>
      </c>
      <c r="D60" s="4" t="n">
        <v>135.5102286401925</v>
      </c>
      <c r="E60" s="5">
        <f>IFERROR((C60/D60)-1,0)</f>
        <v/>
      </c>
    </row>
    <row r="61">
      <c r="A61" t="inlineStr">
        <is>
          <t>Houston-The Woodlands-Sugar Land, TX</t>
        </is>
      </c>
      <c r="B61" t="inlineStr">
        <is>
          <t>Loans Rev Under $1m</t>
        </is>
      </c>
      <c r="C61" s="4" t="n">
        <v>7455</v>
      </c>
      <c r="D61" s="4" t="n">
        <v>41026</v>
      </c>
      <c r="E61" s="5">
        <f>IFERROR((C61/C58)-(D61/D58),0)</f>
        <v/>
      </c>
    </row>
    <row r="62">
      <c r="A62" t="inlineStr">
        <is>
          <t>Houston-The Woodlands-Sugar Land, TX</t>
        </is>
      </c>
      <c r="B62" t="inlineStr">
        <is>
          <t>Avg Loan Amt for RUM SB</t>
        </is>
      </c>
      <c r="C62" s="4" t="n">
        <v>33.0262910798122</v>
      </c>
      <c r="D62" s="4" t="n">
        <v>95.92831375225467</v>
      </c>
      <c r="E62" s="5">
        <f>IFERROR((C62/D62)-1,0)</f>
        <v/>
      </c>
    </row>
    <row r="63">
      <c r="A63" t="inlineStr">
        <is>
          <t>CBSA 19124</t>
        </is>
      </c>
      <c r="B63" t="inlineStr">
        <is>
          <t>SB Loans</t>
        </is>
      </c>
      <c r="C63" s="4" t="n">
        <v>11669</v>
      </c>
      <c r="D63" s="4" t="n">
        <v>126272</v>
      </c>
    </row>
    <row r="64">
      <c r="A64" t="inlineStr">
        <is>
          <t>CBSA 19124</t>
        </is>
      </c>
      <c r="B64" t="inlineStr">
        <is>
          <t>#LMICT</t>
        </is>
      </c>
      <c r="C64" s="4" t="n">
        <v>91</v>
      </c>
      <c r="D64" s="4" t="n">
        <v>4858</v>
      </c>
      <c r="E64" s="5">
        <f>IFERROR((C64/C63)-(D64/D63),0)</f>
        <v/>
      </c>
    </row>
    <row r="65">
      <c r="A65" t="inlineStr">
        <is>
          <t>CBSA 19124</t>
        </is>
      </c>
      <c r="B65" t="inlineStr">
        <is>
          <t>Avg SB LMICT Loan Amount</t>
        </is>
      </c>
      <c r="C65" s="4" t="n">
        <v>235.1538461538462</v>
      </c>
      <c r="D65" s="4" t="n">
        <v>145.1790860436394</v>
      </c>
      <c r="E65" s="5">
        <f>IFERROR((C65/D65)-1,0)</f>
        <v/>
      </c>
    </row>
    <row r="66">
      <c r="A66" t="inlineStr">
        <is>
          <t>CBSA 19124</t>
        </is>
      </c>
      <c r="B66" t="inlineStr">
        <is>
          <t>Loans Rev Under $1m</t>
        </is>
      </c>
      <c r="C66" s="4" t="n">
        <v>5502</v>
      </c>
      <c r="D66" s="4" t="n">
        <v>48329</v>
      </c>
      <c r="E66" s="5">
        <f>IFERROR((C66/C63)-(D66/D63),0)</f>
        <v/>
      </c>
    </row>
    <row r="67">
      <c r="A67" t="inlineStr">
        <is>
          <t>CBSA 19124</t>
        </is>
      </c>
      <c r="B67" t="inlineStr">
        <is>
          <t>Avg Loan Amt for RUM SB</t>
        </is>
      </c>
      <c r="C67" s="4" t="n">
        <v>26.36386768447837</v>
      </c>
      <c r="D67" s="4" t="n">
        <v>47.10236090132219</v>
      </c>
      <c r="E67" s="5">
        <f>IFERROR((C67/D67)-1,0)</f>
        <v/>
      </c>
    </row>
    <row r="68">
      <c r="A68" t="inlineStr">
        <is>
          <t>Phoenix-Mesa-Chandler, AZ</t>
        </is>
      </c>
      <c r="B68" t="inlineStr">
        <is>
          <t>SB Loans</t>
        </is>
      </c>
      <c r="C68" s="4" t="n">
        <v>11501</v>
      </c>
      <c r="D68" s="4" t="n">
        <v>80800</v>
      </c>
    </row>
    <row r="69">
      <c r="A69" t="inlineStr">
        <is>
          <t>Phoenix-Mesa-Chandler, AZ</t>
        </is>
      </c>
      <c r="B69" t="inlineStr">
        <is>
          <t>#LMICT</t>
        </is>
      </c>
      <c r="C69" s="4" t="n">
        <v>147</v>
      </c>
      <c r="D69" s="4" t="n">
        <v>3640</v>
      </c>
      <c r="E69" s="5">
        <f>IFERROR((C69/C68)-(D69/D68),0)</f>
        <v/>
      </c>
    </row>
    <row r="70">
      <c r="A70" t="inlineStr">
        <is>
          <t>Phoenix-Mesa-Chandler, AZ</t>
        </is>
      </c>
      <c r="B70" t="inlineStr">
        <is>
          <t>Avg SB LMICT Loan Amount</t>
        </is>
      </c>
      <c r="C70" s="4" t="n">
        <v>114.5714285714286</v>
      </c>
      <c r="D70" s="4" t="n">
        <v>183.1379120879121</v>
      </c>
      <c r="E70" s="5">
        <f>IFERROR((C70/D70)-1,0)</f>
        <v/>
      </c>
    </row>
    <row r="71">
      <c r="A71" t="inlineStr">
        <is>
          <t>Phoenix-Mesa-Chandler, AZ</t>
        </is>
      </c>
      <c r="B71" t="inlineStr">
        <is>
          <t>Loans Rev Under $1m</t>
        </is>
      </c>
      <c r="C71" s="4" t="n">
        <v>5355</v>
      </c>
      <c r="D71" s="4" t="n">
        <v>23951</v>
      </c>
      <c r="E71" s="5">
        <f>IFERROR((C71/C68)-(D71/D68),0)</f>
        <v/>
      </c>
    </row>
    <row r="72">
      <c r="A72" t="inlineStr">
        <is>
          <t>Phoenix-Mesa-Chandler, AZ</t>
        </is>
      </c>
      <c r="B72" t="inlineStr">
        <is>
          <t>Avg Loan Amt for RUM SB</t>
        </is>
      </c>
      <c r="C72" s="4" t="n">
        <v>35.63529411764706</v>
      </c>
      <c r="D72" s="4" t="n">
        <v>94.05653208634295</v>
      </c>
      <c r="E72" s="5">
        <f>IFERROR((C72/D72)-1,0)</f>
        <v/>
      </c>
    </row>
    <row r="73">
      <c r="A73" t="inlineStr">
        <is>
          <t>CBSA 23104</t>
        </is>
      </c>
      <c r="B73" t="inlineStr">
        <is>
          <t>SB Loans</t>
        </is>
      </c>
      <c r="C73" s="4" t="n">
        <v>8344</v>
      </c>
      <c r="D73" s="4" t="n">
        <v>86827</v>
      </c>
    </row>
    <row r="74">
      <c r="A74" t="inlineStr">
        <is>
          <t>CBSA 23104</t>
        </is>
      </c>
      <c r="B74" t="inlineStr">
        <is>
          <t>#LMICT</t>
        </is>
      </c>
      <c r="C74" s="4" t="n">
        <v>28</v>
      </c>
      <c r="D74" s="4" t="n">
        <v>2450</v>
      </c>
      <c r="E74" s="5">
        <f>IFERROR((C74/C73)-(D74/D73),0)</f>
        <v/>
      </c>
    </row>
    <row r="75">
      <c r="A75" t="inlineStr">
        <is>
          <t>CBSA 23104</t>
        </is>
      </c>
      <c r="B75" t="inlineStr">
        <is>
          <t>Avg SB LMICT Loan Amount</t>
        </is>
      </c>
      <c r="C75" s="4" t="n">
        <v>100.5</v>
      </c>
      <c r="D75" s="4" t="n">
        <v>158.7542857142857</v>
      </c>
      <c r="E75" s="5">
        <f>IFERROR((C75/D75)-1,0)</f>
        <v/>
      </c>
    </row>
    <row r="76">
      <c r="A76" t="inlineStr">
        <is>
          <t>CBSA 23104</t>
        </is>
      </c>
      <c r="B76" t="inlineStr">
        <is>
          <t>Loans Rev Under $1m</t>
        </is>
      </c>
      <c r="C76" s="4" t="n">
        <v>4389</v>
      </c>
      <c r="D76" s="4" t="n">
        <v>26012</v>
      </c>
      <c r="E76" s="5">
        <f>IFERROR((C76/C73)-(D76/D73),0)</f>
        <v/>
      </c>
    </row>
    <row r="77">
      <c r="A77" t="inlineStr">
        <is>
          <t>CBSA 23104</t>
        </is>
      </c>
      <c r="B77" t="inlineStr">
        <is>
          <t>Avg Loan Amt for RUM SB</t>
        </is>
      </c>
      <c r="C77" s="4" t="n">
        <v>31.68102073365231</v>
      </c>
      <c r="D77" s="4" t="n">
        <v>67.65531293249269</v>
      </c>
      <c r="E77" s="5">
        <f>IFERROR((C77/D77)-1,0)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210721</v>
      </c>
      <c r="D2" s="4" t="n">
        <v>1244703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33691</v>
      </c>
      <c r="D3" s="4" t="n">
        <v>198025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105.1325576563474</v>
      </c>
      <c r="D4" s="4" t="n">
        <v>56.49090771367251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55531</v>
      </c>
      <c r="D5" s="4" t="n">
        <v>619960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101.3598890709694</v>
      </c>
      <c r="D6" s="4" t="n">
        <v>29.1701642041422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131061</v>
      </c>
      <c r="D8" s="4" t="n">
        <v>680456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19124</v>
      </c>
      <c r="D9" s="4" t="n">
        <v>98718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96.90300146412885</v>
      </c>
      <c r="D10" s="4" t="n">
        <v>36.08094775015702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33859</v>
      </c>
      <c r="D11" s="4" t="n">
        <v>365112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87.86334504858384</v>
      </c>
      <c r="D12" s="4" t="n">
        <v>19.10612360042946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14525</v>
      </c>
      <c r="D18" s="4" t="n">
        <v>53181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154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69.36363636363636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3171</v>
      </c>
      <c r="D21" s="4" t="n">
        <v>25368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79.51434878587196</v>
      </c>
      <c r="D22" s="4" t="n">
        <v>37.93046357615894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11151</v>
      </c>
      <c r="D28" s="4" t="n">
        <v>65886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11521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27.18045308566965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3612</v>
      </c>
      <c r="D31" s="4" t="n">
        <v>29603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105.9922480620155</v>
      </c>
      <c r="D32" s="4" t="n">
        <v>17.18187345877107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9982</v>
      </c>
      <c r="D33" s="4" t="n">
        <v>144657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1309</v>
      </c>
      <c r="D34" s="4" t="n">
        <v>19280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167.903743315508</v>
      </c>
      <c r="D35" s="4" t="n">
        <v>170.0614626556017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2940</v>
      </c>
      <c r="D36" s="4" t="n">
        <v>43126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211.6857142857143</v>
      </c>
      <c r="D37" s="4" t="n">
        <v>113.9008486759727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7301</v>
      </c>
      <c r="D43" s="4" t="n">
        <v>57674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105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110.8666666666667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1974</v>
      </c>
      <c r="D46" s="4" t="n">
        <v>32117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88.13475177304964</v>
      </c>
      <c r="D47" s="4" t="n">
        <v>29.80430924432543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508</v>
      </c>
      <c r="D2" s="7" t="n">
        <v>5518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139</v>
      </c>
      <c r="D3" s="7" t="n">
        <v>1470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195</v>
      </c>
      <c r="D4" s="7" t="n">
        <v>2075</v>
      </c>
      <c r="E4" s="5">
        <f>IFERROR(IF(C2=0,0,IF(D2=0,0,(C4/C2)-(D4/D2))),0)</f>
        <v/>
      </c>
    </row>
    <row r="6">
      <c r="A6" t="inlineStr">
        <is>
          <t>Chicago-Naperville-Elgin, IL-IN-WI</t>
        </is>
      </c>
      <c r="B6" t="inlineStr">
        <is>
          <t>Branches</t>
        </is>
      </c>
      <c r="C6" s="7" t="n">
        <v>69</v>
      </c>
      <c r="D6" s="7" t="n">
        <v>1062</v>
      </c>
    </row>
    <row r="7">
      <c r="A7" t="inlineStr">
        <is>
          <t>Chicago-Naperville-Elgin, IL-IN-WI</t>
        </is>
      </c>
      <c r="B7" t="inlineStr">
        <is>
          <t>LMICT</t>
        </is>
      </c>
      <c r="C7" s="7" t="n">
        <v>13</v>
      </c>
      <c r="D7" s="7" t="n">
        <v>284</v>
      </c>
      <c r="E7" s="5">
        <f>IFERROR(IF(C6=0,0,IF(D6=0,0,(C7/C6)-(D7/D6))),0)</f>
        <v/>
      </c>
    </row>
    <row r="8">
      <c r="A8" t="inlineStr">
        <is>
          <t>Chicago-Naperville-Elgin, IL-IN-WI</t>
        </is>
      </c>
      <c r="B8" t="inlineStr">
        <is>
          <t>MMCT</t>
        </is>
      </c>
      <c r="C8" s="7" t="n">
        <v>28</v>
      </c>
      <c r="D8" s="7" t="n">
        <v>430</v>
      </c>
      <c r="E8" s="5">
        <f>IFERROR(IF(C6=0,0,IF(D6=0,0,(C8/C6)-(D8/D6))),0)</f>
        <v/>
      </c>
    </row>
    <row r="9">
      <c r="A9" t="inlineStr">
        <is>
          <t>Dallas-Fort Worth-Arlington, TX</t>
        </is>
      </c>
      <c r="B9" t="inlineStr">
        <is>
          <t>Branches</t>
        </is>
      </c>
      <c r="C9" s="7" t="n">
        <v>66</v>
      </c>
      <c r="D9" s="7" t="n">
        <v>906</v>
      </c>
    </row>
    <row r="10">
      <c r="A10" t="inlineStr">
        <is>
          <t>Dallas-Fort Worth-Arlington, TX</t>
        </is>
      </c>
      <c r="B10" t="inlineStr">
        <is>
          <t>LMICT</t>
        </is>
      </c>
      <c r="C10" s="7" t="n">
        <v>26</v>
      </c>
      <c r="D10" s="7" t="n">
        <v>269</v>
      </c>
      <c r="E10" s="5">
        <f>IFERROR(IF(C9=0,0,IF(D9=0,0,(C10/C9)-(D10/D9))),0)</f>
        <v/>
      </c>
    </row>
    <row r="11">
      <c r="A11" t="inlineStr">
        <is>
          <t>Dallas-Fort Worth-Arlington, TX</t>
        </is>
      </c>
      <c r="B11" t="inlineStr">
        <is>
          <t>MMCT</t>
        </is>
      </c>
      <c r="C11" s="7" t="n">
        <v>37</v>
      </c>
      <c r="D11" s="7" t="n">
        <v>502</v>
      </c>
      <c r="E11" s="5">
        <f>IFERROR(IF(C9=0,0,IF(D9=0,0,(C11/C9)-(D11/D9))),0)</f>
        <v/>
      </c>
    </row>
    <row r="12">
      <c r="A12" t="inlineStr">
        <is>
          <t>Philadelphia-Camden-Wilmington, PA-NJ-DE-MD</t>
        </is>
      </c>
      <c r="B12" t="inlineStr">
        <is>
          <t>Branches</t>
        </is>
      </c>
      <c r="C12" s="7" t="n">
        <v>59</v>
      </c>
      <c r="D12" s="7" t="n">
        <v>346</v>
      </c>
    </row>
    <row r="13">
      <c r="A13" t="inlineStr">
        <is>
          <t>Philadelphia-Camden-Wilmington, PA-NJ-DE-MD</t>
        </is>
      </c>
      <c r="B13" t="inlineStr">
        <is>
          <t>LMICT</t>
        </is>
      </c>
      <c r="C13" s="7" t="n">
        <v>15</v>
      </c>
      <c r="D13" s="7" t="n">
        <v>85</v>
      </c>
      <c r="E13" s="5">
        <f>IFERROR(IF(C12=0,0,IF(D12=0,0,(C13/C12)-(D13/D12))),0)</f>
        <v/>
      </c>
    </row>
    <row r="14">
      <c r="A14" t="inlineStr">
        <is>
          <t>Philadelphia-Camden-Wilmington, PA-NJ-DE-MD</t>
        </is>
      </c>
      <c r="B14" t="inlineStr">
        <is>
          <t>MMCT</t>
        </is>
      </c>
      <c r="C14" s="7" t="n">
        <v>36</v>
      </c>
      <c r="D14" s="7" t="n">
        <v>129</v>
      </c>
      <c r="E14" s="5">
        <f>IFERROR(IF(C12=0,0,IF(D12=0,0,(C14/C12)-(D14/D12))),0)</f>
        <v/>
      </c>
    </row>
    <row r="15">
      <c r="A15" t="inlineStr">
        <is>
          <t>Pittsburgh, PA</t>
        </is>
      </c>
      <c r="B15" t="inlineStr">
        <is>
          <t>Branches</t>
        </is>
      </c>
      <c r="C15" s="7" t="n">
        <v>56</v>
      </c>
      <c r="D15" s="7" t="n">
        <v>309</v>
      </c>
    </row>
    <row r="16">
      <c r="A16" t="inlineStr">
        <is>
          <t>Pittsburgh, PA</t>
        </is>
      </c>
      <c r="B16" t="inlineStr">
        <is>
          <t>LMICT</t>
        </is>
      </c>
      <c r="C16" s="7" t="n">
        <v>8</v>
      </c>
      <c r="D16" s="7" t="n">
        <v>55</v>
      </c>
      <c r="E16" s="5">
        <f>IFERROR(IF(C15=0,0,IF(D15=0,0,(C16/C15)-(D16/D15))),0)</f>
        <v/>
      </c>
    </row>
    <row r="17">
      <c r="A17" t="inlineStr">
        <is>
          <t>Pittsburgh, PA</t>
        </is>
      </c>
      <c r="B17" t="inlineStr">
        <is>
          <t>MMCT</t>
        </is>
      </c>
      <c r="C17" s="7" t="n">
        <v>7</v>
      </c>
      <c r="D17" s="7" t="n">
        <v>27</v>
      </c>
      <c r="E17" s="5">
        <f>IFERROR(IF(C15=0,0,IF(D15=0,0,(C17/C15)-(D17/D15))),0)</f>
        <v/>
      </c>
    </row>
    <row r="18">
      <c r="A18" t="inlineStr">
        <is>
          <t>Houston-The Woodlands-Sugar Land, TX</t>
        </is>
      </c>
      <c r="B18" t="inlineStr">
        <is>
          <t>Branches</t>
        </is>
      </c>
      <c r="C18" s="7" t="n">
        <v>46</v>
      </c>
      <c r="D18" s="7" t="n">
        <v>810</v>
      </c>
    </row>
    <row r="19">
      <c r="A19" t="inlineStr">
        <is>
          <t>Houston-The Woodlands-Sugar Land, TX</t>
        </is>
      </c>
      <c r="B19" t="inlineStr">
        <is>
          <t>LMICT</t>
        </is>
      </c>
      <c r="C19" s="7" t="n">
        <v>13</v>
      </c>
      <c r="D19" s="7" t="n">
        <v>276</v>
      </c>
      <c r="E19" s="5">
        <f>IFERROR(IF(C18=0,0,IF(D18=0,0,(C19/C18)-(D19/D18))),0)</f>
        <v/>
      </c>
    </row>
    <row r="20">
      <c r="A20" t="inlineStr">
        <is>
          <t>Houston-The Woodlands-Sugar Land, TX</t>
        </is>
      </c>
      <c r="B20" t="inlineStr">
        <is>
          <t>MMCT</t>
        </is>
      </c>
      <c r="C20" s="7" t="n">
        <v>27</v>
      </c>
      <c r="D20" s="7" t="n">
        <v>510</v>
      </c>
      <c r="E20" s="5">
        <f>IFERROR(IF(C18=0,0,IF(D18=0,0,(C20/C18)-(D20/D18))),0)</f>
        <v/>
      </c>
    </row>
    <row r="21">
      <c r="A21" t="inlineStr">
        <is>
          <t>Phoenix-Mesa-Chandler, AZ</t>
        </is>
      </c>
      <c r="B21" t="inlineStr">
        <is>
          <t>Branches</t>
        </is>
      </c>
      <c r="C21" s="7" t="n">
        <v>39</v>
      </c>
      <c r="D21" s="7" t="n">
        <v>588</v>
      </c>
    </row>
    <row r="22">
      <c r="A22" t="inlineStr">
        <is>
          <t>Phoenix-Mesa-Chandler, AZ</t>
        </is>
      </c>
      <c r="B22" t="inlineStr">
        <is>
          <t>LMICT</t>
        </is>
      </c>
      <c r="C22" s="7" t="n">
        <v>8</v>
      </c>
      <c r="D22" s="7" t="n">
        <v>123</v>
      </c>
      <c r="E22" s="5">
        <f>IFERROR(IF(C21=0,0,IF(D21=0,0,(C22/C21)-(D22/D21))),0)</f>
        <v/>
      </c>
    </row>
    <row r="23">
      <c r="A23" t="inlineStr">
        <is>
          <t>Phoenix-Mesa-Chandler, AZ</t>
        </is>
      </c>
      <c r="B23" t="inlineStr">
        <is>
          <t>MMCT</t>
        </is>
      </c>
      <c r="C23" s="7" t="n">
        <v>7</v>
      </c>
      <c r="D23" s="7" t="n">
        <v>129</v>
      </c>
      <c r="E23" s="5">
        <f>IFERROR(IF(C21=0,0,IF(D21=0,0,(C23/C21)-(D23/D21))),0)</f>
        <v/>
      </c>
    </row>
    <row r="24">
      <c r="A24" t="inlineStr">
        <is>
          <t>Cleveland-Elyria, OH</t>
        </is>
      </c>
      <c r="B24" t="inlineStr">
        <is>
          <t>Branches</t>
        </is>
      </c>
      <c r="C24" s="7" t="n">
        <v>34</v>
      </c>
      <c r="D24" s="7" t="n">
        <v>300</v>
      </c>
    </row>
    <row r="25">
      <c r="A25" t="inlineStr">
        <is>
          <t>Cleveland-Elyria, OH</t>
        </is>
      </c>
      <c r="B25" t="inlineStr">
        <is>
          <t>LMICT</t>
        </is>
      </c>
      <c r="C25" s="7" t="n">
        <v>10</v>
      </c>
      <c r="D25" s="7" t="n">
        <v>86</v>
      </c>
      <c r="E25" s="5">
        <f>IFERROR(IF(C24=0,0,IF(D24=0,0,(C25/C24)-(D25/D24))),0)</f>
        <v/>
      </c>
    </row>
    <row r="26">
      <c r="A26" t="inlineStr">
        <is>
          <t>Cleveland-Elyria, OH</t>
        </is>
      </c>
      <c r="B26" t="inlineStr">
        <is>
          <t>MMCT</t>
        </is>
      </c>
      <c r="C26" s="7" t="n">
        <v>12</v>
      </c>
      <c r="D26" s="7" t="n">
        <v>77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32</v>
      </c>
      <c r="D27" s="7" t="n">
        <v>350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12</v>
      </c>
      <c r="D28" s="7" t="n">
        <v>82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10</v>
      </c>
      <c r="D29" s="7" t="n">
        <v>83</v>
      </c>
      <c r="E29" s="5">
        <f>IFERROR(IF(C27=0,0,IF(D27=0,0,(C29/C27)-(D29/D27))),0)</f>
        <v/>
      </c>
    </row>
    <row r="30">
      <c r="A30" t="inlineStr">
        <is>
          <t>Louisville/Jefferson County, KY-IN</t>
        </is>
      </c>
      <c r="B30" t="inlineStr">
        <is>
          <t>Branches</t>
        </is>
      </c>
      <c r="C30" s="7" t="n">
        <v>30</v>
      </c>
      <c r="D30" s="7" t="n">
        <v>167</v>
      </c>
    </row>
    <row r="31">
      <c r="A31" t="inlineStr">
        <is>
          <t>Louisville/Jefferson County, KY-IN</t>
        </is>
      </c>
      <c r="B31" t="inlineStr">
        <is>
          <t>LMICT</t>
        </is>
      </c>
      <c r="C31" s="7" t="n">
        <v>7</v>
      </c>
      <c r="D31" s="7" t="n">
        <v>30</v>
      </c>
      <c r="E31" s="5">
        <f>IFERROR(IF(C30=0,0,IF(D30=0,0,(C31/C30)-(D31/D30))),0)</f>
        <v/>
      </c>
    </row>
    <row r="32">
      <c r="A32" t="inlineStr">
        <is>
          <t>Louisville/Jefferson County, KY-IN</t>
        </is>
      </c>
      <c r="B32" t="inlineStr">
        <is>
          <t>MMCT</t>
        </is>
      </c>
      <c r="C32" s="7" t="n">
        <v>5</v>
      </c>
      <c r="D32" s="7" t="n">
        <v>31</v>
      </c>
      <c r="E32" s="5">
        <f>IFERROR(IF(C30=0,0,IF(D30=0,0,(C32/C30)-(D32/D30))),0)</f>
        <v/>
      </c>
    </row>
    <row r="33">
      <c r="A33" t="inlineStr">
        <is>
          <t>Cincinnati, OH-KY-IN</t>
        </is>
      </c>
      <c r="B33" t="inlineStr">
        <is>
          <t>Branches</t>
        </is>
      </c>
      <c r="C33" s="7" t="n">
        <v>26</v>
      </c>
      <c r="D33" s="7" t="n">
        <v>214</v>
      </c>
    </row>
    <row r="34">
      <c r="A34" t="inlineStr">
        <is>
          <t>Cincinnati, OH-KY-IN</t>
        </is>
      </c>
      <c r="B34" t="inlineStr">
        <is>
          <t>LMICT</t>
        </is>
      </c>
      <c r="C34" s="7" t="n">
        <v>8</v>
      </c>
      <c r="D34" s="7" t="n">
        <v>61</v>
      </c>
      <c r="E34" s="5">
        <f>IFERROR(IF(C33=0,0,IF(D33=0,0,(C34/C33)-(D34/D33))),0)</f>
        <v/>
      </c>
    </row>
    <row r="35">
      <c r="A35" t="inlineStr">
        <is>
          <t>Cincinnati, OH-KY-IN</t>
        </is>
      </c>
      <c r="B35" t="inlineStr">
        <is>
          <t>MMCT</t>
        </is>
      </c>
      <c r="C35" s="7" t="n">
        <v>7</v>
      </c>
      <c r="D35" s="7" t="n">
        <v>41</v>
      </c>
      <c r="E35" s="5">
        <f>IFERROR(IF(C33=0,0,IF(D33=0,0,(C35/C33)-(D35/D33))),0)</f>
        <v/>
      </c>
    </row>
    <row r="36">
      <c r="A36" t="inlineStr">
        <is>
          <t>Columbus, OH</t>
        </is>
      </c>
      <c r="B36" t="inlineStr">
        <is>
          <t>Branches</t>
        </is>
      </c>
      <c r="C36" s="7" t="n">
        <v>26</v>
      </c>
      <c r="D36" s="7" t="n">
        <v>256</v>
      </c>
    </row>
    <row r="37">
      <c r="A37" t="inlineStr">
        <is>
          <t>Columbus, OH</t>
        </is>
      </c>
      <c r="B37" t="inlineStr">
        <is>
          <t>LMICT</t>
        </is>
      </c>
      <c r="C37" s="7" t="n">
        <v>9</v>
      </c>
      <c r="D37" s="7" t="n">
        <v>67</v>
      </c>
      <c r="E37" s="5">
        <f>IFERROR(IF(C36=0,0,IF(D36=0,0,(C37/C36)-(D37/D36))),0)</f>
        <v/>
      </c>
    </row>
    <row r="38">
      <c r="A38" t="inlineStr">
        <is>
          <t>Columbus, OH</t>
        </is>
      </c>
      <c r="B38" t="inlineStr">
        <is>
          <t>MMCT</t>
        </is>
      </c>
      <c r="C38" s="7" t="n">
        <v>7</v>
      </c>
      <c r="D38" s="7" t="n">
        <v>49</v>
      </c>
      <c r="E38" s="5">
        <f>IFERROR(IF(C36=0,0,IF(D36=0,0,(C38/C36)-(D38/D36))),0)</f>
        <v/>
      </c>
    </row>
    <row r="39">
      <c r="A39" t="inlineStr">
        <is>
          <t>Detroit-Warren-Dearborn, MI</t>
        </is>
      </c>
      <c r="B39" t="inlineStr">
        <is>
          <t>Branches</t>
        </is>
      </c>
      <c r="C39" s="7" t="n">
        <v>25</v>
      </c>
      <c r="D39" s="7" t="n">
        <v>210</v>
      </c>
    </row>
    <row r="40">
      <c r="A40" t="inlineStr">
        <is>
          <t>Detroit-Warren-Dearborn, MI</t>
        </is>
      </c>
      <c r="B40" t="inlineStr">
        <is>
          <t>LMICT</t>
        </is>
      </c>
      <c r="C40" s="7" t="n">
        <v>10</v>
      </c>
      <c r="D40" s="7" t="n">
        <v>52</v>
      </c>
      <c r="E40" s="5">
        <f>IFERROR(IF(C39=0,0,IF(D39=0,0,(C40/C39)-(D40/D39))),0)</f>
        <v/>
      </c>
    </row>
    <row r="41">
      <c r="A41" t="inlineStr">
        <is>
          <t>Detroit-Warren-Dearborn, MI</t>
        </is>
      </c>
      <c r="B41" t="inlineStr">
        <is>
          <t>MMCT</t>
        </is>
      </c>
      <c r="C41" s="7" t="n">
        <v>12</v>
      </c>
      <c r="D41" s="7" t="n">
        <v>67</v>
      </c>
      <c r="E41" s="5">
        <f>IFERROR(IF(C39=0,0,IF(D39=0,0,(C41/C39)-(D41/D39))),0)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95</v>
      </c>
      <c r="D2" s="7" t="n">
        <v>1559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364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260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530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133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614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128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134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120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46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Glenwood Springs, CO</t>
        </is>
      </c>
      <c r="B27" t="inlineStr">
        <is>
          <t>Branches</t>
        </is>
      </c>
      <c r="C27" s="7" t="n">
        <v>3</v>
      </c>
      <c r="D27" s="7" t="n">
        <v>29</v>
      </c>
    </row>
    <row r="28">
      <c r="A28" t="inlineStr">
        <is>
          <t>Glenwood Springs,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Glenwood Springs,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  <row r="30">
      <c r="A30" t="inlineStr">
        <is>
          <t>Breckenridge, CO</t>
        </is>
      </c>
      <c r="B30" t="inlineStr">
        <is>
          <t>Branches</t>
        </is>
      </c>
      <c r="C30" s="7" t="n">
        <v>2</v>
      </c>
      <c r="D30" s="7" t="n">
        <v>9</v>
      </c>
    </row>
    <row r="31">
      <c r="A31" t="inlineStr">
        <is>
          <t>Breckenridge, CO</t>
        </is>
      </c>
      <c r="B31" t="inlineStr">
        <is>
          <t>LMICT</t>
        </is>
      </c>
      <c r="C31" s="7" t="n">
        <v>0</v>
      </c>
      <c r="D31" s="7" t="n">
        <v>0</v>
      </c>
      <c r="E31" s="5">
        <f>IFERROR(IF(C30=0,0,IF(D30=0,0,(C31/C30)-(D31/D30))),0)</f>
        <v/>
      </c>
    </row>
    <row r="32">
      <c r="A32" t="inlineStr">
        <is>
          <t>Breckenridge, CO</t>
        </is>
      </c>
      <c r="B32" t="inlineStr">
        <is>
          <t>MMCT</t>
        </is>
      </c>
      <c r="C32" s="7" t="n">
        <v>0</v>
      </c>
      <c r="D32" s="7" t="n">
        <v>0</v>
      </c>
      <c r="E32" s="5">
        <f>IFERROR(IF(C30=0,0,IF(D30=0,0,(C32/C30)-(D32/D30))),0)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2025-11-20 11:18:24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2025-11-20T16:16:38Z</dcterms:created>
  <dcterms:modified xmlns:dcterms="http://purl.org/dc/terms/" xmlns:xsi="http://www.w3.org/2001/XMLSchema-instance" xsi:type="dcterms:W3CDTF">2025-11-20T16:18:24Z</dcterms:modified>
</cp:coreProperties>
</file>