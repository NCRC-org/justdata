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24" firstSheet="5" activeTab="5" autoFilterDateGrouping="1"/>
  </bookViews>
  <sheets>
    <sheet name="Notes" sheetId="1" state="visible" r:id="rId1"/>
    <sheet name="Assessment Areas" sheetId="2" state="visible" r:id="rId2"/>
    <sheet name="PNC BANKMortgage Data1" sheetId="3" state="visible" r:id="rId3"/>
    <sheet name="FIRSTBANK Mortgage Data (%) 1" sheetId="4" state="visible" r:id="rId4"/>
    <sheet name="Mortgage Goals" sheetId="5" state="visible" r:id="rId5"/>
    <sheet name="PNC BANK SB Lending1" sheetId="6" state="visible" r:id="rId6"/>
    <sheet name="Atlantic Union SB Goals" sheetId="7" state="hidden" r:id="rId7"/>
    <sheet name="FIRSTBANK SB Lending1" sheetId="8" state="visible" r:id="rId8"/>
    <sheet name="PNC BANK Branches1" sheetId="9" state="visible" r:id="rId9"/>
    <sheet name="Sandy Spring SB Goals" sheetId="10" state="hidden" r:id="rId10"/>
    <sheet name="FIRSTBANK Branches1" sheetId="11" state="visible" r:id="rId11"/>
    <sheet name="HHI Analysis" sheetId="12" state="visible" r:id="rId12"/>
  </sheets>
  <definedNames>
    <definedName name="_xlnm._FilterDatabase" localSheetId="2" hidden="1">'PNC BANKMortgage Data1'!$B$1:$F$848</definedName>
    <definedName name="_xlnm._FilterDatabase" localSheetId="3" hidden="1">'FIRSTBANK Mortgage Data (%) 1'!$B$1:$F$628</definedName>
    <definedName name="_xlnm._FilterDatabase" localSheetId="5" hidden="1">'PNC BANK SB Lending1'!$B$1:$F$386</definedName>
    <definedName name="_xlnm._FilterDatabase" localSheetId="7" hidden="1">'FIRSTBANK SB Lending1'!$B$1:$F$286</definedName>
    <definedName name="_xlnm._FilterDatabase" localSheetId="8" hidden="1">'PNC BANK Branches1'!$B$1:$F$70</definedName>
    <definedName name="_xlnm._FilterDatabase" localSheetId="10" hidden="1">'FIRSTBANK Branches1'!$B$1:$F$7</definedName>
  </definedNames>
  <calcPr calcId="191028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#,##0;\-#,##0"/>
    <numFmt numFmtId="166" formatCode="_(* #,##0_);_(* \(#,##0\);_(* &quot;-&quot;??_);_(@_)"/>
    <numFmt numFmtId="167" formatCode="_(&quot;$&quot;* #,##0_);_(&quot;$&quot;* \(#,##0\);_(&quot;$&quot;* &quot;-&quot;??_);_(@_)"/>
    <numFmt numFmtId="168" formatCode="_([$$-409]* #,##0_);_([$$-409]* \(#,##0\);_([$$-409]* &quot;-&quot;??_);_(@_)"/>
    <numFmt numFmtId="169" formatCode="&quot;$&quot;#,##0;\(&quot;$&quot;#,##0\)"/>
    <numFmt numFmtId="170" formatCode="&quot;$&quot;#,##0_);[Red]\(&quot;$&quot;#,##0\)"/>
    <numFmt numFmtId="171" formatCode="&quot;$&quot;#,##0"/>
    <numFmt numFmtId="172" formatCode="$#,##0"/>
  </numFmts>
  <fonts count="12"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ptos Narrow"/>
      <family val="2"/>
      <color rgb="FF000000"/>
      <sz val="11"/>
    </font>
    <font>
      <name val="Aptos Narrow"/>
      <family val="2"/>
      <b val="1"/>
      <color rgb="FF000000"/>
      <sz val="13.5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color rgb="FF000000"/>
      <sz val="11"/>
    </font>
    <font>
      <name val="Aptos Narrow"/>
      <b val="1"/>
      <color rgb="FF000000"/>
      <sz val="11"/>
    </font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8" fillId="0" borderId="0"/>
    <xf numFmtId="44" fontId="8" fillId="0" borderId="0"/>
  </cellStyleXfs>
  <cellXfs count="68">
    <xf numFmtId="0" fontId="0" fillId="0" borderId="0" pivotButton="0" quotePrefix="0" xfId="0"/>
    <xf numFmtId="3" fontId="1" fillId="0" borderId="0" applyAlignment="1" pivotButton="0" quotePrefix="0" xfId="0">
      <alignment vertical="center"/>
    </xf>
    <xf numFmtId="1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/>
    </xf>
    <xf numFmtId="0" fontId="1" fillId="0" borderId="0" applyAlignment="1" pivotButton="0" quotePrefix="1" xfId="0">
      <alignment horizontal="center"/>
    </xf>
    <xf numFmtId="0" fontId="1" fillId="0" borderId="0" applyAlignment="1" pivotButton="0" quotePrefix="1" xfId="0">
      <alignment horizontal="left" vertical="top"/>
    </xf>
    <xf numFmtId="164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" fontId="0" fillId="0" borderId="0" pivotButton="0" quotePrefix="0" xfId="0"/>
    <xf numFmtId="165" fontId="1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2" borderId="0" pivotButton="0" quotePrefix="0" xfId="0"/>
    <xf numFmtId="166" fontId="0" fillId="0" borderId="0" pivotButton="0" quotePrefix="0" xfId="0"/>
    <xf numFmtId="167" fontId="0" fillId="0" borderId="0" pivotButton="0" quotePrefix="0" xfId="1"/>
    <xf numFmtId="167" fontId="0" fillId="0" borderId="0" pivotButton="0" quotePrefix="0" xfId="0"/>
    <xf numFmtId="168" fontId="0" fillId="0" borderId="0" pivotButton="0" quotePrefix="0" xfId="0"/>
    <xf numFmtId="169" fontId="1" fillId="0" borderId="0" applyAlignment="1" pivotButton="0" quotePrefix="0" xfId="0">
      <alignment vertical="center"/>
    </xf>
    <xf numFmtId="0" fontId="1" fillId="0" borderId="0" pivotButton="0" quotePrefix="0" xfId="0"/>
    <xf numFmtId="9" fontId="0" fillId="0" borderId="0" pivotButton="0" quotePrefix="0" xfId="0"/>
    <xf numFmtId="3" fontId="1" fillId="0" borderId="0" pivotButton="0" quotePrefix="0" xfId="0"/>
    <xf numFmtId="170" fontId="1" fillId="0" borderId="0" pivotButton="0" quotePrefix="0" xfId="0"/>
    <xf numFmtId="0" fontId="1" fillId="0" borderId="0" applyAlignment="1" pivotButton="0" quotePrefix="0" xfId="0">
      <alignment wrapText="1"/>
    </xf>
    <xf numFmtId="3" fontId="1" fillId="0" borderId="0" applyAlignment="1" pivotButton="0" quotePrefix="0" xfId="0">
      <alignment wrapText="1"/>
    </xf>
    <xf numFmtId="10" fontId="1" fillId="0" borderId="0" pivotButton="0" quotePrefix="0" xfId="0"/>
    <xf numFmtId="10" fontId="1" fillId="0" borderId="0" applyAlignment="1" pivotButton="0" quotePrefix="0" xfId="0">
      <alignment wrapText="1"/>
    </xf>
    <xf numFmtId="10" fontId="0" fillId="0" borderId="0" pivotButton="0" quotePrefix="0" xfId="0"/>
    <xf numFmtId="170" fontId="1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171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pivotButton="0" quotePrefix="1" xfId="0"/>
    <xf numFmtId="0" fontId="2" fillId="0" borderId="0" pivotButton="0" quotePrefix="0" xfId="0"/>
    <xf numFmtId="0" fontId="1" fillId="0" borderId="0" applyAlignment="1" pivotButton="0" quotePrefix="1" xfId="0">
      <alignment wrapText="1"/>
    </xf>
    <xf numFmtId="0" fontId="2" fillId="0" borderId="0" applyAlignment="1" pivotButton="0" quotePrefix="0" xfId="0">
      <alignment wrapText="1"/>
    </xf>
    <xf numFmtId="0" fontId="9" fillId="0" borderId="0" pivotButton="0" quotePrefix="0" xfId="0"/>
    <xf numFmtId="164" fontId="9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 vertical="top"/>
    </xf>
    <xf numFmtId="0" fontId="1" fillId="0" borderId="0" applyAlignment="1" pivotButton="0" quotePrefix="1" xfId="0">
      <alignment horizontal="center"/>
    </xf>
    <xf numFmtId="0" fontId="1" fillId="0" borderId="0" pivotButton="0" quotePrefix="0" xfId="0"/>
    <xf numFmtId="0" fontId="0" fillId="0" borderId="0" pivotButton="0" quotePrefix="0" xfId="0"/>
    <xf numFmtId="172" fontId="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70" fontId="1" fillId="0" borderId="0" pivotButton="0" quotePrefix="0" xfId="0"/>
    <xf numFmtId="170" fontId="1" fillId="0" borderId="0" applyAlignment="1" pivotButton="0" quotePrefix="0" xfId="0">
      <alignment wrapText="1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7" fontId="0" fillId="0" borderId="0" pivotButton="0" quotePrefix="0" xfId="1"/>
    <xf numFmtId="169" fontId="1" fillId="0" borderId="0" applyAlignment="1" pivotButton="0" quotePrefix="0" xfId="0">
      <alignment vertical="center"/>
    </xf>
    <xf numFmtId="1" fontId="1" fillId="0" borderId="0" pivotButton="0" quotePrefix="0" xfId="0"/>
    <xf numFmtId="1" fontId="2" fillId="0" borderId="0" pivotButton="0" quotePrefix="0" xfId="0"/>
    <xf numFmtId="10" fontId="2" fillId="0" borderId="0" pivotButton="0" quotePrefix="0" xfId="0"/>
    <xf numFmtId="1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/>
    </xf>
    <xf numFmtId="0" fontId="1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72" fontId="0" fillId="0" borderId="1" pivotButton="0" quotePrefix="0" xfId="0"/>
  </cellXfs>
  <cellStyles count="2">
    <cellStyle name="Normal" xfId="0" builtinId="0"/>
    <cellStyle name="Currency" xfId="1" builtinId="4"/>
  </cellStyles>
  <dxfs count="1">
    <dxf>
      <fill>
        <patternFill patternType="solid">
          <fgColor rgb="FFE97132"/>
          <bgColor rgb="FFFFFF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E12" sqref="E12:F14"/>
    </sheetView>
  </sheetViews>
  <sheetFormatPr baseColWidth="8" defaultRowHeight="25.5" customHeight="1"/>
  <cols>
    <col width="28.42578125" customWidth="1" style="47" min="1" max="3"/>
    <col width="15.140625" bestFit="1" customWidth="1" style="47" min="5" max="5"/>
    <col width="22.85546875" bestFit="1" customWidth="1" style="47" min="6" max="6"/>
    <col width="13.5703125" bestFit="1" customWidth="1" style="47" min="7" max="7"/>
    <col width="14.5703125" bestFit="1" customWidth="1" style="47" min="8" max="8"/>
    <col width="12.85546875" bestFit="1" customWidth="1" style="47" min="9" max="9"/>
    <col width="17.85546875" bestFit="1" customWidth="1" style="47" min="10" max="10"/>
  </cols>
  <sheetData>
    <row r="1" ht="25.5" customHeight="1" s="47">
      <c r="A1" s="10" t="inlineStr">
        <is>
          <t>Data Sources and Timeframes:</t>
        </is>
      </c>
      <c r="B1" s="12" t="n"/>
      <c r="C1" s="12" t="n"/>
    </row>
    <row r="2" ht="25.5" customHeight="1" s="47">
      <c r="A2" s="11" t="n">
        <v>1</v>
      </c>
      <c r="B2" s="13" t="inlineStr">
        <is>
          <t>Mortgage Data:</t>
        </is>
      </c>
      <c r="C2" s="12" t="n"/>
      <c r="E2" s="46" t="inlineStr">
        <is>
          <t>Respondent Name</t>
        </is>
      </c>
      <c r="F2" s="46" t="inlineStr">
        <is>
          <t>Lei (Lenders18)</t>
        </is>
      </c>
      <c r="G2" s="46" t="inlineStr">
        <is>
          <t>Respondent City</t>
        </is>
      </c>
      <c r="H2" s="46" t="inlineStr">
        <is>
          <t>Respondent State</t>
        </is>
      </c>
      <c r="I2" s="46" t="inlineStr">
        <is>
          <t>Type Name</t>
        </is>
      </c>
      <c r="J2" s="46" t="inlineStr">
        <is>
          <t>Parent Name</t>
        </is>
      </c>
    </row>
    <row r="3" ht="25.5" customHeight="1" s="47">
      <c r="A3" s="11" t="n"/>
      <c r="B3" s="12" t="n"/>
      <c r="C3" s="12" t="inlineStr">
        <is>
          <t>Sourced from HMDA (Home Mortgage Disclosure Act) data.</t>
        </is>
      </c>
      <c r="E3" s="46" t="inlineStr">
        <is>
          <t>Firstbank</t>
        </is>
      </c>
      <c r="F3" s="46" t="inlineStr">
        <is>
          <t>5493009V3WNJX9V2GZ85</t>
        </is>
      </c>
      <c r="G3" s="46" t="inlineStr">
        <is>
          <t>Lakewood</t>
        </is>
      </c>
      <c r="H3" s="46" t="inlineStr">
        <is>
          <t>CO</t>
        </is>
      </c>
      <c r="I3" s="46" t="inlineStr">
        <is>
          <t>Bank or Affiliate</t>
        </is>
      </c>
      <c r="J3" s="46" t="n"/>
    </row>
    <row r="4" ht="25.5" customHeight="1" s="47">
      <c r="A4" s="11" t="n"/>
      <c r="B4" s="12" t="n"/>
      <c r="C4" s="14" t="inlineStr">
        <is>
          <t>Covers 2020 through 2024.</t>
        </is>
      </c>
      <c r="E4" s="46" t="inlineStr">
        <is>
          <t>Pnc Bank</t>
        </is>
      </c>
      <c r="F4" s="46" t="inlineStr">
        <is>
          <t>AD6GFRVSDT01YPT1CS68</t>
        </is>
      </c>
      <c r="G4" s="46" t="inlineStr">
        <is>
          <t>Wilmington</t>
        </is>
      </c>
      <c r="H4" s="46" t="inlineStr">
        <is>
          <t>DE</t>
        </is>
      </c>
      <c r="I4" s="46" t="inlineStr">
        <is>
          <t>Bank or Affiliate</t>
        </is>
      </c>
      <c r="J4" s="46" t="inlineStr">
        <is>
          <t>PNC BANCORP, INC.</t>
        </is>
      </c>
    </row>
    <row r="5" ht="25.5" customHeight="1" s="47">
      <c r="A5" s="11" t="n"/>
      <c r="B5" s="12" t="n"/>
      <c r="C5" s="12" t="inlineStr">
        <is>
          <t>Focuses on originations for owner occupied, 1-4 unit, site-built properties</t>
        </is>
      </c>
    </row>
    <row r="6" ht="25.5" customHeight="1" s="47">
      <c r="A6" s="11" t="n"/>
      <c r="B6" s="12" t="n"/>
      <c r="C6" s="12" t="inlineStr">
        <is>
          <t>Includes home purchase loans only.</t>
        </is>
      </c>
    </row>
    <row r="7" ht="25.5" customHeight="1" s="47">
      <c r="A7" s="11" t="n">
        <v>2</v>
      </c>
      <c r="B7" s="13" t="inlineStr">
        <is>
          <t>Small Business Data:</t>
        </is>
      </c>
      <c r="C7" s="12" t="n"/>
      <c r="E7" s="46" t="inlineStr">
        <is>
          <t>Sb Lender</t>
        </is>
      </c>
      <c r="F7" s="46" t="inlineStr">
        <is>
          <t>Sb Lender City</t>
        </is>
      </c>
      <c r="G7" s="46" t="inlineStr">
        <is>
          <t>Sb Lender State</t>
        </is>
      </c>
      <c r="H7" s="46" t="inlineStr">
        <is>
          <t>Sb Resid</t>
        </is>
      </c>
      <c r="I7" s="46" t="inlineStr">
        <is>
          <t>Sb Rssd</t>
        </is>
      </c>
    </row>
    <row r="8" ht="25.5" customHeight="1" s="47">
      <c r="A8" s="11" t="n"/>
      <c r="B8" s="12" t="n"/>
      <c r="C8" s="12" t="inlineStr">
        <is>
          <t>Covers 2019 through 2023</t>
        </is>
      </c>
      <c r="E8" s="46" t="inlineStr">
        <is>
          <t>FIRSTBANK</t>
        </is>
      </c>
      <c r="F8" s="46" t="inlineStr">
        <is>
          <t>LAKEWOOD</t>
        </is>
      </c>
      <c r="G8" s="46" t="inlineStr">
        <is>
          <t>CO</t>
        </is>
      </c>
      <c r="H8" s="46" t="n">
        <v>288853</v>
      </c>
      <c r="I8" s="46" t="n">
        <v>288853</v>
      </c>
    </row>
    <row r="9" ht="25.5" customHeight="1" s="47">
      <c r="A9" s="11" t="n"/>
      <c r="B9" s="12" t="n"/>
      <c r="C9" s="12" t="inlineStr">
        <is>
          <t>Includes small business loan originations.</t>
        </is>
      </c>
      <c r="E9" s="46" t="inlineStr">
        <is>
          <t>PNC BANK</t>
        </is>
      </c>
      <c r="F9" s="46" t="inlineStr">
        <is>
          <t>PITTSBURGH</t>
        </is>
      </c>
      <c r="G9" s="46" t="inlineStr">
        <is>
          <t>PA</t>
        </is>
      </c>
      <c r="H9" s="46" t="n">
        <v>1316</v>
      </c>
      <c r="I9" s="46" t="n">
        <v>817824</v>
      </c>
    </row>
    <row r="10" ht="25.5" customHeight="1" s="47">
      <c r="A10" s="11" t="n"/>
      <c r="B10" s="12" t="n"/>
      <c r="C10" s="12" t="inlineStr">
        <is>
          <t>Includes: business credit cards, lines of credit and PPP</t>
        </is>
      </c>
    </row>
    <row r="11" ht="25.5" customHeight="1" s="47">
      <c r="A11" s="11" t="n"/>
      <c r="B11" s="12" t="n"/>
      <c r="C11" s="12" t="inlineStr">
        <is>
          <t>Does NOT include: commercial mortgages</t>
        </is>
      </c>
    </row>
    <row r="12" ht="25.5" customHeight="1" s="47">
      <c r="A12" s="11" t="n"/>
      <c r="B12" s="12" t="n"/>
      <c r="C12" s="12" t="n"/>
      <c r="E12" s="46" t="inlineStr">
        <is>
          <t>Bank Name</t>
        </is>
      </c>
      <c r="F12" s="46" t="inlineStr">
        <is>
          <t>Rssd</t>
        </is>
      </c>
    </row>
    <row r="13" ht="25.5" customHeight="1" s="47">
      <c r="A13" s="11" t="n">
        <v>3</v>
      </c>
      <c r="B13" s="13" t="inlineStr">
        <is>
          <t>Bank Branch Data:</t>
        </is>
      </c>
      <c r="C13" s="12" t="n"/>
      <c r="E13" s="46" t="inlineStr">
        <is>
          <t>FIRSTBANK</t>
        </is>
      </c>
      <c r="F13" s="46" t="n">
        <v>288853</v>
      </c>
    </row>
    <row r="14" ht="25.5" customHeight="1" s="47">
      <c r="A14" s="11" t="n"/>
      <c r="B14" s="12" t="n"/>
      <c r="C14" s="12" t="inlineStr">
        <is>
          <t>Based on branch data as of June 30, 2024.</t>
        </is>
      </c>
      <c r="E14" s="46" t="inlineStr">
        <is>
          <t>PNC BANK</t>
        </is>
      </c>
      <c r="F14" s="46" t="n">
        <v>817824</v>
      </c>
    </row>
    <row r="15" ht="25.5" customHeight="1" s="47">
      <c r="A15" s="10" t="inlineStr">
        <is>
          <t>Terminology:</t>
        </is>
      </c>
      <c r="B15" s="12" t="n"/>
      <c r="C15" s="12" t="n"/>
    </row>
    <row r="16" ht="25.5" customHeight="1" s="47">
      <c r="A16" s="11" t="inlineStr">
        <is>
          <t>For each tab:</t>
        </is>
      </c>
      <c r="B16" s="12" t="n"/>
      <c r="C16" s="12" t="n"/>
    </row>
    <row r="17" ht="25.5" customHeight="1" s="47">
      <c r="A17" s="11" t="n"/>
      <c r="B17" s="13" t="inlineStr">
        <is>
          <t>"In" refers to the subject lender being analyzed.</t>
        </is>
      </c>
      <c r="C17" s="12" t="n"/>
    </row>
    <row r="18" ht="25.5" customHeight="1" s="47">
      <c r="A18" s="11" t="n"/>
      <c r="B18" s="13" t="inlineStr">
        <is>
          <t>"Out" refers to other bank lenders for comparison.</t>
        </is>
      </c>
      <c r="C18" s="1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6"/>
  <sheetViews>
    <sheetView topLeftCell="A418" workbookViewId="0">
      <selection activeCell="B421" sqref="B421:B427"/>
    </sheetView>
  </sheetViews>
  <sheetFormatPr baseColWidth="8" defaultRowHeight="15"/>
  <cols>
    <col width="36.5703125" bestFit="1" customWidth="1" style="47" min="1" max="2"/>
    <col width="31.5703125" bestFit="1" customWidth="1" style="47" min="3" max="3"/>
    <col width="30.42578125" bestFit="1" customWidth="1" style="47" min="4" max="4"/>
    <col width="32.140625" bestFit="1" customWidth="1" style="47" min="5" max="5"/>
    <col width="30" bestFit="1" customWidth="1" style="47" min="6" max="6"/>
    <col width="26.85546875" bestFit="1" customWidth="1" style="47" min="7" max="7"/>
  </cols>
  <sheetData>
    <row r="1">
      <c r="A1" s="46" t="inlineStr">
        <is>
          <t>State</t>
        </is>
      </c>
      <c r="B1" s="38" t="inlineStr">
        <is>
          <t>@PNC AA</t>
        </is>
      </c>
      <c r="C1" s="46" t="inlineStr">
        <is>
          <t>County State</t>
        </is>
      </c>
      <c r="D1" s="37" t="n"/>
      <c r="E1" s="46" t="inlineStr">
        <is>
          <t>State</t>
        </is>
      </c>
      <c r="F1" s="36" t="inlineStr">
        <is>
          <t>@FirstBank AA</t>
        </is>
      </c>
      <c r="G1" s="46" t="inlineStr">
        <is>
          <t>County State</t>
        </is>
      </c>
      <c r="H1" s="37" t="n"/>
    </row>
    <row r="2">
      <c r="A2" t="inlineStr">
        <is>
          <t>Alabama</t>
        </is>
      </c>
      <c r="B2" t="inlineStr">
        <is>
          <t>@PNC Bank AA</t>
        </is>
      </c>
      <c r="C2" t="inlineStr">
        <is>
          <t>Dallas County, Alabama</t>
        </is>
      </c>
      <c r="E2" t="inlineStr">
        <is>
          <t>Arizona</t>
        </is>
      </c>
      <c r="F2" t="inlineStr">
        <is>
          <t>@FirstBank AA</t>
        </is>
      </c>
      <c r="G2" t="inlineStr">
        <is>
          <t>Maricopa County, Arizona</t>
        </is>
      </c>
    </row>
    <row r="3">
      <c r="C3" t="inlineStr">
        <is>
          <t>Macon County, Alabama</t>
        </is>
      </c>
      <c r="G3" t="inlineStr">
        <is>
          <t>Pinal County, Arizona</t>
        </is>
      </c>
    </row>
    <row r="4">
      <c r="C4" t="inlineStr">
        <is>
          <t>Talladega County, Alabama</t>
        </is>
      </c>
      <c r="E4" t="inlineStr">
        <is>
          <t>California</t>
        </is>
      </c>
      <c r="F4" t="inlineStr">
        <is>
          <t>@FirstBank AA</t>
        </is>
      </c>
      <c r="G4" t="inlineStr">
        <is>
          <t>Riverside County, California</t>
        </is>
      </c>
    </row>
    <row r="5">
      <c r="C5" t="inlineStr">
        <is>
          <t>Tallapoosa County, Alabama</t>
        </is>
      </c>
      <c r="G5" t="inlineStr">
        <is>
          <t>San Bernardino County, California</t>
        </is>
      </c>
    </row>
    <row r="6">
      <c r="B6" t="inlineStr">
        <is>
          <t>@PNC Bank AA</t>
        </is>
      </c>
      <c r="C6" t="inlineStr">
        <is>
          <t>Lee County, Alabama</t>
        </is>
      </c>
      <c r="E6" t="inlineStr">
        <is>
          <t>Colorado</t>
        </is>
      </c>
      <c r="F6" t="inlineStr">
        <is>
          <t>@FirstBank AA</t>
        </is>
      </c>
      <c r="G6" t="inlineStr">
        <is>
          <t>Eagle County, Colorado</t>
        </is>
      </c>
    </row>
    <row r="7">
      <c r="B7" t="inlineStr">
        <is>
          <t>@PNC Bank AA</t>
        </is>
      </c>
      <c r="C7" t="inlineStr">
        <is>
          <t>Jefferson County, Alabama</t>
        </is>
      </c>
      <c r="G7" t="inlineStr">
        <is>
          <t>Garfield County, Colorado</t>
        </is>
      </c>
    </row>
    <row r="8">
      <c r="C8" t="inlineStr">
        <is>
          <t>Shelby County, Alabama</t>
        </is>
      </c>
      <c r="G8" t="inlineStr">
        <is>
          <t>Grand County, Colorado</t>
        </is>
      </c>
    </row>
    <row r="9">
      <c r="C9" t="inlineStr">
        <is>
          <t>St. Clair County, Alabama</t>
        </is>
      </c>
      <c r="G9" t="inlineStr">
        <is>
          <t>Jackson County, Colorado</t>
        </is>
      </c>
    </row>
    <row r="10">
      <c r="B10" t="inlineStr">
        <is>
          <t>@PNC Bank AA</t>
        </is>
      </c>
      <c r="C10" t="inlineStr">
        <is>
          <t>Baldwin County, Alabama</t>
        </is>
      </c>
      <c r="G10" t="inlineStr">
        <is>
          <t>Lake County, Colorado</t>
        </is>
      </c>
    </row>
    <row r="11">
      <c r="B11" t="inlineStr">
        <is>
          <t>@PNC Bank AA</t>
        </is>
      </c>
      <c r="C11" t="inlineStr">
        <is>
          <t>Morgan County, Alabama</t>
        </is>
      </c>
      <c r="G11" t="inlineStr">
        <is>
          <t>Pitkin County, Colorado</t>
        </is>
      </c>
    </row>
    <row r="12">
      <c r="B12" t="inlineStr">
        <is>
          <t>@PNC Bank AA</t>
        </is>
      </c>
      <c r="C12" t="inlineStr">
        <is>
          <t>Limestone County, Alabama</t>
        </is>
      </c>
      <c r="G12" t="inlineStr">
        <is>
          <t>Routt County, Colorado</t>
        </is>
      </c>
    </row>
    <row r="13">
      <c r="C13" t="inlineStr">
        <is>
          <t>Madison County, Alabama</t>
        </is>
      </c>
      <c r="G13" t="inlineStr">
        <is>
          <t>Summit County, Colorado</t>
        </is>
      </c>
    </row>
    <row r="14">
      <c r="B14" t="inlineStr">
        <is>
          <t>@PNC Bank AA</t>
        </is>
      </c>
      <c r="C14" t="inlineStr">
        <is>
          <t>Mobile County, Alabama</t>
        </is>
      </c>
      <c r="F14" t="inlineStr">
        <is>
          <t>@FirstBank AA</t>
        </is>
      </c>
      <c r="G14" t="inlineStr">
        <is>
          <t>El Paso County, Colorado</t>
        </is>
      </c>
    </row>
    <row r="15">
      <c r="B15" t="inlineStr">
        <is>
          <t>@PNC Bank AA</t>
        </is>
      </c>
      <c r="C15" t="inlineStr">
        <is>
          <t>Autauga County, Alabama</t>
        </is>
      </c>
      <c r="G15" t="inlineStr">
        <is>
          <t>Teller County, Colorado</t>
        </is>
      </c>
    </row>
    <row r="16">
      <c r="C16" t="inlineStr">
        <is>
          <t>Elmore County, Alabama</t>
        </is>
      </c>
      <c r="F16" t="inlineStr">
        <is>
          <t>@FirstBank AA</t>
        </is>
      </c>
      <c r="G16" t="inlineStr">
        <is>
          <t>Adams County, Colorado</t>
        </is>
      </c>
    </row>
    <row r="17">
      <c r="C17" t="inlineStr">
        <is>
          <t>Montgomery County, Alabama</t>
        </is>
      </c>
      <c r="G17" t="inlineStr">
        <is>
          <t>Arapahoe County, Colorado</t>
        </is>
      </c>
    </row>
    <row r="18">
      <c r="B18" t="inlineStr">
        <is>
          <t>@PNC Bank AA</t>
        </is>
      </c>
      <c r="C18" t="inlineStr">
        <is>
          <t>Tuscaloosa County, Alabama</t>
        </is>
      </c>
      <c r="G18" t="inlineStr">
        <is>
          <t>Boulder County, Colorado</t>
        </is>
      </c>
    </row>
    <row r="19">
      <c r="A19" t="inlineStr">
        <is>
          <t>Arizona</t>
        </is>
      </c>
      <c r="B19" t="inlineStr">
        <is>
          <t>@PNC Bank AA</t>
        </is>
      </c>
      <c r="C19" t="inlineStr">
        <is>
          <t>Maricopa County, Arizona</t>
        </is>
      </c>
      <c r="G19" t="inlineStr">
        <is>
          <t>Broomfield County, Colorado</t>
        </is>
      </c>
    </row>
    <row r="20">
      <c r="A20" t="inlineStr">
        <is>
          <t>Colorado</t>
        </is>
      </c>
      <c r="B20" t="inlineStr">
        <is>
          <t>@PNC Bank AA</t>
        </is>
      </c>
      <c r="C20" t="inlineStr">
        <is>
          <t>Denver County, Colorado</t>
        </is>
      </c>
      <c r="G20" t="inlineStr">
        <is>
          <t>Clear Creek County, Colorado</t>
        </is>
      </c>
    </row>
    <row r="21">
      <c r="A21" t="inlineStr">
        <is>
          <t>Delaware</t>
        </is>
      </c>
      <c r="B21" t="inlineStr">
        <is>
          <t>@PNC Bank AA</t>
        </is>
      </c>
      <c r="C21" t="inlineStr">
        <is>
          <t>Kent County, Delaware</t>
        </is>
      </c>
      <c r="G21" t="inlineStr">
        <is>
          <t>Denver County, Colorado</t>
        </is>
      </c>
    </row>
    <row r="22" ht="21.75" customHeight="1" s="47">
      <c r="B22" t="inlineStr">
        <is>
          <t>@PNC Bank AA</t>
        </is>
      </c>
      <c r="C22" t="inlineStr">
        <is>
          <t>New Castle County, Delaware</t>
        </is>
      </c>
      <c r="G22" t="inlineStr">
        <is>
          <t>Douglas County, Colorado</t>
        </is>
      </c>
    </row>
    <row r="23">
      <c r="B23" t="inlineStr">
        <is>
          <t>@PNC Bank AA</t>
        </is>
      </c>
      <c r="C23" t="inlineStr">
        <is>
          <t>Sussex County, Delaware</t>
        </is>
      </c>
      <c r="G23" t="inlineStr">
        <is>
          <t>Gilpin County, Colorado</t>
        </is>
      </c>
    </row>
    <row r="24" ht="21.75" customHeight="1" s="47">
      <c r="A24" t="inlineStr">
        <is>
          <t>Florida</t>
        </is>
      </c>
      <c r="B24" t="inlineStr">
        <is>
          <t>@PNC Bank AA</t>
        </is>
      </c>
      <c r="C24" t="inlineStr">
        <is>
          <t>Lee County, Florida</t>
        </is>
      </c>
      <c r="G24" t="inlineStr">
        <is>
          <t>Jefferson County, Colorado</t>
        </is>
      </c>
    </row>
    <row r="25">
      <c r="A25" t="inlineStr">
        <is>
          <t>Florida</t>
        </is>
      </c>
      <c r="B25" t="inlineStr">
        <is>
          <t>@PNC Bank AA</t>
        </is>
      </c>
      <c r="C25" t="inlineStr">
        <is>
          <t>Flagler County, Florida</t>
        </is>
      </c>
      <c r="G25" t="inlineStr">
        <is>
          <t>Park County, Colorado</t>
        </is>
      </c>
    </row>
    <row r="26">
      <c r="B26" t="inlineStr">
        <is>
          <t>@PNC Bank AA</t>
        </is>
      </c>
      <c r="C26" t="inlineStr">
        <is>
          <t>Volusia County, Florida</t>
        </is>
      </c>
      <c r="G26" t="inlineStr">
        <is>
          <t>Weld County, Colorado</t>
        </is>
      </c>
    </row>
    <row r="27">
      <c r="C27" t="inlineStr">
        <is>
          <t>Okeechobee County, Florida</t>
        </is>
      </c>
      <c r="F27" t="inlineStr">
        <is>
          <t>@FirstBank AA</t>
        </is>
      </c>
      <c r="G27" t="inlineStr">
        <is>
          <t>Larimer County, Colorado</t>
        </is>
      </c>
    </row>
    <row r="28">
      <c r="B28" t="inlineStr">
        <is>
          <t>@PNC Bank AA</t>
        </is>
      </c>
      <c r="C28" t="inlineStr">
        <is>
          <t>Alachua County, Florida</t>
        </is>
      </c>
    </row>
    <row r="29">
      <c r="B29" t="inlineStr">
        <is>
          <t>@PNC Bank AA</t>
        </is>
      </c>
      <c r="C29" t="inlineStr">
        <is>
          <t>Duval County, Florida</t>
        </is>
      </c>
    </row>
    <row r="30">
      <c r="B30" t="inlineStr">
        <is>
          <t>@PNC Bank AA</t>
        </is>
      </c>
      <c r="C30" t="inlineStr">
        <is>
          <t>St. Johns County, Florida</t>
        </is>
      </c>
    </row>
    <row r="31">
      <c r="C31" t="inlineStr">
        <is>
          <t>Broward County, Florida</t>
        </is>
      </c>
    </row>
    <row r="32">
      <c r="B32" t="inlineStr">
        <is>
          <t>@PNC Bank AA</t>
        </is>
      </c>
      <c r="C32" t="inlineStr">
        <is>
          <t>Miami-Dade County, Florida</t>
        </is>
      </c>
    </row>
    <row r="33">
      <c r="C33" t="inlineStr">
        <is>
          <t>Palm Beach County, Florida</t>
        </is>
      </c>
    </row>
    <row r="34">
      <c r="C34" t="inlineStr">
        <is>
          <t>Collier County, Florida</t>
        </is>
      </c>
    </row>
    <row r="35">
      <c r="B35" t="inlineStr">
        <is>
          <t>@PNC Bank AA</t>
        </is>
      </c>
      <c r="C35" t="inlineStr">
        <is>
          <t>Manatee County, Florida</t>
        </is>
      </c>
    </row>
    <row r="36">
      <c r="B36" t="inlineStr">
        <is>
          <t>@PNC Bank AA</t>
        </is>
      </c>
      <c r="C36" t="inlineStr">
        <is>
          <t>Sarasota County, Florida</t>
        </is>
      </c>
    </row>
    <row r="37">
      <c r="C37" t="inlineStr">
        <is>
          <t>Marion County, Florida</t>
        </is>
      </c>
    </row>
    <row r="38">
      <c r="B38" t="inlineStr">
        <is>
          <t>@PNC Bank AA</t>
        </is>
      </c>
      <c r="C38" t="inlineStr">
        <is>
          <t>Lake County, Florida</t>
        </is>
      </c>
    </row>
    <row r="39">
      <c r="B39" t="inlineStr">
        <is>
          <t>@PNC Bank AA</t>
        </is>
      </c>
      <c r="C39" t="inlineStr">
        <is>
          <t>Orange County, Florida</t>
        </is>
      </c>
    </row>
    <row r="40">
      <c r="C40" t="inlineStr">
        <is>
          <t>Osceola County, Florida</t>
        </is>
      </c>
    </row>
    <row r="41">
      <c r="C41" t="inlineStr">
        <is>
          <t>Seminole County, Florida</t>
        </is>
      </c>
    </row>
    <row r="42">
      <c r="C42" t="inlineStr">
        <is>
          <t>Brevard County, Florida</t>
        </is>
      </c>
    </row>
    <row r="43">
      <c r="B43" t="inlineStr">
        <is>
          <t>@PNC Bank AA</t>
        </is>
      </c>
      <c r="C43" t="inlineStr">
        <is>
          <t>Martin County, Florida</t>
        </is>
      </c>
    </row>
    <row r="44">
      <c r="B44" t="inlineStr">
        <is>
          <t>@PNC Bank AA</t>
        </is>
      </c>
      <c r="C44" t="inlineStr">
        <is>
          <t>St. Lucie County, Florida</t>
        </is>
      </c>
    </row>
    <row r="45">
      <c r="C45" t="inlineStr">
        <is>
          <t>Charlotte County, Florida</t>
        </is>
      </c>
    </row>
    <row r="46">
      <c r="B46" t="inlineStr">
        <is>
          <t>@PNC Bank AA</t>
        </is>
      </c>
      <c r="C46" t="inlineStr">
        <is>
          <t>Indian River County, Florida</t>
        </is>
      </c>
    </row>
    <row r="47">
      <c r="B47" t="inlineStr">
        <is>
          <t>@PNC Bank AA</t>
        </is>
      </c>
      <c r="C47" t="inlineStr">
        <is>
          <t>Hillsborough County, Florida</t>
        </is>
      </c>
    </row>
    <row r="48">
      <c r="B48" t="inlineStr">
        <is>
          <t>@PNC Bank AA</t>
        </is>
      </c>
      <c r="C48" t="inlineStr">
        <is>
          <t>Pasco County, Florida</t>
        </is>
      </c>
    </row>
    <row r="49">
      <c r="C49" t="inlineStr">
        <is>
          <t>Pinellas County, Florida</t>
        </is>
      </c>
    </row>
    <row r="50">
      <c r="C50" t="inlineStr">
        <is>
          <t>Cherokee County, Georgia</t>
        </is>
      </c>
    </row>
    <row r="51">
      <c r="A51" t="inlineStr">
        <is>
          <t>Georgia</t>
        </is>
      </c>
      <c r="B51" t="inlineStr">
        <is>
          <t>@PNC Bank AA</t>
        </is>
      </c>
      <c r="C51" t="inlineStr">
        <is>
          <t>Clay County, Georgia</t>
        </is>
      </c>
    </row>
    <row r="52">
      <c r="C52" t="inlineStr">
        <is>
          <t>Cobb County, Georgia</t>
        </is>
      </c>
    </row>
    <row r="53">
      <c r="C53" t="inlineStr">
        <is>
          <t>Coweta County, Georgia</t>
        </is>
      </c>
    </row>
    <row r="54">
      <c r="C54" t="inlineStr">
        <is>
          <t>DeKalb County, Georgia</t>
        </is>
      </c>
    </row>
    <row r="55">
      <c r="C55" t="inlineStr">
        <is>
          <t>Douglas County, Georgia</t>
        </is>
      </c>
    </row>
    <row r="56">
      <c r="C56" t="inlineStr">
        <is>
          <t>Fayette County, Georgia</t>
        </is>
      </c>
    </row>
    <row r="57">
      <c r="C57" t="inlineStr">
        <is>
          <t>Forsyth County, Georgia</t>
        </is>
      </c>
    </row>
    <row r="58">
      <c r="C58" t="inlineStr">
        <is>
          <t>Fulton County, Georgia</t>
        </is>
      </c>
    </row>
    <row r="59">
      <c r="C59" t="inlineStr">
        <is>
          <t>Gwinnett County, Georgia</t>
        </is>
      </c>
    </row>
    <row r="60">
      <c r="C60" t="inlineStr">
        <is>
          <t>Henry County, Georgia</t>
        </is>
      </c>
    </row>
    <row r="61">
      <c r="C61" t="inlineStr">
        <is>
          <t>Paulding County, Georgia</t>
        </is>
      </c>
    </row>
    <row r="62">
      <c r="C62" t="inlineStr">
        <is>
          <t>Dooly County, Georgia</t>
        </is>
      </c>
    </row>
    <row r="63">
      <c r="B63" t="inlineStr">
        <is>
          <t>@PNC Bank AA</t>
        </is>
      </c>
      <c r="C63" t="inlineStr">
        <is>
          <t>Macon County, Georgia</t>
        </is>
      </c>
    </row>
    <row r="64">
      <c r="C64" t="inlineStr">
        <is>
          <t>Troup County, Georgia</t>
        </is>
      </c>
    </row>
    <row r="65">
      <c r="C65" t="inlineStr">
        <is>
          <t>McLean County, Illinois</t>
        </is>
      </c>
    </row>
    <row r="66">
      <c r="A66" t="inlineStr">
        <is>
          <t>Illinois</t>
        </is>
      </c>
      <c r="B66" t="inlineStr">
        <is>
          <t>@PNC Bank AA</t>
        </is>
      </c>
      <c r="C66" t="inlineStr">
        <is>
          <t>Champaign County, Illinois</t>
        </is>
      </c>
    </row>
    <row r="67">
      <c r="B67" t="inlineStr">
        <is>
          <t>@PNC Bank AA</t>
        </is>
      </c>
      <c r="C67" t="inlineStr">
        <is>
          <t>Cook County, Illinois</t>
        </is>
      </c>
    </row>
    <row r="68">
      <c r="B68" t="inlineStr">
        <is>
          <t>@PNC Bank AA</t>
        </is>
      </c>
      <c r="C68" t="inlineStr">
        <is>
          <t>DeKalb County, Illinois</t>
        </is>
      </c>
    </row>
    <row r="69">
      <c r="C69" t="inlineStr">
        <is>
          <t>DuPage County, Illinois</t>
        </is>
      </c>
    </row>
    <row r="70">
      <c r="C70" t="inlineStr">
        <is>
          <t>Kane County, Illinois</t>
        </is>
      </c>
    </row>
    <row r="71">
      <c r="C71" t="inlineStr">
        <is>
          <t>Lake County, Illinois</t>
        </is>
      </c>
    </row>
    <row r="72">
      <c r="C72" t="inlineStr">
        <is>
          <t>Henry County, Illinois</t>
        </is>
      </c>
    </row>
    <row r="73">
      <c r="C73" t="inlineStr">
        <is>
          <t>Will County, Illinois</t>
        </is>
      </c>
    </row>
    <row r="74">
      <c r="C74" t="inlineStr">
        <is>
          <t>Macon County, Illinois</t>
        </is>
      </c>
    </row>
    <row r="75">
      <c r="B75" t="inlineStr">
        <is>
          <t>@PNC Bank AA</t>
        </is>
      </c>
      <c r="C75" t="inlineStr">
        <is>
          <t>Knox County, Illinois</t>
        </is>
      </c>
    </row>
    <row r="76">
      <c r="B76" t="inlineStr">
        <is>
          <t>@PNC Bank AA</t>
        </is>
      </c>
      <c r="C76" t="inlineStr">
        <is>
          <t>Kankakee County, Illinois</t>
        </is>
      </c>
    </row>
    <row r="77">
      <c r="B77" t="inlineStr">
        <is>
          <t>@PNC Bank AA</t>
        </is>
      </c>
      <c r="C77" t="inlineStr">
        <is>
          <t>Peoria County, Illinois</t>
        </is>
      </c>
    </row>
    <row r="78">
      <c r="B78" t="inlineStr">
        <is>
          <t>@PNC Bank AA</t>
        </is>
      </c>
      <c r="C78" t="inlineStr">
        <is>
          <t>Tazewell County, Illinois</t>
        </is>
      </c>
    </row>
    <row r="79">
      <c r="C79" t="inlineStr">
        <is>
          <t>Boone County, Illinois</t>
        </is>
      </c>
    </row>
    <row r="80">
      <c r="B80" t="inlineStr">
        <is>
          <t>@PNC Bank AA</t>
        </is>
      </c>
      <c r="C80" t="inlineStr">
        <is>
          <t>Winnebago County, Illinois</t>
        </is>
      </c>
    </row>
    <row r="81">
      <c r="C81" t="inlineStr">
        <is>
          <t>Sangamon County, Illinois</t>
        </is>
      </c>
    </row>
    <row r="82">
      <c r="B82" t="inlineStr">
        <is>
          <t>@PNC Bank AA</t>
        </is>
      </c>
      <c r="C82" t="inlineStr">
        <is>
          <t>St. Clair County, Illinois</t>
        </is>
      </c>
    </row>
    <row r="83">
      <c r="B83" t="inlineStr">
        <is>
          <t>@PNC Bank AA</t>
        </is>
      </c>
      <c r="C83" t="inlineStr">
        <is>
          <t>Monroe County, Indiana</t>
        </is>
      </c>
    </row>
    <row r="84">
      <c r="A84" t="inlineStr">
        <is>
          <t>Indiana</t>
        </is>
      </c>
      <c r="B84" t="inlineStr">
        <is>
          <t>@PNC Bank AA</t>
        </is>
      </c>
      <c r="C84" t="inlineStr">
        <is>
          <t>Jasper County, Indiana</t>
        </is>
      </c>
    </row>
    <row r="85">
      <c r="B85" t="inlineStr">
        <is>
          <t>@PNC Bank AA</t>
        </is>
      </c>
      <c r="C85" t="inlineStr">
        <is>
          <t>Lake County, Indiana</t>
        </is>
      </c>
    </row>
    <row r="86">
      <c r="C86" t="inlineStr">
        <is>
          <t>Bartholomew County, Indiana</t>
        </is>
      </c>
    </row>
    <row r="87">
      <c r="B87" t="inlineStr">
        <is>
          <t>@PNC Bank AA</t>
        </is>
      </c>
      <c r="C87" t="inlineStr">
        <is>
          <t>Elkhart County, Indiana</t>
        </is>
      </c>
    </row>
    <row r="88">
      <c r="B88" t="inlineStr">
        <is>
          <t>@PNC Bank AA</t>
        </is>
      </c>
      <c r="C88" t="inlineStr">
        <is>
          <t>Allen County, Indiana</t>
        </is>
      </c>
    </row>
    <row r="89">
      <c r="B89" t="inlineStr">
        <is>
          <t>@PNC Bank AA</t>
        </is>
      </c>
      <c r="C89" t="inlineStr">
        <is>
          <t>Wells County, Indiana</t>
        </is>
      </c>
    </row>
    <row r="90">
      <c r="C90" t="inlineStr">
        <is>
          <t>Whitley County, Indiana</t>
        </is>
      </c>
    </row>
    <row r="91">
      <c r="C91" t="inlineStr">
        <is>
          <t>Cass County, Indiana</t>
        </is>
      </c>
    </row>
    <row r="92">
      <c r="B92" t="inlineStr">
        <is>
          <t>@PNC Bank AA</t>
        </is>
      </c>
      <c r="C92" t="inlineStr">
        <is>
          <t>Huntington County, Indiana</t>
        </is>
      </c>
    </row>
    <row r="93">
      <c r="C93" t="inlineStr">
        <is>
          <t>Jackson County, Indiana</t>
        </is>
      </c>
    </row>
    <row r="94">
      <c r="C94" t="inlineStr">
        <is>
          <t>Jennings County, Indiana</t>
        </is>
      </c>
    </row>
    <row r="95">
      <c r="C95" t="inlineStr">
        <is>
          <t>Kosciusko County, Indiana</t>
        </is>
      </c>
    </row>
    <row r="96">
      <c r="C96" t="inlineStr">
        <is>
          <t>Marshall County, Indiana</t>
        </is>
      </c>
    </row>
    <row r="97">
      <c r="C97" t="inlineStr">
        <is>
          <t>Miami County, Indiana</t>
        </is>
      </c>
    </row>
    <row r="98">
      <c r="C98" t="inlineStr">
        <is>
          <t>Montgomery County, Indiana</t>
        </is>
      </c>
    </row>
    <row r="99">
      <c r="C99" t="inlineStr">
        <is>
          <t>Ripley County, Indiana</t>
        </is>
      </c>
    </row>
    <row r="100">
      <c r="C100" t="inlineStr">
        <is>
          <t>Boone County, Indiana</t>
        </is>
      </c>
    </row>
    <row r="101">
      <c r="B101" t="inlineStr">
        <is>
          <t>@PNC Bank AA</t>
        </is>
      </c>
      <c r="C101" t="inlineStr">
        <is>
          <t>Brown County, Indiana</t>
        </is>
      </c>
    </row>
    <row r="102">
      <c r="C102" t="inlineStr">
        <is>
          <t>Hamilton County, Indiana</t>
        </is>
      </c>
    </row>
    <row r="103">
      <c r="C103" t="inlineStr">
        <is>
          <t>Hancock County, Indiana</t>
        </is>
      </c>
    </row>
    <row r="104">
      <c r="C104" t="inlineStr">
        <is>
          <t>Hendricks County, Indiana</t>
        </is>
      </c>
    </row>
    <row r="105">
      <c r="C105" t="inlineStr">
        <is>
          <t>Johnson County, Indiana</t>
        </is>
      </c>
    </row>
    <row r="106">
      <c r="C106" t="inlineStr">
        <is>
          <t>Madison County, Indiana</t>
        </is>
      </c>
    </row>
    <row r="107">
      <c r="C107" t="inlineStr">
        <is>
          <t>Marion County, Indiana</t>
        </is>
      </c>
    </row>
    <row r="108">
      <c r="C108" t="inlineStr">
        <is>
          <t>Putnam County, Indiana</t>
        </is>
      </c>
    </row>
    <row r="109">
      <c r="C109" t="inlineStr">
        <is>
          <t>Shelby County, Indiana</t>
        </is>
      </c>
    </row>
    <row r="110">
      <c r="C110" t="inlineStr">
        <is>
          <t>Howard County, Indiana</t>
        </is>
      </c>
    </row>
    <row r="111">
      <c r="B111" t="inlineStr">
        <is>
          <t>@PNC Bank AA</t>
        </is>
      </c>
      <c r="C111" t="inlineStr">
        <is>
          <t>Tippecanoe County, Indiana</t>
        </is>
      </c>
    </row>
    <row r="112">
      <c r="B112" t="inlineStr">
        <is>
          <t>@PNC Bank AA</t>
        </is>
      </c>
      <c r="C112" t="inlineStr">
        <is>
          <t>Clark County, Indiana</t>
        </is>
      </c>
    </row>
    <row r="113">
      <c r="B113" t="inlineStr">
        <is>
          <t>@PNC Bank AA</t>
        </is>
      </c>
      <c r="C113" t="inlineStr">
        <is>
          <t>Floyd County, Indiana</t>
        </is>
      </c>
    </row>
    <row r="114">
      <c r="C114" t="inlineStr">
        <is>
          <t>Washington County, Indiana</t>
        </is>
      </c>
    </row>
    <row r="115">
      <c r="C115" t="inlineStr">
        <is>
          <t>St. Joseph County, Indiana</t>
        </is>
      </c>
    </row>
    <row r="116">
      <c r="B116" t="inlineStr">
        <is>
          <t>@PNC Bank AA</t>
        </is>
      </c>
      <c r="C116" t="inlineStr">
        <is>
          <t>Johnson County, Arkansas</t>
        </is>
      </c>
    </row>
    <row r="117">
      <c r="A117" t="inlineStr">
        <is>
          <t>Kentucky</t>
        </is>
      </c>
      <c r="B117" t="inlineStr">
        <is>
          <t>@PNC Bank AA</t>
        </is>
      </c>
      <c r="C117" t="inlineStr">
        <is>
          <t>Warren County, Kentucky</t>
        </is>
      </c>
    </row>
    <row r="118">
      <c r="A118" t="inlineStr">
        <is>
          <t>Kentucky</t>
        </is>
      </c>
      <c r="B118" t="inlineStr">
        <is>
          <t>@PNC Bank AA</t>
        </is>
      </c>
      <c r="C118" t="inlineStr">
        <is>
          <t>Boone County, Kentucky</t>
        </is>
      </c>
    </row>
    <row r="119">
      <c r="B119" t="inlineStr">
        <is>
          <t>@PNC Bank AA</t>
        </is>
      </c>
      <c r="C119" t="inlineStr">
        <is>
          <t>Bell County, Kentucky</t>
        </is>
      </c>
    </row>
    <row r="120">
      <c r="C120" t="inlineStr">
        <is>
          <t>Kenton County, Kentucky</t>
        </is>
      </c>
    </row>
    <row r="121">
      <c r="C121" t="inlineStr">
        <is>
          <t>Hardin County, Kentucky</t>
        </is>
      </c>
    </row>
    <row r="122">
      <c r="B122" t="inlineStr">
        <is>
          <t>@PNC Bank AA</t>
        </is>
      </c>
      <c r="C122" t="inlineStr">
        <is>
          <t>Boyd County, Kentucky</t>
        </is>
      </c>
    </row>
    <row r="123">
      <c r="B123" t="inlineStr">
        <is>
          <t>@PNC Bank AA</t>
        </is>
      </c>
      <c r="C123" t="inlineStr">
        <is>
          <t>Green County, Kentucky</t>
        </is>
      </c>
    </row>
    <row r="124">
      <c r="C124" t="inlineStr">
        <is>
          <t>Boyle County, Kentucky</t>
        </is>
      </c>
    </row>
    <row r="125">
      <c r="B125" t="inlineStr">
        <is>
          <t>@PNC Bank AA</t>
        </is>
      </c>
      <c r="C125" t="inlineStr">
        <is>
          <t>Clay County, Kentucky</t>
        </is>
      </c>
    </row>
    <row r="126">
      <c r="C126" t="inlineStr">
        <is>
          <t>Franklin County, Kentucky</t>
        </is>
      </c>
    </row>
    <row r="127">
      <c r="C127" t="inlineStr">
        <is>
          <t>Knox County, Kentucky</t>
        </is>
      </c>
    </row>
    <row r="128">
      <c r="C128" t="inlineStr">
        <is>
          <t>Laurel County, Kentucky</t>
        </is>
      </c>
    </row>
    <row r="129">
      <c r="C129" t="inlineStr">
        <is>
          <t>Madison County, Kentucky</t>
        </is>
      </c>
    </row>
    <row r="130">
      <c r="C130" t="inlineStr">
        <is>
          <t>Nelson County, Kentucky</t>
        </is>
      </c>
    </row>
    <row r="131">
      <c r="C131" t="inlineStr">
        <is>
          <t>Clark County, Kentucky</t>
        </is>
      </c>
    </row>
    <row r="132">
      <c r="B132" t="inlineStr">
        <is>
          <t>@PNC Bank AA</t>
        </is>
      </c>
      <c r="C132" t="inlineStr">
        <is>
          <t>Fayette County, Kentucky</t>
        </is>
      </c>
    </row>
    <row r="133">
      <c r="C133" t="inlineStr">
        <is>
          <t>Jessamine County, Kentucky</t>
        </is>
      </c>
    </row>
    <row r="134">
      <c r="C134" t="inlineStr">
        <is>
          <t>Scott County, Kentucky</t>
        </is>
      </c>
    </row>
    <row r="135">
      <c r="C135" t="inlineStr">
        <is>
          <t>Woodford County, Kentucky</t>
        </is>
      </c>
    </row>
    <row r="136">
      <c r="C136" t="inlineStr">
        <is>
          <t>Bullitt County, Kentucky</t>
        </is>
      </c>
    </row>
    <row r="137">
      <c r="B137" t="inlineStr">
        <is>
          <t>@PNC Bank AA</t>
        </is>
      </c>
      <c r="C137" t="inlineStr">
        <is>
          <t>Jefferson County, Kentucky</t>
        </is>
      </c>
    </row>
    <row r="138">
      <c r="C138" t="inlineStr">
        <is>
          <t>Oldham County, Kentucky</t>
        </is>
      </c>
    </row>
    <row r="139">
      <c r="C139" t="inlineStr">
        <is>
          <t>Daviess County, Kentucky</t>
        </is>
      </c>
    </row>
    <row r="140">
      <c r="B140" t="inlineStr">
        <is>
          <t>@PNC Bank AA</t>
        </is>
      </c>
      <c r="C140" t="inlineStr">
        <is>
          <t>Anne Arundel County, Maryland</t>
        </is>
      </c>
    </row>
    <row r="141">
      <c r="A141" t="inlineStr">
        <is>
          <t>Maryland</t>
        </is>
      </c>
      <c r="B141" t="inlineStr">
        <is>
          <t>@PNC Bank AA</t>
        </is>
      </c>
      <c r="C141" t="inlineStr">
        <is>
          <t>Baltimore County, Maryland</t>
        </is>
      </c>
    </row>
    <row r="142">
      <c r="C142" t="inlineStr">
        <is>
          <t>Carroll County, Maryland</t>
        </is>
      </c>
    </row>
    <row r="143">
      <c r="C143" t="inlineStr">
        <is>
          <t>Harford County, Maryland</t>
        </is>
      </c>
    </row>
    <row r="144">
      <c r="C144" t="inlineStr">
        <is>
          <t>Howard County, Maryland</t>
        </is>
      </c>
    </row>
    <row r="145">
      <c r="C145" t="inlineStr">
        <is>
          <t>Queen Annes County, Maryland</t>
        </is>
      </c>
    </row>
    <row r="146">
      <c r="C146" t="inlineStr">
        <is>
          <t>St. Marys County, Maryland</t>
        </is>
      </c>
    </row>
    <row r="147">
      <c r="B147" t="inlineStr">
        <is>
          <t>@PNC Bank AA</t>
        </is>
      </c>
      <c r="C147" t="inlineStr">
        <is>
          <t>Allegany County, Maryland</t>
        </is>
      </c>
    </row>
    <row r="148">
      <c r="B148" t="inlineStr">
        <is>
          <t>@PNC Bank AA</t>
        </is>
      </c>
      <c r="C148" t="inlineStr">
        <is>
          <t>Washington County, Maryland</t>
        </is>
      </c>
    </row>
    <row r="149">
      <c r="B149" t="inlineStr">
        <is>
          <t>@PNC Bank AA</t>
        </is>
      </c>
      <c r="C149" t="inlineStr">
        <is>
          <t>Caroline County, Maryland</t>
        </is>
      </c>
    </row>
    <row r="150">
      <c r="B150" t="inlineStr">
        <is>
          <t>@PNC Bank AA</t>
        </is>
      </c>
      <c r="C150" t="inlineStr">
        <is>
          <t>Kent County, Maryland</t>
        </is>
      </c>
    </row>
    <row r="151">
      <c r="C151" t="inlineStr">
        <is>
          <t>Talbot County, Maryland</t>
        </is>
      </c>
    </row>
    <row r="152">
      <c r="C152" t="inlineStr">
        <is>
          <t>Cecil County, Maryland</t>
        </is>
      </c>
    </row>
    <row r="153" ht="21.75" customHeight="1" s="47">
      <c r="B153" t="inlineStr">
        <is>
          <t>@PNC Bank AA</t>
        </is>
      </c>
      <c r="C153" t="inlineStr">
        <is>
          <t>Somerset County, Maryland</t>
        </is>
      </c>
    </row>
    <row r="154">
      <c r="B154" t="inlineStr">
        <is>
          <t>@PNC Bank AA</t>
        </is>
      </c>
      <c r="C154" t="inlineStr">
        <is>
          <t>Wicomico County, Maryland</t>
        </is>
      </c>
    </row>
    <row r="155">
      <c r="C155" t="inlineStr">
        <is>
          <t>Worcester County, Maryland</t>
        </is>
      </c>
    </row>
    <row r="156">
      <c r="C156" t="inlineStr">
        <is>
          <t>Calvert County, Maryland</t>
        </is>
      </c>
    </row>
    <row r="157">
      <c r="B157" t="inlineStr">
        <is>
          <t>@PNC Bank AA</t>
        </is>
      </c>
      <c r="C157" t="inlineStr">
        <is>
          <t>Charles County, Maryland</t>
        </is>
      </c>
    </row>
    <row r="158">
      <c r="C158" t="inlineStr">
        <is>
          <t>Frederick County, Maryland</t>
        </is>
      </c>
    </row>
    <row r="159">
      <c r="C159" t="inlineStr">
        <is>
          <t>Montgomery County, Maryland</t>
        </is>
      </c>
    </row>
    <row r="160">
      <c r="C160" t="inlineStr">
        <is>
          <t>Prince Georges County, Maryland</t>
        </is>
      </c>
    </row>
    <row r="161">
      <c r="C161" t="inlineStr">
        <is>
          <t>Essex County, Massachusetts</t>
        </is>
      </c>
    </row>
    <row r="162">
      <c r="A162" t="inlineStr">
        <is>
          <t>Massachusetts</t>
        </is>
      </c>
      <c r="B162" t="inlineStr">
        <is>
          <t>@PNC Bank AA</t>
        </is>
      </c>
      <c r="C162" t="inlineStr">
        <is>
          <t>Middlesex County, Massachusetts</t>
        </is>
      </c>
    </row>
    <row r="163">
      <c r="C163" t="inlineStr">
        <is>
          <t>Norfolk County, Massachusetts</t>
        </is>
      </c>
    </row>
    <row r="164">
      <c r="C164" t="inlineStr">
        <is>
          <t>Suffolk County, Massachusetts</t>
        </is>
      </c>
    </row>
    <row r="165">
      <c r="C165" t="inlineStr">
        <is>
          <t>Washtenaw County, Michigan</t>
        </is>
      </c>
    </row>
    <row r="166">
      <c r="A166" t="inlineStr">
        <is>
          <t>Michigan</t>
        </is>
      </c>
      <c r="B166" t="inlineStr">
        <is>
          <t>@PNC Bank AA</t>
        </is>
      </c>
      <c r="C166" t="inlineStr">
        <is>
          <t>Calhoun County, Michigan</t>
        </is>
      </c>
    </row>
    <row r="167">
      <c r="B167" t="inlineStr">
        <is>
          <t>@PNC Bank AA</t>
        </is>
      </c>
      <c r="C167" t="inlineStr">
        <is>
          <t>Bay County, Michigan</t>
        </is>
      </c>
    </row>
    <row r="168">
      <c r="B168" t="inlineStr">
        <is>
          <t>@PNC Bank AA</t>
        </is>
      </c>
      <c r="C168" t="inlineStr">
        <is>
          <t>Lapeer County, Michigan</t>
        </is>
      </c>
    </row>
    <row r="169">
      <c r="B169" t="inlineStr">
        <is>
          <t>@PNC Bank AA</t>
        </is>
      </c>
      <c r="C169" t="inlineStr">
        <is>
          <t>Livingston County, Michigan</t>
        </is>
      </c>
    </row>
    <row r="170">
      <c r="C170" t="inlineStr">
        <is>
          <t>Macomb County, Michigan</t>
        </is>
      </c>
    </row>
    <row r="171">
      <c r="C171" t="inlineStr">
        <is>
          <t>Oakland County, Michigan</t>
        </is>
      </c>
    </row>
    <row r="172">
      <c r="C172" t="inlineStr">
        <is>
          <t>Wayne County, Michigan</t>
        </is>
      </c>
    </row>
    <row r="173">
      <c r="C173" t="inlineStr">
        <is>
          <t>Genesee County, Michigan</t>
        </is>
      </c>
    </row>
    <row r="174">
      <c r="B174" t="inlineStr">
        <is>
          <t>@PNC Bank AA</t>
        </is>
      </c>
      <c r="C174" t="inlineStr">
        <is>
          <t>Barry County, Michigan</t>
        </is>
      </c>
    </row>
    <row r="175">
      <c r="B175" t="inlineStr">
        <is>
          <t>@PNC Bank AA</t>
        </is>
      </c>
      <c r="C175" t="inlineStr">
        <is>
          <t>Kent County, Michigan</t>
        </is>
      </c>
    </row>
    <row r="176">
      <c r="C176" t="inlineStr">
        <is>
          <t>Ottawa County, Michigan</t>
        </is>
      </c>
    </row>
    <row r="177">
      <c r="C177" t="inlineStr">
        <is>
          <t>Jackson County, Michigan</t>
        </is>
      </c>
    </row>
    <row r="178">
      <c r="B178" t="inlineStr">
        <is>
          <t>@PNC Bank AA</t>
        </is>
      </c>
      <c r="C178" t="inlineStr">
        <is>
          <t>Kalamazoo County, Michigan</t>
        </is>
      </c>
    </row>
    <row r="179">
      <c r="B179" t="inlineStr">
        <is>
          <t>@PNC Bank AA</t>
        </is>
      </c>
      <c r="C179" t="inlineStr">
        <is>
          <t>Van Buren County, Michigan</t>
        </is>
      </c>
    </row>
    <row r="180">
      <c r="C180" t="inlineStr">
        <is>
          <t>Clinton County, Michigan</t>
        </is>
      </c>
    </row>
    <row r="181">
      <c r="B181" t="inlineStr">
        <is>
          <t>@PNC Bank AA</t>
        </is>
      </c>
      <c r="C181" t="inlineStr">
        <is>
          <t>Eaton County, Michigan</t>
        </is>
      </c>
    </row>
    <row r="182">
      <c r="C182" t="inlineStr">
        <is>
          <t>Ingham County, Michigan</t>
        </is>
      </c>
    </row>
    <row r="183">
      <c r="C183" t="inlineStr">
        <is>
          <t>Shiawassee County, Michigan</t>
        </is>
      </c>
    </row>
    <row r="184">
      <c r="C184" t="inlineStr">
        <is>
          <t>Allegan County, Michigan</t>
        </is>
      </c>
    </row>
    <row r="185">
      <c r="B185" t="inlineStr">
        <is>
          <t>@PNC Bank AA</t>
        </is>
      </c>
      <c r="C185" t="inlineStr">
        <is>
          <t>Alpena County, Michigan</t>
        </is>
      </c>
    </row>
    <row r="186">
      <c r="C186" t="inlineStr">
        <is>
          <t>Antrim County, Michigan</t>
        </is>
      </c>
    </row>
    <row r="187">
      <c r="C187" t="inlineStr">
        <is>
          <t>Branch County, Michigan</t>
        </is>
      </c>
    </row>
    <row r="188">
      <c r="C188" t="inlineStr">
        <is>
          <t>Cheboygan County, Michigan</t>
        </is>
      </c>
    </row>
    <row r="189">
      <c r="C189" t="inlineStr">
        <is>
          <t>Clare County, Michigan</t>
        </is>
      </c>
    </row>
    <row r="190">
      <c r="C190" t="inlineStr">
        <is>
          <t>Emmet County, Michigan</t>
        </is>
      </c>
    </row>
    <row r="191">
      <c r="C191" t="inlineStr">
        <is>
          <t>Gladwin County, Michigan</t>
        </is>
      </c>
    </row>
    <row r="192">
      <c r="C192" t="inlineStr">
        <is>
          <t>Grand Traverse County, Michigan</t>
        </is>
      </c>
    </row>
    <row r="193">
      <c r="C193" t="inlineStr">
        <is>
          <t>Gratiot County, Michigan</t>
        </is>
      </c>
    </row>
    <row r="194">
      <c r="C194" t="inlineStr">
        <is>
          <t>Iosco County, Michigan</t>
        </is>
      </c>
    </row>
    <row r="195">
      <c r="C195" t="inlineStr">
        <is>
          <t>Isabella County, Michigan</t>
        </is>
      </c>
    </row>
    <row r="196">
      <c r="C196" t="inlineStr">
        <is>
          <t>Manistee County, Michigan</t>
        </is>
      </c>
    </row>
    <row r="197">
      <c r="C197" t="inlineStr">
        <is>
          <t>Mason County, Michigan</t>
        </is>
      </c>
    </row>
    <row r="198">
      <c r="C198" t="inlineStr">
        <is>
          <t>Mecosta County, Michigan</t>
        </is>
      </c>
    </row>
    <row r="199">
      <c r="C199" t="inlineStr">
        <is>
          <t>Montmorency County, Michigan</t>
        </is>
      </c>
    </row>
    <row r="200">
      <c r="C200" t="inlineStr">
        <is>
          <t>Ogemaw County, Michigan</t>
        </is>
      </c>
    </row>
    <row r="201">
      <c r="C201" t="inlineStr">
        <is>
          <t>Tuscola County, Michigan</t>
        </is>
      </c>
    </row>
    <row r="202">
      <c r="C202" t="inlineStr">
        <is>
          <t>Midland County, Michigan</t>
        </is>
      </c>
    </row>
    <row r="203">
      <c r="B203" t="inlineStr">
        <is>
          <t>@PNC Bank AA</t>
        </is>
      </c>
      <c r="C203" t="inlineStr">
        <is>
          <t>Monroe County, Michigan</t>
        </is>
      </c>
    </row>
    <row r="204">
      <c r="B204" t="inlineStr">
        <is>
          <t>@PNC Bank AA</t>
        </is>
      </c>
      <c r="C204" t="inlineStr">
        <is>
          <t>Muskegon County, Michigan</t>
        </is>
      </c>
    </row>
    <row r="205">
      <c r="B205" t="inlineStr">
        <is>
          <t>@PNC Bank AA</t>
        </is>
      </c>
      <c r="C205" t="inlineStr">
        <is>
          <t>Saginaw County, Michigan</t>
        </is>
      </c>
    </row>
    <row r="206">
      <c r="B206" t="inlineStr">
        <is>
          <t>@PNC Bank AA</t>
        </is>
      </c>
      <c r="C206" t="inlineStr">
        <is>
          <t>Jackson County, Missouri</t>
        </is>
      </c>
    </row>
    <row r="207">
      <c r="A207" t="inlineStr">
        <is>
          <t>Missouri</t>
        </is>
      </c>
      <c r="B207" t="inlineStr">
        <is>
          <t>@PNC Bank AA</t>
        </is>
      </c>
      <c r="C207" t="inlineStr">
        <is>
          <t>Franklin County, Missouri</t>
        </is>
      </c>
    </row>
    <row r="208">
      <c r="B208" t="inlineStr">
        <is>
          <t>@PNC Bank AA</t>
        </is>
      </c>
      <c r="C208" t="inlineStr">
        <is>
          <t>Jefferson County, Missouri</t>
        </is>
      </c>
    </row>
    <row r="209">
      <c r="C209" t="inlineStr">
        <is>
          <t>St. Charles County, Missouri</t>
        </is>
      </c>
    </row>
    <row r="210">
      <c r="C210" t="inlineStr">
        <is>
          <t>St. Louis County, Missouri</t>
        </is>
      </c>
    </row>
    <row r="211">
      <c r="C211" t="inlineStr">
        <is>
          <t>Warren County, Missouri</t>
        </is>
      </c>
    </row>
    <row r="212">
      <c r="C212" t="inlineStr">
        <is>
          <t>Warren County New County, Jersey</t>
        </is>
      </c>
    </row>
    <row r="213">
      <c r="A213" t="inlineStr">
        <is>
          <t>Jersey</t>
        </is>
      </c>
      <c r="B213" t="inlineStr">
        <is>
          <t>@PNC Bank AA</t>
        </is>
      </c>
      <c r="C213" t="inlineStr">
        <is>
          <t>Atlantic County New County, Jersey</t>
        </is>
      </c>
    </row>
    <row r="214">
      <c r="B214" t="inlineStr">
        <is>
          <t>@PNC Bank AA</t>
        </is>
      </c>
      <c r="C214" t="inlineStr">
        <is>
          <t>Bergen County New County, Jersey</t>
        </is>
      </c>
    </row>
    <row r="215">
      <c r="B215" t="inlineStr">
        <is>
          <t>@PNC Bank AA</t>
        </is>
      </c>
      <c r="C215" t="inlineStr">
        <is>
          <t>Essex County New County, Jersey</t>
        </is>
      </c>
    </row>
    <row r="216">
      <c r="C216" t="inlineStr">
        <is>
          <t>Hudson County New County, Jersey</t>
        </is>
      </c>
    </row>
    <row r="217">
      <c r="C217" t="inlineStr">
        <is>
          <t>Hunterdon County New County, Jersey</t>
        </is>
      </c>
    </row>
    <row r="218">
      <c r="C218" t="inlineStr">
        <is>
          <t>Middlesex County New County, Jersey</t>
        </is>
      </c>
    </row>
    <row r="219">
      <c r="C219" t="inlineStr">
        <is>
          <t>Monmouth County New County, Jersey</t>
        </is>
      </c>
    </row>
    <row r="220">
      <c r="C220" t="inlineStr">
        <is>
          <t>Morris County New County, Jersey</t>
        </is>
      </c>
    </row>
    <row r="221">
      <c r="C221" t="inlineStr">
        <is>
          <t>Ocean County New County, Jersey</t>
        </is>
      </c>
    </row>
    <row r="222">
      <c r="C222" t="inlineStr">
        <is>
          <t>Passaic County New County, Jersey</t>
        </is>
      </c>
    </row>
    <row r="223">
      <c r="C223" t="inlineStr">
        <is>
          <t>Somerset County New County, Jersey</t>
        </is>
      </c>
    </row>
    <row r="224">
      <c r="C224" t="inlineStr">
        <is>
          <t>Sussex County New County, Jersey</t>
        </is>
      </c>
    </row>
    <row r="225">
      <c r="C225" t="inlineStr">
        <is>
          <t>Union County New County, Jersey</t>
        </is>
      </c>
    </row>
    <row r="226">
      <c r="C226" t="inlineStr">
        <is>
          <t>Cape May County New County, Jersey</t>
        </is>
      </c>
    </row>
    <row r="227">
      <c r="B227" t="inlineStr">
        <is>
          <t>@PNC Bank AA</t>
        </is>
      </c>
      <c r="C227" t="inlineStr">
        <is>
          <t>Burlington County New County, Jersey</t>
        </is>
      </c>
    </row>
    <row r="228">
      <c r="B228" t="inlineStr">
        <is>
          <t>@PNC Bank AA</t>
        </is>
      </c>
      <c r="C228" t="inlineStr">
        <is>
          <t>Camden County New County, Jersey</t>
        </is>
      </c>
    </row>
    <row r="229">
      <c r="C229" t="inlineStr">
        <is>
          <t>Gloucester County New County, Jersey</t>
        </is>
      </c>
    </row>
    <row r="230">
      <c r="C230" t="inlineStr">
        <is>
          <t>Mercer County New County, Jersey</t>
        </is>
      </c>
    </row>
    <row r="231">
      <c r="B231" t="inlineStr">
        <is>
          <t>@PNC Bank AA</t>
        </is>
      </c>
      <c r="C231" t="inlineStr">
        <is>
          <t>Cumberland County New County, Jersey</t>
        </is>
      </c>
    </row>
    <row r="232">
      <c r="B232" t="inlineStr">
        <is>
          <t>@PNC Bank AA</t>
        </is>
      </c>
      <c r="C232" t="inlineStr">
        <is>
          <t>New York County New County, York</t>
        </is>
      </c>
    </row>
    <row r="233">
      <c r="A233" t="inlineStr">
        <is>
          <t>Carolina</t>
        </is>
      </c>
      <c r="B233" t="inlineStr">
        <is>
          <t>@PNC Bank AA</t>
        </is>
      </c>
      <c r="C233" t="inlineStr">
        <is>
          <t>Buncombe County North County, Carolina</t>
        </is>
      </c>
    </row>
    <row r="234">
      <c r="A234" t="inlineStr">
        <is>
          <t>Carolina</t>
        </is>
      </c>
      <c r="B234" t="inlineStr">
        <is>
          <t>@PNC Bank AA</t>
        </is>
      </c>
      <c r="C234" t="inlineStr">
        <is>
          <t>Henderson County North County, Carolina</t>
        </is>
      </c>
    </row>
    <row r="235">
      <c r="C235" t="inlineStr">
        <is>
          <t>Alamance County North County, Carolina</t>
        </is>
      </c>
    </row>
    <row r="236">
      <c r="B236" t="inlineStr">
        <is>
          <t>@PNC Bank AA</t>
        </is>
      </c>
      <c r="C236" t="inlineStr">
        <is>
          <t>Anson County North County, Carolina</t>
        </is>
      </c>
    </row>
    <row r="237">
      <c r="B237" t="inlineStr">
        <is>
          <t>@PNC Bank AA</t>
        </is>
      </c>
      <c r="C237" t="inlineStr">
        <is>
          <t>Gaston County North County, Carolina</t>
        </is>
      </c>
    </row>
    <row r="238">
      <c r="C238" t="inlineStr">
        <is>
          <t>Iredell County North County, Carolina</t>
        </is>
      </c>
    </row>
    <row r="239">
      <c r="C239" t="inlineStr">
        <is>
          <t>Mecklenburg County North County, Carolina</t>
        </is>
      </c>
    </row>
    <row r="240">
      <c r="C240" t="inlineStr">
        <is>
          <t>Union County North County, Carolina</t>
        </is>
      </c>
    </row>
    <row r="241">
      <c r="C241" t="inlineStr">
        <is>
          <t>Chatham County North County, Carolina</t>
        </is>
      </c>
    </row>
    <row r="242">
      <c r="B242" t="inlineStr">
        <is>
          <t>@PNC Bank AA</t>
        </is>
      </c>
      <c r="C242" t="inlineStr">
        <is>
          <t>Durham County North County, Carolina</t>
        </is>
      </c>
    </row>
    <row r="243">
      <c r="C243" t="inlineStr">
        <is>
          <t>Granville County North County, Carolina</t>
        </is>
      </c>
    </row>
    <row r="244">
      <c r="C244" t="inlineStr">
        <is>
          <t>Orange County North County, Carolina</t>
        </is>
      </c>
    </row>
    <row r="245">
      <c r="C245" t="inlineStr">
        <is>
          <t>Cumberland County North County, Carolina</t>
        </is>
      </c>
    </row>
    <row r="246" ht="14.45" customHeight="1" s="47">
      <c r="B246" t="inlineStr">
        <is>
          <t>@PNC Bank AA</t>
        </is>
      </c>
      <c r="C246" t="inlineStr">
        <is>
          <t>Harnett County North County, Carolina</t>
        </is>
      </c>
    </row>
    <row r="247">
      <c r="C247" t="inlineStr">
        <is>
          <t>Hoke County North County, Carolina</t>
        </is>
      </c>
    </row>
    <row r="248">
      <c r="C248" t="inlineStr">
        <is>
          <t>Wayne County North County, Carolina</t>
        </is>
      </c>
    </row>
    <row r="249">
      <c r="B249" t="inlineStr">
        <is>
          <t>@PNC Bank AA</t>
        </is>
      </c>
      <c r="C249" t="inlineStr">
        <is>
          <t>Guilford County North County, Carolina</t>
        </is>
      </c>
    </row>
    <row r="250">
      <c r="B250" t="inlineStr">
        <is>
          <t>@PNC Bank AA</t>
        </is>
      </c>
      <c r="C250" t="inlineStr">
        <is>
          <t>Randolph County North County, Carolina</t>
        </is>
      </c>
    </row>
    <row r="251">
      <c r="C251" t="inlineStr">
        <is>
          <t>Pitt County North County, Carolina</t>
        </is>
      </c>
    </row>
    <row r="252">
      <c r="B252" t="inlineStr">
        <is>
          <t>@PNC Bank AA</t>
        </is>
      </c>
      <c r="C252" t="inlineStr">
        <is>
          <t>Caldwell County North County, Carolina</t>
        </is>
      </c>
    </row>
    <row r="253">
      <c r="B253" t="inlineStr">
        <is>
          <t>@PNC Bank AA</t>
        </is>
      </c>
      <c r="C253" t="inlineStr">
        <is>
          <t>Catawba County North County, Carolina</t>
        </is>
      </c>
    </row>
    <row r="254">
      <c r="C254" t="inlineStr">
        <is>
          <t>Onslow County North County, Carolina</t>
        </is>
      </c>
    </row>
    <row r="255">
      <c r="B255" t="inlineStr">
        <is>
          <t>@PNC Bank AA</t>
        </is>
      </c>
      <c r="C255" t="inlineStr">
        <is>
          <t>Brunswick County North County, Carolina</t>
        </is>
      </c>
    </row>
    <row r="256" ht="21.75" customHeight="1" s="47">
      <c r="B256" t="inlineStr">
        <is>
          <t>@PNC Bank AA</t>
        </is>
      </c>
      <c r="C256" t="inlineStr">
        <is>
          <t>Craven County North County, Carolina</t>
        </is>
      </c>
    </row>
    <row r="257">
      <c r="B257" t="inlineStr">
        <is>
          <t>@PNC Bank AA</t>
        </is>
      </c>
      <c r="C257" t="inlineStr">
        <is>
          <t>Carteret County North County, Carolina</t>
        </is>
      </c>
    </row>
    <row r="258">
      <c r="B258" t="inlineStr">
        <is>
          <t>@PNC Bank AA</t>
        </is>
      </c>
      <c r="C258" t="inlineStr">
        <is>
          <t>Cherokee County North County, Carolina</t>
        </is>
      </c>
    </row>
    <row r="259">
      <c r="C259" t="inlineStr">
        <is>
          <t>Chowan County North County, Carolina</t>
        </is>
      </c>
    </row>
    <row r="260">
      <c r="C260" t="inlineStr">
        <is>
          <t>Cleveland County North County, Carolina</t>
        </is>
      </c>
    </row>
    <row r="261">
      <c r="C261" t="inlineStr">
        <is>
          <t>Columbus County North County, Carolina</t>
        </is>
      </c>
    </row>
    <row r="262">
      <c r="C262" t="inlineStr">
        <is>
          <t>Dare County North County, Carolina</t>
        </is>
      </c>
    </row>
    <row r="263">
      <c r="C263" t="inlineStr">
        <is>
          <t>Halifax County North County, Carolina</t>
        </is>
      </c>
    </row>
    <row r="264">
      <c r="C264" t="inlineStr">
        <is>
          <t>Hertford County North County, Carolina</t>
        </is>
      </c>
    </row>
    <row r="265">
      <c r="C265" t="inlineStr">
        <is>
          <t>Lee County North County, Carolina</t>
        </is>
      </c>
    </row>
    <row r="266">
      <c r="C266" t="inlineStr">
        <is>
          <t>Lenoir County North County, Carolina</t>
        </is>
      </c>
    </row>
    <row r="267">
      <c r="C267" t="inlineStr">
        <is>
          <t>Macon County North County, Carolina</t>
        </is>
      </c>
    </row>
    <row r="268">
      <c r="C268" t="inlineStr">
        <is>
          <t>Martin County North County, Carolina</t>
        </is>
      </c>
    </row>
    <row r="269">
      <c r="C269" t="inlineStr">
        <is>
          <t>Moore County North County, Carolina</t>
        </is>
      </c>
    </row>
    <row r="270">
      <c r="C270" t="inlineStr">
        <is>
          <t>Northampton County North County, Carolina</t>
        </is>
      </c>
    </row>
    <row r="271">
      <c r="C271" t="inlineStr">
        <is>
          <t>Pasquotank County North County, Carolina</t>
        </is>
      </c>
    </row>
    <row r="272">
      <c r="C272" t="inlineStr">
        <is>
          <t>Perquimans County North County, Carolina</t>
        </is>
      </c>
    </row>
    <row r="273">
      <c r="C273" t="inlineStr">
        <is>
          <t>Richmond County North County, Carolina</t>
        </is>
      </c>
    </row>
    <row r="274">
      <c r="C274" t="inlineStr">
        <is>
          <t>Robeson County North County, Carolina</t>
        </is>
      </c>
    </row>
    <row r="275">
      <c r="C275" t="inlineStr">
        <is>
          <t>Rutherford County North County, Carolina</t>
        </is>
      </c>
    </row>
    <row r="276">
      <c r="C276" t="inlineStr">
        <is>
          <t>Sampson County North County, Carolina</t>
        </is>
      </c>
    </row>
    <row r="277">
      <c r="C277" t="inlineStr">
        <is>
          <t>Scotland County North County, Carolina</t>
        </is>
      </c>
    </row>
    <row r="278">
      <c r="C278" t="inlineStr">
        <is>
          <t>Surry County North County, Carolina</t>
        </is>
      </c>
    </row>
    <row r="279">
      <c r="C279" t="inlineStr">
        <is>
          <t>Transylvania County North County, Carolina</t>
        </is>
      </c>
    </row>
    <row r="280">
      <c r="C280" t="inlineStr">
        <is>
          <t>Vance County North County, Carolina</t>
        </is>
      </c>
    </row>
    <row r="281">
      <c r="C281" t="inlineStr">
        <is>
          <t>Washington County North County, Carolina</t>
        </is>
      </c>
    </row>
    <row r="282">
      <c r="C282" t="inlineStr">
        <is>
          <t>Watauga County North County, Carolina</t>
        </is>
      </c>
    </row>
    <row r="283">
      <c r="C283" t="inlineStr">
        <is>
          <t>Wilson County North County, Carolina</t>
        </is>
      </c>
    </row>
    <row r="284">
      <c r="C284" t="inlineStr">
        <is>
          <t>Yancey County North County, Carolina</t>
        </is>
      </c>
    </row>
    <row r="285">
      <c r="C285" t="inlineStr">
        <is>
          <t>Johnston County North County, Carolina</t>
        </is>
      </c>
    </row>
    <row r="286">
      <c r="B286" t="inlineStr">
        <is>
          <t>@PNC Bank AA</t>
        </is>
      </c>
      <c r="C286" t="inlineStr">
        <is>
          <t>Wake County North County, Carolina</t>
        </is>
      </c>
    </row>
    <row r="287">
      <c r="C287" t="inlineStr">
        <is>
          <t>Edgecombe County North County, Carolina</t>
        </is>
      </c>
    </row>
    <row r="288">
      <c r="B288" t="inlineStr">
        <is>
          <t>@PNC Bank AA</t>
        </is>
      </c>
      <c r="C288" t="inlineStr">
        <is>
          <t>Nash County North County, Carolina</t>
        </is>
      </c>
    </row>
    <row r="289">
      <c r="C289" t="inlineStr">
        <is>
          <t>Currituck County North County, Carolina</t>
        </is>
      </c>
    </row>
    <row r="290">
      <c r="B290" t="inlineStr">
        <is>
          <t>@PNC Bank AA</t>
        </is>
      </c>
      <c r="C290" t="inlineStr">
        <is>
          <t>New Hanover County North County, Carolina</t>
        </is>
      </c>
    </row>
    <row r="291">
      <c r="B291" t="inlineStr">
        <is>
          <t>@PNC Bank AA</t>
        </is>
      </c>
      <c r="C291" t="inlineStr">
        <is>
          <t>Pender County North County, Carolina</t>
        </is>
      </c>
    </row>
    <row r="292">
      <c r="C292" t="inlineStr">
        <is>
          <t>Forsyth County North County, Carolina</t>
        </is>
      </c>
    </row>
    <row r="293">
      <c r="B293" t="inlineStr">
        <is>
          <t>@PNC Bank AA</t>
        </is>
      </c>
      <c r="C293" t="inlineStr">
        <is>
          <t>Portage County, Ohio</t>
        </is>
      </c>
    </row>
    <row r="294">
      <c r="A294" t="inlineStr">
        <is>
          <t>Ohio</t>
        </is>
      </c>
      <c r="B294" t="inlineStr">
        <is>
          <t>@PNC Bank AA</t>
        </is>
      </c>
      <c r="C294" t="inlineStr">
        <is>
          <t>Summit County, Ohio</t>
        </is>
      </c>
    </row>
    <row r="295">
      <c r="C295" t="inlineStr">
        <is>
          <t>Carroll County, Ohio</t>
        </is>
      </c>
    </row>
    <row r="296">
      <c r="B296" t="inlineStr">
        <is>
          <t>@PNC Bank AA</t>
        </is>
      </c>
      <c r="C296" t="inlineStr">
        <is>
          <t>Stark County, Ohio</t>
        </is>
      </c>
    </row>
    <row r="297">
      <c r="C297" t="inlineStr">
        <is>
          <t>Butler County, Ohio</t>
        </is>
      </c>
    </row>
    <row r="298">
      <c r="B298" t="inlineStr">
        <is>
          <t>@PNC Bank AA</t>
        </is>
      </c>
      <c r="C298" t="inlineStr">
        <is>
          <t>Clermont County, Ohio</t>
        </is>
      </c>
    </row>
    <row r="299">
      <c r="C299" t="inlineStr">
        <is>
          <t>Hamilton County, Ohio</t>
        </is>
      </c>
    </row>
    <row r="300">
      <c r="C300" t="inlineStr">
        <is>
          <t>Warren County, Ohio</t>
        </is>
      </c>
    </row>
    <row r="301">
      <c r="C301" t="inlineStr">
        <is>
          <t>Cuyahoga County, Ohio</t>
        </is>
      </c>
    </row>
    <row r="302">
      <c r="B302" t="inlineStr">
        <is>
          <t>@PNC Bank AA</t>
        </is>
      </c>
      <c r="C302" t="inlineStr">
        <is>
          <t>Geauga County, Ohio</t>
        </is>
      </c>
    </row>
    <row r="303">
      <c r="C303" t="inlineStr">
        <is>
          <t>Lake County, Ohio</t>
        </is>
      </c>
    </row>
    <row r="304">
      <c r="C304" t="inlineStr">
        <is>
          <t>Lorain County, Ohio</t>
        </is>
      </c>
    </row>
    <row r="305">
      <c r="C305" t="inlineStr">
        <is>
          <t>Medina County, Ohio</t>
        </is>
      </c>
    </row>
    <row r="306">
      <c r="C306" t="inlineStr">
        <is>
          <t>Delaware County, Ohio</t>
        </is>
      </c>
    </row>
    <row r="307">
      <c r="B307" t="inlineStr">
        <is>
          <t>@PNC Bank AA</t>
        </is>
      </c>
      <c r="C307" t="inlineStr">
        <is>
          <t>Fairfield County, Ohio</t>
        </is>
      </c>
    </row>
    <row r="308">
      <c r="C308" t="inlineStr">
        <is>
          <t>Franklin County, Ohio</t>
        </is>
      </c>
    </row>
    <row r="309">
      <c r="C309" t="inlineStr">
        <is>
          <t>Hocking County, Ohio</t>
        </is>
      </c>
    </row>
    <row r="310">
      <c r="C310" t="inlineStr">
        <is>
          <t>Licking County, Ohio</t>
        </is>
      </c>
    </row>
    <row r="311">
      <c r="C311" t="inlineStr">
        <is>
          <t>Madison County, Ohio</t>
        </is>
      </c>
    </row>
    <row r="312">
      <c r="C312" t="inlineStr">
        <is>
          <t>Perry County, Ohio</t>
        </is>
      </c>
    </row>
    <row r="313">
      <c r="C313" t="inlineStr">
        <is>
          <t>Pickaway County, Ohio</t>
        </is>
      </c>
    </row>
    <row r="314">
      <c r="C314" t="inlineStr">
        <is>
          <t>Union County, Ohio</t>
        </is>
      </c>
    </row>
    <row r="315">
      <c r="C315" t="inlineStr">
        <is>
          <t>Greene County, Ohio</t>
        </is>
      </c>
    </row>
    <row r="316">
      <c r="B316" t="inlineStr">
        <is>
          <t>@PNC Bank AA</t>
        </is>
      </c>
      <c r="C316" t="inlineStr">
        <is>
          <t>Miami County, Ohio</t>
        </is>
      </c>
    </row>
    <row r="317">
      <c r="C317" t="inlineStr">
        <is>
          <t>Montgomery County, Ohio</t>
        </is>
      </c>
    </row>
    <row r="318">
      <c r="C318" t="inlineStr">
        <is>
          <t>Lawrence County, Ohio</t>
        </is>
      </c>
    </row>
    <row r="319">
      <c r="B319" t="inlineStr">
        <is>
          <t>@PNC Bank AA</t>
        </is>
      </c>
      <c r="C319" t="inlineStr">
        <is>
          <t>Richland County, Ohio</t>
        </is>
      </c>
    </row>
    <row r="320">
      <c r="B320" t="inlineStr">
        <is>
          <t>@PNC Bank AA</t>
        </is>
      </c>
      <c r="C320" t="inlineStr">
        <is>
          <t>Ashland County, Ohio</t>
        </is>
      </c>
    </row>
    <row r="321">
      <c r="B321" t="inlineStr">
        <is>
          <t>@PNC Bank AA</t>
        </is>
      </c>
      <c r="C321" t="inlineStr">
        <is>
          <t>Clinton County, Ohio</t>
        </is>
      </c>
    </row>
    <row r="322">
      <c r="C322" t="inlineStr">
        <is>
          <t>Columbiana County, Ohio</t>
        </is>
      </c>
    </row>
    <row r="323">
      <c r="C323" t="inlineStr">
        <is>
          <t>Coshocton County, Ohio</t>
        </is>
      </c>
    </row>
    <row r="324">
      <c r="C324" t="inlineStr">
        <is>
          <t>Erie County, Ohio</t>
        </is>
      </c>
    </row>
    <row r="325">
      <c r="C325" t="inlineStr">
        <is>
          <t>Fayette County, Ohio</t>
        </is>
      </c>
    </row>
    <row r="326">
      <c r="C326" t="inlineStr">
        <is>
          <t>Guernsey County, Ohio</t>
        </is>
      </c>
    </row>
    <row r="327">
      <c r="C327" t="inlineStr">
        <is>
          <t>Harrison County, Ohio</t>
        </is>
      </c>
    </row>
    <row r="328">
      <c r="C328" t="inlineStr">
        <is>
          <t>Henry County, Ohio</t>
        </is>
      </c>
    </row>
    <row r="329">
      <c r="C329" t="inlineStr">
        <is>
          <t>Holmes County, Ohio</t>
        </is>
      </c>
    </row>
    <row r="330">
      <c r="C330" t="inlineStr">
        <is>
          <t>Huron County, Ohio</t>
        </is>
      </c>
    </row>
    <row r="331">
      <c r="C331" t="inlineStr">
        <is>
          <t>Jackson County, Ohio</t>
        </is>
      </c>
    </row>
    <row r="332">
      <c r="C332" t="inlineStr">
        <is>
          <t>Knox County, Ohio</t>
        </is>
      </c>
    </row>
    <row r="333">
      <c r="C333" t="inlineStr">
        <is>
          <t>Logan County, Ohio</t>
        </is>
      </c>
    </row>
    <row r="334">
      <c r="C334" t="inlineStr">
        <is>
          <t>Marion County, Ohio</t>
        </is>
      </c>
    </row>
    <row r="335">
      <c r="C335" t="inlineStr">
        <is>
          <t>Muskingum County, Ohio</t>
        </is>
      </c>
    </row>
    <row r="336">
      <c r="C336" t="inlineStr">
        <is>
          <t>Ross County, Ohio</t>
        </is>
      </c>
    </row>
    <row r="337">
      <c r="C337" t="inlineStr">
        <is>
          <t>Sandusky County, Ohio</t>
        </is>
      </c>
    </row>
    <row r="338">
      <c r="C338" t="inlineStr">
        <is>
          <t>Scioto County, Ohio</t>
        </is>
      </c>
    </row>
    <row r="339">
      <c r="C339" t="inlineStr">
        <is>
          <t>Seneca County, Ohio</t>
        </is>
      </c>
    </row>
    <row r="340">
      <c r="C340" t="inlineStr">
        <is>
          <t>Shelby County, Ohio</t>
        </is>
      </c>
    </row>
    <row r="341">
      <c r="C341" t="inlineStr">
        <is>
          <t>Tuscarawas County, Ohio</t>
        </is>
      </c>
    </row>
    <row r="342">
      <c r="C342" t="inlineStr">
        <is>
          <t>Wayne County, Ohio</t>
        </is>
      </c>
    </row>
    <row r="343">
      <c r="C343" t="inlineStr">
        <is>
          <t>Williams County, Ohio</t>
        </is>
      </c>
    </row>
    <row r="344">
      <c r="C344" t="inlineStr">
        <is>
          <t>Clark County, Ohio</t>
        </is>
      </c>
    </row>
    <row r="345">
      <c r="B345" t="inlineStr">
        <is>
          <t>@PNC Bank AA</t>
        </is>
      </c>
      <c r="C345" t="inlineStr">
        <is>
          <t>Fulton County, Ohio</t>
        </is>
      </c>
    </row>
    <row r="346">
      <c r="B346" t="inlineStr">
        <is>
          <t>@PNC Bank AA</t>
        </is>
      </c>
      <c r="C346" t="inlineStr">
        <is>
          <t>Lucas County, Ohio</t>
        </is>
      </c>
    </row>
    <row r="347">
      <c r="C347" t="inlineStr">
        <is>
          <t>Wood County, Ohio</t>
        </is>
      </c>
    </row>
    <row r="348">
      <c r="C348" t="inlineStr">
        <is>
          <t>Jefferson County, Ohio</t>
        </is>
      </c>
    </row>
    <row r="349">
      <c r="B349" t="inlineStr">
        <is>
          <t>@PNC Bank AA</t>
        </is>
      </c>
      <c r="C349" t="inlineStr">
        <is>
          <t>Belmont County, Ohio</t>
        </is>
      </c>
    </row>
    <row r="350">
      <c r="B350" t="inlineStr">
        <is>
          <t>@PNC Bank AA</t>
        </is>
      </c>
      <c r="C350" t="inlineStr">
        <is>
          <t>Mahoning County, Ohio</t>
        </is>
      </c>
    </row>
    <row r="351">
      <c r="B351" t="inlineStr">
        <is>
          <t>@PNC Bank AA</t>
        </is>
      </c>
      <c r="C351" t="inlineStr">
        <is>
          <t>Trumbull County, Ohio</t>
        </is>
      </c>
    </row>
    <row r="352">
      <c r="C352" t="inlineStr">
        <is>
          <t>Carbon County, Pennsylvania</t>
        </is>
      </c>
    </row>
    <row r="353">
      <c r="A353" t="inlineStr">
        <is>
          <t>Pennsylvania</t>
        </is>
      </c>
      <c r="B353" t="inlineStr">
        <is>
          <t>@PNC Bank AA</t>
        </is>
      </c>
      <c r="C353" t="inlineStr">
        <is>
          <t>Lehigh County, Pennsylvania</t>
        </is>
      </c>
    </row>
    <row r="354">
      <c r="C354" t="inlineStr">
        <is>
          <t>Northampton County, Pennsylvania</t>
        </is>
      </c>
    </row>
    <row r="355">
      <c r="C355" t="inlineStr">
        <is>
          <t>Blair County, Pennsylvania</t>
        </is>
      </c>
    </row>
    <row r="356">
      <c r="B356" t="inlineStr">
        <is>
          <t>@PNC Bank AA</t>
        </is>
      </c>
      <c r="C356" t="inlineStr">
        <is>
          <t>Columbia County, Pennsylvania</t>
        </is>
      </c>
    </row>
    <row r="357">
      <c r="B357" t="inlineStr">
        <is>
          <t>@PNC Bank AA</t>
        </is>
      </c>
      <c r="C357" t="inlineStr">
        <is>
          <t>Monroe County, Pennsylvania</t>
        </is>
      </c>
    </row>
    <row r="358">
      <c r="B358" t="inlineStr">
        <is>
          <t>@PNC Bank AA</t>
        </is>
      </c>
      <c r="C358" t="inlineStr">
        <is>
          <t>Erie County, Pennsylvania</t>
        </is>
      </c>
    </row>
    <row r="359">
      <c r="B359" t="inlineStr">
        <is>
          <t>@PNC Bank AA</t>
        </is>
      </c>
      <c r="C359" t="inlineStr">
        <is>
          <t>Adams County, Pennsylvania</t>
        </is>
      </c>
    </row>
    <row r="360">
      <c r="B360" t="inlineStr">
        <is>
          <t>@PNC Bank AA</t>
        </is>
      </c>
      <c r="C360" t="inlineStr">
        <is>
          <t>Cumberland County, Pennsylvania</t>
        </is>
      </c>
    </row>
    <row r="361">
      <c r="B361" t="inlineStr">
        <is>
          <t>@PNC Bank AA</t>
        </is>
      </c>
      <c r="C361" t="inlineStr">
        <is>
          <t>Dauphin County, Pennsylvania</t>
        </is>
      </c>
    </row>
    <row r="362">
      <c r="C362" t="inlineStr">
        <is>
          <t>Perry County, Pennsylvania</t>
        </is>
      </c>
    </row>
    <row r="363">
      <c r="C363" t="inlineStr">
        <is>
          <t>Lancaster County, Pennsylvania</t>
        </is>
      </c>
    </row>
    <row r="364">
      <c r="B364" t="inlineStr">
        <is>
          <t>@PNC Bank AA</t>
        </is>
      </c>
      <c r="C364" t="inlineStr">
        <is>
          <t>Lebanon County, Pennsylvania</t>
        </is>
      </c>
    </row>
    <row r="365">
      <c r="B365" t="inlineStr">
        <is>
          <t>@PNC Bank AA</t>
        </is>
      </c>
      <c r="C365" t="inlineStr">
        <is>
          <t>Pike County, Pennsylvania</t>
        </is>
      </c>
    </row>
    <row r="366">
      <c r="B366" t="inlineStr">
        <is>
          <t>@PNC Bank AA</t>
        </is>
      </c>
      <c r="C366" t="inlineStr">
        <is>
          <t>Clarion County, Pennsylvania</t>
        </is>
      </c>
    </row>
    <row r="367">
      <c r="B367" t="inlineStr">
        <is>
          <t>@PNC Bank AA</t>
        </is>
      </c>
      <c r="C367" t="inlineStr">
        <is>
          <t>Clearfield County, Pennsylvania</t>
        </is>
      </c>
    </row>
    <row r="368">
      <c r="C368" t="inlineStr">
        <is>
          <t>Crawford County, Pennsylvania</t>
        </is>
      </c>
    </row>
    <row r="369">
      <c r="C369" t="inlineStr">
        <is>
          <t>Elk County, Pennsylvania</t>
        </is>
      </c>
    </row>
    <row r="370">
      <c r="C370" t="inlineStr">
        <is>
          <t>Greene County, Pennsylvania</t>
        </is>
      </c>
    </row>
    <row r="371">
      <c r="C371" t="inlineStr">
        <is>
          <t>Huntingdon County, Pennsylvania</t>
        </is>
      </c>
    </row>
    <row r="372">
      <c r="C372" t="inlineStr">
        <is>
          <t>Indiana County, Pennsylvania</t>
        </is>
      </c>
    </row>
    <row r="373">
      <c r="C373" t="inlineStr">
        <is>
          <t>Jefferson County, Pennsylvania</t>
        </is>
      </c>
    </row>
    <row r="374">
      <c r="C374" t="inlineStr">
        <is>
          <t>Lawrence County, Pennsylvania</t>
        </is>
      </c>
    </row>
    <row r="375">
      <c r="C375" t="inlineStr">
        <is>
          <t>McKean County, Pennsylvania</t>
        </is>
      </c>
    </row>
    <row r="376">
      <c r="C376" t="inlineStr">
        <is>
          <t>Somerset County, Pennsylvania</t>
        </is>
      </c>
    </row>
    <row r="377">
      <c r="C377" t="inlineStr">
        <is>
          <t>Venango County, Pennsylvania</t>
        </is>
      </c>
    </row>
    <row r="378">
      <c r="C378" t="inlineStr">
        <is>
          <t>Warren County, Pennsylvania</t>
        </is>
      </c>
    </row>
    <row r="379">
      <c r="C379" t="inlineStr">
        <is>
          <t>Wayne County, Pennsylvania</t>
        </is>
      </c>
    </row>
    <row r="380">
      <c r="C380" t="inlineStr">
        <is>
          <t>Bucks County, Pennsylvania</t>
        </is>
      </c>
    </row>
    <row r="381">
      <c r="B381" t="inlineStr">
        <is>
          <t>@PNC Bank AA</t>
        </is>
      </c>
      <c r="C381" t="inlineStr">
        <is>
          <t>Chester County, Pennsylvania</t>
        </is>
      </c>
    </row>
    <row r="382">
      <c r="C382" t="inlineStr">
        <is>
          <t>Delaware County, Pennsylvania</t>
        </is>
      </c>
    </row>
    <row r="383">
      <c r="C383" t="inlineStr">
        <is>
          <t>Montgomery County, Pennsylvania</t>
        </is>
      </c>
    </row>
    <row r="384">
      <c r="C384" t="inlineStr">
        <is>
          <t>Philadelphia County, Pennsylvania</t>
        </is>
      </c>
    </row>
    <row r="385">
      <c r="C385" t="inlineStr">
        <is>
          <t>Allegheny County, Pennsylvania</t>
        </is>
      </c>
    </row>
    <row r="386">
      <c r="B386" t="inlineStr">
        <is>
          <t>@PNC Bank AA</t>
        </is>
      </c>
      <c r="C386" t="inlineStr">
        <is>
          <t>Beaver County, Pennsylvania</t>
        </is>
      </c>
    </row>
    <row r="387">
      <c r="C387" t="inlineStr">
        <is>
          <t>Butler County, Pennsylvania</t>
        </is>
      </c>
    </row>
    <row r="388">
      <c r="C388" t="inlineStr">
        <is>
          <t>Fayette County, Pennsylvania</t>
        </is>
      </c>
    </row>
    <row r="389">
      <c r="C389" t="inlineStr">
        <is>
          <t>Washington County, Pennsylvania</t>
        </is>
      </c>
    </row>
    <row r="390">
      <c r="C390" t="inlineStr">
        <is>
          <t>Westmoreland County, Pennsylvania</t>
        </is>
      </c>
    </row>
    <row r="391">
      <c r="C391" t="inlineStr">
        <is>
          <t>Berks County, Pennsylvania</t>
        </is>
      </c>
    </row>
    <row r="392">
      <c r="B392" t="inlineStr">
        <is>
          <t>@PNC Bank AA</t>
        </is>
      </c>
      <c r="C392" t="inlineStr">
        <is>
          <t>Lackawanna County, Pennsylvania</t>
        </is>
      </c>
    </row>
    <row r="393">
      <c r="B393" t="inlineStr">
        <is>
          <t>@PNC Bank AA</t>
        </is>
      </c>
      <c r="C393" t="inlineStr">
        <is>
          <t>Luzerne County, Pennsylvania</t>
        </is>
      </c>
    </row>
    <row r="394">
      <c r="C394" t="inlineStr">
        <is>
          <t>Centre County, Pennsylvania</t>
        </is>
      </c>
    </row>
    <row r="395">
      <c r="B395" t="inlineStr">
        <is>
          <t>@PNC Bank AA</t>
        </is>
      </c>
      <c r="C395" t="inlineStr">
        <is>
          <t>Lycoming County, Pennsylvania</t>
        </is>
      </c>
    </row>
    <row r="396">
      <c r="B396" t="inlineStr">
        <is>
          <t>@PNC Bank AA</t>
        </is>
      </c>
      <c r="C396" t="inlineStr">
        <is>
          <t>York County, Pennsylvania</t>
        </is>
      </c>
    </row>
    <row r="397">
      <c r="B397" t="inlineStr">
        <is>
          <t>@PNC Bank AA</t>
        </is>
      </c>
      <c r="C397" t="inlineStr">
        <is>
          <t>Mercer County, Pennsylvania</t>
        </is>
      </c>
    </row>
    <row r="398">
      <c r="B398" t="inlineStr">
        <is>
          <t>@PNC Bank AA</t>
        </is>
      </c>
      <c r="C398" t="inlineStr">
        <is>
          <t>Charleston County South County, Carolina</t>
        </is>
      </c>
    </row>
    <row r="399">
      <c r="A399" t="inlineStr">
        <is>
          <t>Carolina</t>
        </is>
      </c>
      <c r="B399" t="inlineStr">
        <is>
          <t>@PNC Bank AA</t>
        </is>
      </c>
      <c r="C399" t="inlineStr">
        <is>
          <t>York County South County, Carolina</t>
        </is>
      </c>
    </row>
    <row r="400">
      <c r="B400" t="inlineStr">
        <is>
          <t>@PNC Bank AA</t>
        </is>
      </c>
      <c r="C400" t="inlineStr">
        <is>
          <t>Richland County South County, Carolina</t>
        </is>
      </c>
    </row>
    <row r="401">
      <c r="B401" t="inlineStr">
        <is>
          <t>@PNC Bank AA</t>
        </is>
      </c>
      <c r="C401" t="inlineStr">
        <is>
          <t>Florence County South County, Carolina</t>
        </is>
      </c>
    </row>
    <row r="402">
      <c r="B402" t="inlineStr">
        <is>
          <t>@PNC Bank AA</t>
        </is>
      </c>
      <c r="C402" t="inlineStr">
        <is>
          <t>Greenville County South County, Carolina</t>
        </is>
      </c>
    </row>
    <row r="403">
      <c r="B403" t="inlineStr">
        <is>
          <t>@PNC Bank AA</t>
        </is>
      </c>
      <c r="C403" t="inlineStr">
        <is>
          <t>Pickens County South County, Carolina</t>
        </is>
      </c>
    </row>
    <row r="404">
      <c r="C404" t="inlineStr">
        <is>
          <t>Beaufort County South County, Carolina</t>
        </is>
      </c>
    </row>
    <row r="405">
      <c r="B405" t="inlineStr">
        <is>
          <t>@PNC Bank AA</t>
        </is>
      </c>
      <c r="C405" t="inlineStr">
        <is>
          <t>Horry County South County, Carolina</t>
        </is>
      </c>
    </row>
    <row r="406" ht="21.75" customHeight="1" s="47">
      <c r="B406" t="inlineStr">
        <is>
          <t>@PNC Bank AA</t>
        </is>
      </c>
      <c r="C406" t="inlineStr">
        <is>
          <t>Georgetown County South County, Carolina</t>
        </is>
      </c>
    </row>
    <row r="407">
      <c r="B407" t="inlineStr">
        <is>
          <t>@PNC Bank AA</t>
        </is>
      </c>
      <c r="C407" t="inlineStr">
        <is>
          <t>Davidson County, Tennessee</t>
        </is>
      </c>
    </row>
    <row r="408">
      <c r="A408" t="inlineStr">
        <is>
          <t>Tennessee</t>
        </is>
      </c>
      <c r="B408" t="inlineStr">
        <is>
          <t>@PNC Bank AA</t>
        </is>
      </c>
      <c r="C408" t="inlineStr">
        <is>
          <t>Sumner County, Tennessee</t>
        </is>
      </c>
    </row>
    <row r="409">
      <c r="C409" t="inlineStr">
        <is>
          <t>Williamson County, Tennessee</t>
        </is>
      </c>
    </row>
    <row r="410">
      <c r="C410" t="inlineStr">
        <is>
          <t>Collin County, Texas</t>
        </is>
      </c>
    </row>
    <row r="411">
      <c r="A411" t="inlineStr">
        <is>
          <t>Texas</t>
        </is>
      </c>
      <c r="B411" t="inlineStr">
        <is>
          <t>@PNC Bank AA</t>
        </is>
      </c>
      <c r="C411" t="inlineStr">
        <is>
          <t>Dallas County, Texas</t>
        </is>
      </c>
    </row>
    <row r="412">
      <c r="C412" t="inlineStr">
        <is>
          <t>Denton County, Texas</t>
        </is>
      </c>
    </row>
    <row r="413">
      <c r="C413" t="inlineStr">
        <is>
          <t>Tarrant County, Texas</t>
        </is>
      </c>
    </row>
    <row r="414">
      <c r="C414" t="inlineStr">
        <is>
          <t>Fort Bend County, Texas</t>
        </is>
      </c>
    </row>
    <row r="415">
      <c r="B415" t="inlineStr">
        <is>
          <t>@PNC Bank AA</t>
        </is>
      </c>
      <c r="C415" t="inlineStr">
        <is>
          <t>Harris County, Texas</t>
        </is>
      </c>
    </row>
    <row r="416">
      <c r="C416" t="inlineStr">
        <is>
          <t>Montgomery County, Texas</t>
        </is>
      </c>
    </row>
    <row r="417">
      <c r="C417" t="inlineStr">
        <is>
          <t>James City County, Virginia</t>
        </is>
      </c>
    </row>
    <row r="418">
      <c r="A418" t="inlineStr">
        <is>
          <t>Virginia</t>
        </is>
      </c>
      <c r="B418" t="inlineStr">
        <is>
          <t>@PNC Bank AA</t>
        </is>
      </c>
      <c r="C418" t="inlineStr">
        <is>
          <t>Accomack County, Virginia</t>
        </is>
      </c>
    </row>
    <row r="419">
      <c r="B419" t="inlineStr">
        <is>
          <t>@PNC Bank AA</t>
        </is>
      </c>
      <c r="C419" t="inlineStr">
        <is>
          <t>Northampton County, Virginia</t>
        </is>
      </c>
    </row>
    <row r="420">
      <c r="C420" t="inlineStr">
        <is>
          <t>Arlington County, Virginia</t>
        </is>
      </c>
    </row>
    <row r="421">
      <c r="B421" t="inlineStr">
        <is>
          <t>@PNC Bank AA</t>
        </is>
      </c>
      <c r="C421" t="inlineStr">
        <is>
          <t>Fairfax County, Virginia</t>
        </is>
      </c>
    </row>
    <row r="422">
      <c r="C422" t="inlineStr">
        <is>
          <t>Fauquier County, Virginia</t>
        </is>
      </c>
    </row>
    <row r="423">
      <c r="C423" t="inlineStr">
        <is>
          <t>Loudoun County, Virginia</t>
        </is>
      </c>
    </row>
    <row r="424">
      <c r="C424" t="inlineStr">
        <is>
          <t>Prince William County, Virginia</t>
        </is>
      </c>
    </row>
    <row r="425">
      <c r="C425" t="inlineStr">
        <is>
          <t>Spotsylvania County, Virginia</t>
        </is>
      </c>
    </row>
    <row r="426">
      <c r="C426" t="inlineStr">
        <is>
          <t>Stafford County, Virginia</t>
        </is>
      </c>
    </row>
    <row r="427">
      <c r="C427" t="inlineStr">
        <is>
          <t>Mineral County West County, Virginia</t>
        </is>
      </c>
    </row>
    <row r="428">
      <c r="A428" t="inlineStr">
        <is>
          <t>Virginia</t>
        </is>
      </c>
      <c r="B428" t="inlineStr">
        <is>
          <t>@PNC Bank AA</t>
        </is>
      </c>
      <c r="C428" t="inlineStr">
        <is>
          <t>Cabell County West County, Virginia</t>
        </is>
      </c>
    </row>
    <row r="429">
      <c r="B429" t="inlineStr">
        <is>
          <t>@PNC Bank AA</t>
        </is>
      </c>
      <c r="C429" t="inlineStr">
        <is>
          <t>Monongalia County West County, Virginia</t>
        </is>
      </c>
    </row>
    <row r="430">
      <c r="B430" t="inlineStr">
        <is>
          <t>@PNC Bank AA</t>
        </is>
      </c>
      <c r="C430" t="inlineStr">
        <is>
          <t>Kenosha County, Wisconsin</t>
        </is>
      </c>
    </row>
    <row r="431">
      <c r="A431" t="inlineStr">
        <is>
          <t>Wisconsin</t>
        </is>
      </c>
      <c r="B431" t="inlineStr">
        <is>
          <t>@PNC Bank AA</t>
        </is>
      </c>
      <c r="C431" t="inlineStr">
        <is>
          <t>Milwaukee County, Wisconsin</t>
        </is>
      </c>
    </row>
    <row r="432">
      <c r="B432" t="inlineStr">
        <is>
          <t>@PNC Bank AA</t>
        </is>
      </c>
      <c r="C432" t="inlineStr">
        <is>
          <t>Ozaukee County, Wisconsin</t>
        </is>
      </c>
    </row>
    <row r="433">
      <c r="C433" t="inlineStr">
        <is>
          <t>Washington County, Wisconsin</t>
        </is>
      </c>
    </row>
    <row r="434">
      <c r="C434" t="inlineStr">
        <is>
          <t>Waukesha County, Wisconsin</t>
        </is>
      </c>
    </row>
    <row r="435">
      <c r="C435" t="inlineStr">
        <is>
          <t>Walworth County, Wisconsin</t>
        </is>
      </c>
    </row>
    <row r="436"/>
  </sheetData>
  <mergeCells count="100">
    <mergeCell ref="A21:A23"/>
    <mergeCell ref="B408:B410"/>
    <mergeCell ref="B421:B427"/>
    <mergeCell ref="B12:B13"/>
    <mergeCell ref="A51:A65"/>
    <mergeCell ref="B179:B180"/>
    <mergeCell ref="A162:A165"/>
    <mergeCell ref="B68:B74"/>
    <mergeCell ref="B39:B42"/>
    <mergeCell ref="A411:A417"/>
    <mergeCell ref="B78:B79"/>
    <mergeCell ref="E6:E27"/>
    <mergeCell ref="B7:B9"/>
    <mergeCell ref="E2:E3"/>
    <mergeCell ref="B150:B152"/>
    <mergeCell ref="B80:B81"/>
    <mergeCell ref="B258:B285"/>
    <mergeCell ref="B288:B289"/>
    <mergeCell ref="B419:B420"/>
    <mergeCell ref="B125:B131"/>
    <mergeCell ref="B403:B404"/>
    <mergeCell ref="B228:B230"/>
    <mergeCell ref="A399:A407"/>
    <mergeCell ref="A353:A398"/>
    <mergeCell ref="B26:B27"/>
    <mergeCell ref="A66:A83"/>
    <mergeCell ref="A84:A116"/>
    <mergeCell ref="B386:B391"/>
    <mergeCell ref="B367:B380"/>
    <mergeCell ref="E4:E5"/>
    <mergeCell ref="B253:B254"/>
    <mergeCell ref="A207:A212"/>
    <mergeCell ref="B2:B5"/>
    <mergeCell ref="F2:F3"/>
    <mergeCell ref="A213:A232"/>
    <mergeCell ref="B294:B295"/>
    <mergeCell ref="B154:B156"/>
    <mergeCell ref="B361:B363"/>
    <mergeCell ref="B44:B45"/>
    <mergeCell ref="B215:B226"/>
    <mergeCell ref="B393:B394"/>
    <mergeCell ref="B353:B355"/>
    <mergeCell ref="B30:B31"/>
    <mergeCell ref="A418:A427"/>
    <mergeCell ref="B48:B50"/>
    <mergeCell ref="F4:F5"/>
    <mergeCell ref="B175:B177"/>
    <mergeCell ref="B346:B348"/>
    <mergeCell ref="B411:B414"/>
    <mergeCell ref="F16:F26"/>
    <mergeCell ref="B141:B146"/>
    <mergeCell ref="B316:B318"/>
    <mergeCell ref="B15:B17"/>
    <mergeCell ref="B291:B292"/>
    <mergeCell ref="B242:B245"/>
    <mergeCell ref="B89:B91"/>
    <mergeCell ref="B250:B251"/>
    <mergeCell ref="B113:B115"/>
    <mergeCell ref="B415:B417"/>
    <mergeCell ref="B63:B65"/>
    <mergeCell ref="B169:B173"/>
    <mergeCell ref="B234:B235"/>
    <mergeCell ref="B181:B184"/>
    <mergeCell ref="B92:B100"/>
    <mergeCell ref="B237:B241"/>
    <mergeCell ref="B302:B306"/>
    <mergeCell ref="B36:B37"/>
    <mergeCell ref="B162:B165"/>
    <mergeCell ref="A428:A430"/>
    <mergeCell ref="A118:A140"/>
    <mergeCell ref="F14:F15"/>
    <mergeCell ref="B132:B136"/>
    <mergeCell ref="B307:B315"/>
    <mergeCell ref="B85:B86"/>
    <mergeCell ref="B296:B297"/>
    <mergeCell ref="B119:B121"/>
    <mergeCell ref="B157:B161"/>
    <mergeCell ref="B351:B352"/>
    <mergeCell ref="B432:B435"/>
    <mergeCell ref="A431:A436"/>
    <mergeCell ref="B246:B248"/>
    <mergeCell ref="F6:F13"/>
    <mergeCell ref="A234:A293"/>
    <mergeCell ref="B51:B62"/>
    <mergeCell ref="A166:A206"/>
    <mergeCell ref="A25:A50"/>
    <mergeCell ref="B32:B34"/>
    <mergeCell ref="B101:B110"/>
    <mergeCell ref="B298:B301"/>
    <mergeCell ref="A408:A410"/>
    <mergeCell ref="A2:A18"/>
    <mergeCell ref="B185:B202"/>
    <mergeCell ref="A294:A352"/>
    <mergeCell ref="B208:B212"/>
    <mergeCell ref="B123:B124"/>
    <mergeCell ref="B321:B344"/>
    <mergeCell ref="A141:A161"/>
    <mergeCell ref="B381:B385"/>
    <mergeCell ref="B286:B287"/>
    <mergeCell ref="B137:B139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F2323"/>
  <sheetViews>
    <sheetView topLeftCell="A1811" workbookViewId="0">
      <selection activeCell="O1826" sqref="O1826"/>
    </sheetView>
  </sheetViews>
  <sheetFormatPr baseColWidth="8" defaultRowHeight="15" customHeight="1"/>
  <cols>
    <col width="15.7109375" bestFit="1" customWidth="1" style="47" min="1" max="1"/>
    <col width="36.5703125" bestFit="1" customWidth="1" style="35" min="2" max="2"/>
    <col width="13.42578125" customWidth="1" style="47" min="3" max="3"/>
    <col width="19.5703125" customWidth="1" style="47" min="4" max="4"/>
    <col width="18.140625" customWidth="1" style="47" min="5" max="5"/>
    <col width="23.42578125" customWidth="1" style="47" min="6" max="6"/>
  </cols>
  <sheetData>
    <row r="1">
      <c r="A1" s="46" t="inlineStr">
        <is>
          <t>State</t>
        </is>
      </c>
      <c r="B1" s="38" t="inlineStr">
        <is>
          <t>@PNC AA</t>
        </is>
      </c>
      <c r="C1" s="39" t="n"/>
      <c r="D1" s="46" t="inlineStr">
        <is>
          <t>PNC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Grand Total</t>
        </is>
      </c>
      <c r="C2" s="42" t="inlineStr">
        <is>
          <t>Loans</t>
        </is>
      </c>
      <c r="D2" s="25" t="n">
        <v>49287</v>
      </c>
      <c r="E2" s="25" t="n">
        <v>8253687</v>
      </c>
    </row>
    <row r="3">
      <c r="C3" s="42" t="inlineStr">
        <is>
          <t xml:space="preserve">LMICT% </t>
        </is>
      </c>
      <c r="D3" s="29" t="n">
        <v>0.1428571428571428</v>
      </c>
      <c r="E3" s="29" t="n">
        <v>0.105726872246696</v>
      </c>
      <c r="F3" s="31">
        <f>D3-E3</f>
        <v/>
      </c>
    </row>
    <row r="4">
      <c r="C4" s="42" t="inlineStr">
        <is>
          <t>LMIB%</t>
        </is>
      </c>
      <c r="D4" s="29" t="n">
        <v>0.1428571428571428</v>
      </c>
      <c r="E4" s="29" t="n">
        <v>0.1806167400881057</v>
      </c>
      <c r="F4" s="31">
        <f>D4-E4</f>
        <v/>
      </c>
    </row>
    <row r="5">
      <c r="C5" s="42" t="inlineStr">
        <is>
          <t>LMIB$</t>
        </is>
      </c>
      <c r="D5" s="48" t="n">
        <v>45000</v>
      </c>
      <c r="E5" s="48" t="n">
        <v>4145000</v>
      </c>
      <c r="F5" s="49" t="n"/>
    </row>
    <row r="6">
      <c r="C6" s="42" t="inlineStr">
        <is>
          <t>MMCT%</t>
        </is>
      </c>
      <c r="D6" s="29" t="n">
        <v>0.1428571428571428</v>
      </c>
      <c r="E6" s="29" t="n">
        <v>0.1629955947136564</v>
      </c>
      <c r="F6" s="31">
        <f>D6-E6</f>
        <v/>
      </c>
    </row>
    <row r="7">
      <c r="C7" s="42" t="inlineStr">
        <is>
          <t>MINB%</t>
        </is>
      </c>
      <c r="D7" s="29" t="n">
        <v>0</v>
      </c>
      <c r="E7" s="29" t="n">
        <v>0.03524229074889868</v>
      </c>
      <c r="F7" s="31">
        <f>D7-E7</f>
        <v/>
      </c>
    </row>
    <row r="8">
      <c r="C8" s="42" t="inlineStr">
        <is>
          <t>Asian%</t>
        </is>
      </c>
      <c r="D8" s="29" t="n">
        <v>0</v>
      </c>
      <c r="E8" s="29" t="n">
        <v>0</v>
      </c>
      <c r="F8" s="31">
        <f>D8-E8</f>
        <v/>
      </c>
    </row>
    <row r="9">
      <c r="C9" s="42" t="inlineStr">
        <is>
          <t>Black%</t>
        </is>
      </c>
      <c r="D9" s="29" t="n">
        <v>0</v>
      </c>
      <c r="E9" s="29" t="n">
        <v>0</v>
      </c>
      <c r="F9" s="31">
        <f>D9-E9</f>
        <v/>
      </c>
    </row>
    <row r="10" ht="21.75" customHeight="1" s="47">
      <c r="C10" s="42" t="inlineStr">
        <is>
          <t>Native American%</t>
        </is>
      </c>
      <c r="D10" s="29" t="n">
        <v>0</v>
      </c>
      <c r="E10" s="29" t="n">
        <v>0</v>
      </c>
      <c r="F10" s="31">
        <f>D10-E10</f>
        <v/>
      </c>
    </row>
    <row r="11">
      <c r="C11" s="42" t="inlineStr">
        <is>
          <t>HoPI%</t>
        </is>
      </c>
      <c r="D11" s="29" t="n">
        <v>0</v>
      </c>
      <c r="E11" s="29" t="n">
        <v>0</v>
      </c>
      <c r="F11" s="31">
        <f>D11-E11</f>
        <v/>
      </c>
    </row>
    <row r="12">
      <c r="C12" s="42" t="inlineStr">
        <is>
          <t>Hispanic%</t>
        </is>
      </c>
      <c r="D12" s="29" t="n">
        <v>0</v>
      </c>
      <c r="E12" s="29" t="n">
        <v>0.03524229074889868</v>
      </c>
      <c r="F12" s="31">
        <f>D12-E12</f>
        <v/>
      </c>
    </row>
    <row r="13">
      <c r="A13" s="46" t="inlineStr">
        <is>
          <t>Alabama</t>
        </is>
      </c>
      <c r="B13" s="42" t="inlineStr">
        <is>
          <t>Alabama Non-MSA</t>
        </is>
      </c>
      <c r="C13" s="42" t="inlineStr">
        <is>
          <t>Loans</t>
        </is>
      </c>
      <c r="D13" s="46" t="n">
        <v>7</v>
      </c>
      <c r="E13" s="25" t="n">
        <v>227</v>
      </c>
    </row>
    <row r="14">
      <c r="C14" s="42" t="inlineStr">
        <is>
          <t xml:space="preserve">LMICT% </t>
        </is>
      </c>
      <c r="D14" s="29" t="n">
        <v>0.1351351351351351</v>
      </c>
      <c r="E14" s="29" t="n">
        <v>0.1858407079646018</v>
      </c>
      <c r="F14" s="31">
        <f>D14-E14</f>
        <v/>
      </c>
    </row>
    <row r="15">
      <c r="C15" s="42" t="inlineStr">
        <is>
          <t>LMIB%</t>
        </is>
      </c>
      <c r="D15" s="29" t="n">
        <v>0.2162162162162162</v>
      </c>
      <c r="E15" s="29" t="n">
        <v>0.3121480289621882</v>
      </c>
      <c r="F15" s="31">
        <f>D15-E15</f>
        <v/>
      </c>
    </row>
    <row r="16">
      <c r="C16" s="42" t="inlineStr">
        <is>
          <t>LMIB$</t>
        </is>
      </c>
      <c r="D16" s="48" t="n">
        <v>1120000</v>
      </c>
      <c r="E16" s="48" t="n">
        <v>77930000</v>
      </c>
      <c r="F16" s="49" t="n"/>
    </row>
    <row r="17">
      <c r="C17" s="42" t="inlineStr">
        <is>
          <t>MMCT%</t>
        </is>
      </c>
      <c r="D17" s="29" t="n">
        <v>0.1081081081081081</v>
      </c>
      <c r="E17" s="29" t="n">
        <v>0.1214802896218826</v>
      </c>
      <c r="F17" s="31">
        <f>D17-E17</f>
        <v/>
      </c>
    </row>
    <row r="18">
      <c r="C18" s="42" t="inlineStr">
        <is>
          <t>MINB%</t>
        </is>
      </c>
      <c r="D18" s="29" t="n">
        <v>0.02702702702702703</v>
      </c>
      <c r="E18" s="29" t="n">
        <v>0.03781174577634755</v>
      </c>
      <c r="F18" s="31">
        <f>D18-E18</f>
        <v/>
      </c>
    </row>
    <row r="19">
      <c r="C19" s="42" t="inlineStr">
        <is>
          <t>Asian%</t>
        </is>
      </c>
      <c r="D19" s="29" t="n">
        <v>0</v>
      </c>
      <c r="E19" s="29" t="n">
        <v>0</v>
      </c>
      <c r="F19" s="31">
        <f>D19-E19</f>
        <v/>
      </c>
    </row>
    <row r="20">
      <c r="C20" s="42" t="inlineStr">
        <is>
          <t>Black%</t>
        </is>
      </c>
      <c r="D20" s="29" t="n">
        <v>0</v>
      </c>
      <c r="E20" s="29" t="n">
        <v>0</v>
      </c>
      <c r="F20" s="31">
        <f>D20-E20</f>
        <v/>
      </c>
    </row>
    <row r="21" ht="21.75" customHeight="1" s="47">
      <c r="C21" s="42" t="inlineStr">
        <is>
          <t>Native American%</t>
        </is>
      </c>
      <c r="D21" s="29" t="n">
        <v>0</v>
      </c>
      <c r="E21" s="29" t="n">
        <v>0</v>
      </c>
      <c r="F21" s="31">
        <f>D21-E21</f>
        <v/>
      </c>
    </row>
    <row r="22">
      <c r="C22" s="42" t="inlineStr">
        <is>
          <t>HoPI%</t>
        </is>
      </c>
      <c r="D22" s="29" t="n">
        <v>0</v>
      </c>
      <c r="E22" s="29" t="n">
        <v>0</v>
      </c>
      <c r="F22" s="31">
        <f>D22-E22</f>
        <v/>
      </c>
    </row>
    <row r="23">
      <c r="C23" s="42" t="inlineStr">
        <is>
          <t>Hispanic%</t>
        </is>
      </c>
      <c r="D23" s="29" t="n">
        <v>0.02702702702702703</v>
      </c>
      <c r="E23" s="29" t="n">
        <v>0.03781174577634755</v>
      </c>
      <c r="F23" s="31">
        <f>D23-E23</f>
        <v/>
      </c>
    </row>
    <row r="24">
      <c r="B24" s="42" t="inlineStr">
        <is>
          <t>Auburn-Opelika, AL</t>
        </is>
      </c>
      <c r="C24" s="42" t="inlineStr">
        <is>
          <t>Loans</t>
        </is>
      </c>
      <c r="D24" s="46" t="n">
        <v>37</v>
      </c>
      <c r="E24" s="25" t="n">
        <v>1243</v>
      </c>
    </row>
    <row r="25">
      <c r="C25" s="42" t="inlineStr">
        <is>
          <t xml:space="preserve">LMICT% </t>
        </is>
      </c>
      <c r="D25" s="29" t="n">
        <v>0.08144796380090497</v>
      </c>
      <c r="E25" s="29" t="n">
        <v>0.136717014660151</v>
      </c>
      <c r="F25" s="31">
        <f>D25-E25</f>
        <v/>
      </c>
    </row>
    <row r="26">
      <c r="C26" s="42" t="inlineStr">
        <is>
          <t>LMIB%</t>
        </is>
      </c>
      <c r="D26" s="29" t="n">
        <v>0.2579185520361991</v>
      </c>
      <c r="E26" s="29" t="n">
        <v>0.3175255442025766</v>
      </c>
      <c r="F26" s="31">
        <f>D26-E26</f>
        <v/>
      </c>
    </row>
    <row r="27">
      <c r="C27" s="42" t="inlineStr">
        <is>
          <t>LMIB$</t>
        </is>
      </c>
      <c r="D27" s="48" t="n">
        <v>9105000</v>
      </c>
      <c r="E27" s="48" t="n">
        <v>500045000</v>
      </c>
      <c r="F27" s="49" t="n"/>
    </row>
    <row r="28">
      <c r="C28" s="42" t="inlineStr">
        <is>
          <t>MMCT%</t>
        </is>
      </c>
      <c r="D28" s="29" t="n">
        <v>0.1493212669683258</v>
      </c>
      <c r="E28" s="29" t="n">
        <v>0.1693691692581075</v>
      </c>
      <c r="F28" s="31">
        <f>D28-E28</f>
        <v/>
      </c>
    </row>
    <row r="29">
      <c r="C29" s="42" t="inlineStr">
        <is>
          <t>MINB%</t>
        </is>
      </c>
      <c r="D29" s="29" t="n">
        <v>0.04524886877828054</v>
      </c>
      <c r="E29" s="29" t="n">
        <v>0.06274988893824966</v>
      </c>
      <c r="F29" s="31">
        <f>D29-E29</f>
        <v/>
      </c>
    </row>
    <row r="30">
      <c r="C30" s="42" t="inlineStr">
        <is>
          <t>Asian%</t>
        </is>
      </c>
      <c r="D30" s="29" t="n">
        <v>0</v>
      </c>
      <c r="E30" s="29" t="n">
        <v>0</v>
      </c>
      <c r="F30" s="31">
        <f>D30-E30</f>
        <v/>
      </c>
    </row>
    <row r="31">
      <c r="C31" s="42" t="inlineStr">
        <is>
          <t>Black%</t>
        </is>
      </c>
      <c r="D31" s="29" t="n">
        <v>0</v>
      </c>
      <c r="E31" s="29" t="n">
        <v>0</v>
      </c>
      <c r="F31" s="31">
        <f>D31-E31</f>
        <v/>
      </c>
    </row>
    <row r="32" ht="21.75" customHeight="1" s="47">
      <c r="C32" s="42" t="inlineStr">
        <is>
          <t>Native American%</t>
        </is>
      </c>
      <c r="D32" s="29" t="n">
        <v>0</v>
      </c>
      <c r="E32" s="29" t="n">
        <v>0</v>
      </c>
      <c r="F32" s="31">
        <f>D32-E32</f>
        <v/>
      </c>
    </row>
    <row r="33">
      <c r="C33" s="42" t="inlineStr">
        <is>
          <t>HoPI%</t>
        </is>
      </c>
      <c r="D33" s="29" t="n">
        <v>0</v>
      </c>
      <c r="E33" s="29" t="n">
        <v>0</v>
      </c>
      <c r="F33" s="31">
        <f>D33-E33</f>
        <v/>
      </c>
    </row>
    <row r="34">
      <c r="C34" s="42" t="inlineStr">
        <is>
          <t>Hispanic%</t>
        </is>
      </c>
      <c r="D34" s="29" t="n">
        <v>0.04524886877828054</v>
      </c>
      <c r="E34" s="29" t="n">
        <v>0.06274988893824966</v>
      </c>
      <c r="F34" s="31">
        <f>D34-E34</f>
        <v/>
      </c>
    </row>
    <row r="35">
      <c r="B35" s="42" t="inlineStr">
        <is>
          <t>Birmingham-Hoover, AL</t>
        </is>
      </c>
      <c r="C35" s="42" t="inlineStr">
        <is>
          <t>Loans</t>
        </is>
      </c>
      <c r="D35" s="46" t="n">
        <v>221</v>
      </c>
      <c r="E35" s="25" t="n">
        <v>9004</v>
      </c>
    </row>
    <row r="36">
      <c r="C36" s="42" t="inlineStr">
        <is>
          <t xml:space="preserve">LMICT% </t>
        </is>
      </c>
      <c r="D36" s="29" t="n">
        <v>0.1485148514851485</v>
      </c>
      <c r="E36" s="29" t="n">
        <v>0.1632571996027805</v>
      </c>
      <c r="F36" s="31">
        <f>D36-E36</f>
        <v/>
      </c>
    </row>
    <row r="37">
      <c r="C37" s="42" t="inlineStr">
        <is>
          <t>LMIB%</t>
        </is>
      </c>
      <c r="D37" s="29" t="n">
        <v>0.3069306930693069</v>
      </c>
      <c r="E37" s="29" t="n">
        <v>0.2997020854021847</v>
      </c>
      <c r="F37" s="31">
        <f>D37-E37</f>
        <v/>
      </c>
    </row>
    <row r="38">
      <c r="C38" s="42" t="inlineStr">
        <is>
          <t>LMIB$</t>
        </is>
      </c>
      <c r="D38" s="48" t="n">
        <v>4705000</v>
      </c>
      <c r="E38" s="48" t="n">
        <v>304845000</v>
      </c>
      <c r="F38" s="49" t="n"/>
    </row>
    <row r="39">
      <c r="C39" s="42" t="inlineStr">
        <is>
          <t>MMCT%</t>
        </is>
      </c>
      <c r="D39" s="29" t="n">
        <v>0.009900990099009901</v>
      </c>
      <c r="E39" s="29" t="n">
        <v>0.006752730883813307</v>
      </c>
      <c r="F39" s="31">
        <f>D39-E39</f>
        <v/>
      </c>
    </row>
    <row r="40">
      <c r="C40" s="42" t="inlineStr">
        <is>
          <t>MINB%</t>
        </is>
      </c>
      <c r="D40" s="29" t="n">
        <v>0.009900990099009901</v>
      </c>
      <c r="E40" s="29" t="n">
        <v>0.02999006951340616</v>
      </c>
      <c r="F40" s="31">
        <f>D40-E40</f>
        <v/>
      </c>
    </row>
    <row r="41">
      <c r="C41" s="42" t="inlineStr">
        <is>
          <t>Asian%</t>
        </is>
      </c>
      <c r="D41" s="29" t="n">
        <v>0</v>
      </c>
      <c r="E41" s="29" t="n">
        <v>0</v>
      </c>
      <c r="F41" s="31">
        <f>D41-E41</f>
        <v/>
      </c>
    </row>
    <row r="42">
      <c r="C42" s="42" t="inlineStr">
        <is>
          <t>Black%</t>
        </is>
      </c>
      <c r="D42" s="29" t="n">
        <v>0</v>
      </c>
      <c r="E42" s="29" t="n">
        <v>0</v>
      </c>
      <c r="F42" s="31">
        <f>D42-E42</f>
        <v/>
      </c>
    </row>
    <row r="43" ht="21.75" customHeight="1" s="47">
      <c r="C43" s="42" t="inlineStr">
        <is>
          <t>Native American%</t>
        </is>
      </c>
      <c r="D43" s="29" t="n">
        <v>0</v>
      </c>
      <c r="E43" s="29" t="n">
        <v>0</v>
      </c>
      <c r="F43" s="31">
        <f>D43-E43</f>
        <v/>
      </c>
    </row>
    <row r="44">
      <c r="C44" s="42" t="inlineStr">
        <is>
          <t>HoPI%</t>
        </is>
      </c>
      <c r="D44" s="29" t="n">
        <v>0</v>
      </c>
      <c r="E44" s="29" t="n">
        <v>0</v>
      </c>
      <c r="F44" s="31">
        <f>D44-E44</f>
        <v/>
      </c>
    </row>
    <row r="45">
      <c r="C45" s="42" t="inlineStr">
        <is>
          <t>Hispanic%</t>
        </is>
      </c>
      <c r="D45" s="29" t="n">
        <v>0.009900990099009901</v>
      </c>
      <c r="E45" s="29" t="n">
        <v>0.02999006951340616</v>
      </c>
      <c r="F45" s="31">
        <f>D45-E45</f>
        <v/>
      </c>
    </row>
    <row r="46">
      <c r="B46" s="42" t="inlineStr">
        <is>
          <t>Daphne-Fairhope-Foley, AL</t>
        </is>
      </c>
      <c r="C46" s="42" t="inlineStr">
        <is>
          <t>Loans</t>
        </is>
      </c>
      <c r="D46" s="46" t="n">
        <v>101</v>
      </c>
      <c r="E46" s="25" t="n">
        <v>5035</v>
      </c>
    </row>
    <row r="47">
      <c r="C47" s="42" t="inlineStr">
        <is>
          <t xml:space="preserve">LMICT% </t>
        </is>
      </c>
      <c r="D47" s="29" t="n">
        <v>0.0925925925925926</v>
      </c>
      <c r="E47" s="29" t="n">
        <v>0.1329185520361991</v>
      </c>
      <c r="F47" s="31">
        <f>D47-E47</f>
        <v/>
      </c>
    </row>
    <row r="48">
      <c r="C48" s="42" t="inlineStr">
        <is>
          <t>LMIB%</t>
        </is>
      </c>
      <c r="D48" s="29" t="n">
        <v>0.2222222222222222</v>
      </c>
      <c r="E48" s="29" t="n">
        <v>0.3240950226244344</v>
      </c>
      <c r="F48" s="31">
        <f>D48-E48</f>
        <v/>
      </c>
    </row>
    <row r="49">
      <c r="C49" s="42" t="inlineStr">
        <is>
          <t>LMIB$</t>
        </is>
      </c>
      <c r="D49" s="48" t="n">
        <v>1800000</v>
      </c>
      <c r="E49" s="48" t="n">
        <v>93585000</v>
      </c>
      <c r="F49" s="31" t="n"/>
    </row>
    <row r="50">
      <c r="C50" s="42" t="inlineStr">
        <is>
          <t>MMCT%</t>
        </is>
      </c>
      <c r="D50" s="29" t="n">
        <v>0.1296296296296296</v>
      </c>
      <c r="E50" s="29" t="n">
        <v>0.121606334841629</v>
      </c>
      <c r="F50" s="31">
        <f>D50-E50</f>
        <v/>
      </c>
    </row>
    <row r="51">
      <c r="C51" s="42" t="inlineStr">
        <is>
          <t>MINB%</t>
        </is>
      </c>
      <c r="D51" s="29" t="n">
        <v>0.1481481481481481</v>
      </c>
      <c r="E51" s="29" t="n">
        <v>0.06900452488687783</v>
      </c>
      <c r="F51" s="31">
        <f>D51-E51</f>
        <v/>
      </c>
    </row>
    <row r="52">
      <c r="C52" s="42" t="inlineStr">
        <is>
          <t>Asian%</t>
        </is>
      </c>
      <c r="D52" s="29" t="n">
        <v>0</v>
      </c>
      <c r="E52" s="29" t="n">
        <v>0</v>
      </c>
      <c r="F52" s="31">
        <f>D52-E52</f>
        <v/>
      </c>
    </row>
    <row r="53">
      <c r="C53" s="42" t="inlineStr">
        <is>
          <t>Black%</t>
        </is>
      </c>
      <c r="D53" s="29" t="n">
        <v>0</v>
      </c>
      <c r="E53" s="29" t="n">
        <v>0</v>
      </c>
      <c r="F53" s="31">
        <f>D53-E53</f>
        <v/>
      </c>
    </row>
    <row r="54" ht="21.75" customHeight="1" s="47">
      <c r="C54" s="42" t="inlineStr">
        <is>
          <t>Native American%</t>
        </is>
      </c>
      <c r="D54" s="29" t="n">
        <v>0</v>
      </c>
      <c r="E54" s="29" t="n">
        <v>0</v>
      </c>
      <c r="F54" s="31">
        <f>D54-E54</f>
        <v/>
      </c>
    </row>
    <row r="55">
      <c r="C55" s="42" t="inlineStr">
        <is>
          <t>HoPI%</t>
        </is>
      </c>
      <c r="D55" s="29" t="n">
        <v>0</v>
      </c>
      <c r="E55" s="29" t="n">
        <v>0</v>
      </c>
      <c r="F55" s="31">
        <f>D55-E55</f>
        <v/>
      </c>
    </row>
    <row r="56">
      <c r="C56" s="42" t="inlineStr">
        <is>
          <t>Hispanic%</t>
        </is>
      </c>
      <c r="D56" s="29" t="n">
        <v>0.1481481481481481</v>
      </c>
      <c r="E56" s="29" t="n">
        <v>0.06900452488687783</v>
      </c>
      <c r="F56" s="31">
        <f>D56-E56</f>
        <v/>
      </c>
    </row>
    <row r="57">
      <c r="B57" s="42" t="inlineStr">
        <is>
          <t>Decatur, AL</t>
        </is>
      </c>
      <c r="C57" s="42" t="inlineStr">
        <is>
          <t>Loans</t>
        </is>
      </c>
      <c r="D57" s="46" t="n">
        <v>54</v>
      </c>
      <c r="E57" s="25" t="n">
        <v>1768</v>
      </c>
    </row>
    <row r="58">
      <c r="C58" s="42" t="inlineStr">
        <is>
          <t xml:space="preserve">LMICT% </t>
        </is>
      </c>
      <c r="D58" s="29" t="n">
        <v>0.2418300653594771</v>
      </c>
      <c r="E58" s="29" t="n">
        <v>0.1834804539722573</v>
      </c>
      <c r="F58" s="31">
        <f>D58-E58</f>
        <v/>
      </c>
    </row>
    <row r="59">
      <c r="C59" s="42" t="inlineStr">
        <is>
          <t>LMIB%</t>
        </is>
      </c>
      <c r="D59" s="29" t="n">
        <v>0.3856209150326798</v>
      </c>
      <c r="E59" s="29" t="n">
        <v>0.3042244640605296</v>
      </c>
      <c r="F59" s="31">
        <f>D59-E59</f>
        <v/>
      </c>
    </row>
    <row r="60">
      <c r="C60" s="42" t="inlineStr">
        <is>
          <t>LMIB$</t>
        </is>
      </c>
      <c r="D60" s="48" t="n">
        <v>11205000</v>
      </c>
      <c r="E60" s="48" t="n">
        <v>412790000</v>
      </c>
      <c r="F60" s="49" t="n"/>
    </row>
    <row r="61">
      <c r="C61" s="42" t="inlineStr">
        <is>
          <t>MMCT%</t>
        </is>
      </c>
      <c r="D61" s="29" t="n">
        <v>0.1176470588235294</v>
      </c>
      <c r="E61" s="29" t="n">
        <v>0.09599621689785626</v>
      </c>
      <c r="F61" s="31">
        <f>D61-E61</f>
        <v/>
      </c>
    </row>
    <row r="62">
      <c r="C62" s="42" t="inlineStr">
        <is>
          <t>MINB%</t>
        </is>
      </c>
      <c r="D62" s="29" t="n">
        <v>0.0457516339869281</v>
      </c>
      <c r="E62" s="29" t="n">
        <v>0.04902269861286255</v>
      </c>
      <c r="F62" s="31">
        <f>D62-E62</f>
        <v/>
      </c>
    </row>
    <row r="63">
      <c r="C63" s="42" t="inlineStr">
        <is>
          <t>Asian%</t>
        </is>
      </c>
      <c r="D63" s="29" t="n">
        <v>0</v>
      </c>
      <c r="E63" s="29" t="n">
        <v>0</v>
      </c>
      <c r="F63" s="31">
        <f>D63-E63</f>
        <v/>
      </c>
    </row>
    <row r="64">
      <c r="C64" s="42" t="inlineStr">
        <is>
          <t>Black%</t>
        </is>
      </c>
      <c r="D64" s="29" t="n">
        <v>0</v>
      </c>
      <c r="E64" s="29" t="n">
        <v>0</v>
      </c>
      <c r="F64" s="31">
        <f>D64-E64</f>
        <v/>
      </c>
    </row>
    <row r="65" ht="21.75" customHeight="1" s="47">
      <c r="C65" s="42" t="inlineStr">
        <is>
          <t>Native American%</t>
        </is>
      </c>
      <c r="D65" s="29" t="n">
        <v>0</v>
      </c>
      <c r="E65" s="29" t="n">
        <v>0</v>
      </c>
      <c r="F65" s="31">
        <f>D65-E65</f>
        <v/>
      </c>
    </row>
    <row r="66">
      <c r="C66" s="42" t="inlineStr">
        <is>
          <t>HoPI%</t>
        </is>
      </c>
      <c r="D66" s="29" t="n">
        <v>0</v>
      </c>
      <c r="E66" s="29" t="n">
        <v>0</v>
      </c>
      <c r="F66" s="31">
        <f>D66-E66</f>
        <v/>
      </c>
    </row>
    <row r="67">
      <c r="C67" s="42" t="inlineStr">
        <is>
          <t>Hispanic%</t>
        </is>
      </c>
      <c r="D67" s="29" t="n">
        <v>0.0457516339869281</v>
      </c>
      <c r="E67" s="29" t="n">
        <v>0.04902269861286255</v>
      </c>
      <c r="F67" s="31">
        <f>D67-E67</f>
        <v/>
      </c>
    </row>
    <row r="68">
      <c r="B68" s="42" t="inlineStr">
        <is>
          <t>Huntsville, AL</t>
        </is>
      </c>
      <c r="C68" s="42" t="inlineStr">
        <is>
          <t>Loans</t>
        </is>
      </c>
      <c r="D68" s="46" t="n">
        <v>153</v>
      </c>
      <c r="E68" s="25" t="n">
        <v>6344</v>
      </c>
    </row>
    <row r="69">
      <c r="C69" s="42" t="inlineStr">
        <is>
          <t xml:space="preserve">LMICT% </t>
        </is>
      </c>
      <c r="D69" s="29" t="n">
        <v>0.1612903225806452</v>
      </c>
      <c r="E69" s="29" t="n">
        <v>0.1289884589273591</v>
      </c>
      <c r="F69" s="31">
        <f>D69-E69</f>
        <v/>
      </c>
    </row>
    <row r="70">
      <c r="C70" s="42" t="inlineStr">
        <is>
          <t>LMIB%</t>
        </is>
      </c>
      <c r="D70" s="29" t="n">
        <v>0.335483870967742</v>
      </c>
      <c r="E70" s="29" t="n">
        <v>0.2731387191672324</v>
      </c>
      <c r="F70" s="31">
        <f>D70-E70</f>
        <v/>
      </c>
    </row>
    <row r="71">
      <c r="C71" s="42" t="inlineStr">
        <is>
          <t>LMIB$</t>
        </is>
      </c>
      <c r="D71" s="48" t="n">
        <v>7120000</v>
      </c>
      <c r="E71" s="48" t="n">
        <v>178445000</v>
      </c>
      <c r="F71" s="49" t="n"/>
    </row>
    <row r="72">
      <c r="C72" s="42" t="inlineStr">
        <is>
          <t>MMCT%</t>
        </is>
      </c>
      <c r="D72" s="29" t="n">
        <v>0.2064516129032258</v>
      </c>
      <c r="E72" s="29" t="n">
        <v>0.1756053405747907</v>
      </c>
      <c r="F72" s="31">
        <f>D72-E72</f>
        <v/>
      </c>
    </row>
    <row r="73">
      <c r="C73" s="42" t="inlineStr">
        <is>
          <t>MINB%</t>
        </is>
      </c>
      <c r="D73" s="29" t="n">
        <v>0.01935483870967742</v>
      </c>
      <c r="E73" s="29" t="n">
        <v>0.04254356189183072</v>
      </c>
      <c r="F73" s="31">
        <f>D73-E73</f>
        <v/>
      </c>
    </row>
    <row r="74">
      <c r="C74" s="42" t="inlineStr">
        <is>
          <t>Asian%</t>
        </is>
      </c>
      <c r="D74" s="29" t="n">
        <v>0</v>
      </c>
      <c r="E74" s="29" t="n">
        <v>0</v>
      </c>
      <c r="F74" s="31">
        <f>D74-E74</f>
        <v/>
      </c>
    </row>
    <row r="75">
      <c r="C75" s="42" t="inlineStr">
        <is>
          <t>Black%</t>
        </is>
      </c>
      <c r="D75" s="29" t="n">
        <v>0</v>
      </c>
      <c r="E75" s="29" t="n">
        <v>0</v>
      </c>
      <c r="F75" s="31">
        <f>D75-E75</f>
        <v/>
      </c>
    </row>
    <row r="76" ht="21.75" customHeight="1" s="47">
      <c r="C76" s="42" t="inlineStr">
        <is>
          <t>Native American%</t>
        </is>
      </c>
      <c r="D76" s="29" t="n">
        <v>0</v>
      </c>
      <c r="E76" s="29" t="n">
        <v>0</v>
      </c>
      <c r="F76" s="31">
        <f>D76-E76</f>
        <v/>
      </c>
    </row>
    <row r="77">
      <c r="C77" s="42" t="inlineStr">
        <is>
          <t>HoPI%</t>
        </is>
      </c>
      <c r="D77" s="29" t="n">
        <v>0</v>
      </c>
      <c r="E77" s="29" t="n">
        <v>0</v>
      </c>
      <c r="F77" s="31">
        <f>D77-E77</f>
        <v/>
      </c>
    </row>
    <row r="78">
      <c r="C78" s="42" t="inlineStr">
        <is>
          <t>Hispanic%</t>
        </is>
      </c>
      <c r="D78" s="29" t="n">
        <v>0.01935483870967742</v>
      </c>
      <c r="E78" s="29" t="n">
        <v>0.04254356189183072</v>
      </c>
      <c r="F78" s="31">
        <f>D78-E78</f>
        <v/>
      </c>
    </row>
    <row r="79">
      <c r="B79" s="42" t="inlineStr">
        <is>
          <t>Mobile, AL</t>
        </is>
      </c>
      <c r="C79" s="42" t="inlineStr">
        <is>
          <t>Loans</t>
        </is>
      </c>
      <c r="D79" s="46" t="n">
        <v>155</v>
      </c>
      <c r="E79" s="25" t="n">
        <v>4419</v>
      </c>
    </row>
    <row r="80">
      <c r="C80" s="42" t="inlineStr">
        <is>
          <t xml:space="preserve">LMICT% </t>
        </is>
      </c>
      <c r="D80" s="29" t="n">
        <v>0.180327868852459</v>
      </c>
      <c r="E80" s="29" t="n">
        <v>0.1282696177062374</v>
      </c>
      <c r="F80" s="31">
        <f>D80-E80</f>
        <v/>
      </c>
    </row>
    <row r="81">
      <c r="C81" s="42" t="inlineStr">
        <is>
          <t>LMIB%</t>
        </is>
      </c>
      <c r="D81" s="29" t="n">
        <v>0.2622950819672131</v>
      </c>
      <c r="E81" s="29" t="n">
        <v>0.3239436619718311</v>
      </c>
      <c r="F81" s="31">
        <f>D81-E81</f>
        <v/>
      </c>
    </row>
    <row r="82">
      <c r="C82" s="42" t="inlineStr">
        <is>
          <t>LMIB$</t>
        </is>
      </c>
      <c r="D82" s="48" t="n">
        <v>1990000</v>
      </c>
      <c r="E82" s="48" t="n">
        <v>97110000</v>
      </c>
      <c r="F82" s="49" t="n"/>
    </row>
    <row r="83">
      <c r="C83" s="42" t="inlineStr">
        <is>
          <t>MMCT%</t>
        </is>
      </c>
      <c r="D83" s="29" t="n">
        <v>0.360655737704918</v>
      </c>
      <c r="E83" s="29" t="n">
        <v>0.2399396378269618</v>
      </c>
      <c r="F83" s="31">
        <f>D83-E83</f>
        <v/>
      </c>
    </row>
    <row r="84">
      <c r="C84" s="42" t="inlineStr">
        <is>
          <t>MINB%</t>
        </is>
      </c>
      <c r="D84" s="29" t="n">
        <v>0</v>
      </c>
      <c r="E84" s="29" t="n">
        <v>0.03621730382293763</v>
      </c>
      <c r="F84" s="31">
        <f>D84-E84</f>
        <v/>
      </c>
    </row>
    <row r="85">
      <c r="C85" s="42" t="inlineStr">
        <is>
          <t>Asian%</t>
        </is>
      </c>
      <c r="D85" s="29" t="n">
        <v>0</v>
      </c>
      <c r="E85" s="29" t="n">
        <v>0</v>
      </c>
      <c r="F85" s="31">
        <f>D85-E85</f>
        <v/>
      </c>
    </row>
    <row r="86">
      <c r="C86" s="42" t="inlineStr">
        <is>
          <t>Black%</t>
        </is>
      </c>
      <c r="D86" s="29" t="n">
        <v>0</v>
      </c>
      <c r="E86" s="29" t="n">
        <v>0</v>
      </c>
      <c r="F86" s="31">
        <f>D86-E86</f>
        <v/>
      </c>
    </row>
    <row r="87" ht="21.75" customHeight="1" s="47">
      <c r="C87" s="42" t="inlineStr">
        <is>
          <t>Native American%</t>
        </is>
      </c>
      <c r="D87" s="29" t="n">
        <v>0</v>
      </c>
      <c r="E87" s="29" t="n">
        <v>0</v>
      </c>
      <c r="F87" s="31">
        <f>D87-E87</f>
        <v/>
      </c>
    </row>
    <row r="88">
      <c r="C88" s="42" t="inlineStr">
        <is>
          <t>HoPI%</t>
        </is>
      </c>
      <c r="D88" s="29" t="n">
        <v>0</v>
      </c>
      <c r="E88" s="29" t="n">
        <v>0</v>
      </c>
      <c r="F88" s="31">
        <f>D88-E88</f>
        <v/>
      </c>
    </row>
    <row r="89">
      <c r="C89" s="42" t="inlineStr">
        <is>
          <t>Hispanic%</t>
        </is>
      </c>
      <c r="D89" s="29" t="n">
        <v>0</v>
      </c>
      <c r="E89" s="29" t="n">
        <v>0.03621730382293763</v>
      </c>
      <c r="F89" s="31">
        <f>D89-E89</f>
        <v/>
      </c>
    </row>
    <row r="90">
      <c r="B90" s="42" t="inlineStr">
        <is>
          <t>Montgomery, AL</t>
        </is>
      </c>
      <c r="C90" s="42" t="inlineStr">
        <is>
          <t>Loans</t>
        </is>
      </c>
      <c r="D90" s="46" t="n">
        <v>61</v>
      </c>
      <c r="E90" s="25" t="n">
        <v>1988</v>
      </c>
    </row>
    <row r="91">
      <c r="C91" s="42" t="inlineStr">
        <is>
          <t xml:space="preserve">LMICT% </t>
        </is>
      </c>
      <c r="D91" s="29" t="n">
        <v>0</v>
      </c>
      <c r="E91" s="29" t="n">
        <v>0.2380952380952381</v>
      </c>
      <c r="F91" s="31">
        <f>D91-E91</f>
        <v/>
      </c>
    </row>
    <row r="92">
      <c r="C92" s="42" t="inlineStr">
        <is>
          <t>LMIB%</t>
        </is>
      </c>
      <c r="D92" s="29" t="n">
        <v>0.5</v>
      </c>
      <c r="E92" s="29" t="n">
        <v>0.3174603174603174</v>
      </c>
      <c r="F92" s="31">
        <f>D92-E92</f>
        <v/>
      </c>
    </row>
    <row r="93">
      <c r="C93" s="42" t="inlineStr">
        <is>
          <t>LMIB$</t>
        </is>
      </c>
      <c r="D93" s="48" t="n">
        <v>55000</v>
      </c>
      <c r="E93" s="48" t="n">
        <v>2030000</v>
      </c>
      <c r="F93" s="49" t="n"/>
    </row>
    <row r="94">
      <c r="C94" s="42" t="inlineStr">
        <is>
          <t>MMCT%</t>
        </is>
      </c>
      <c r="D94" s="29" t="n">
        <v>0.5</v>
      </c>
      <c r="E94" s="29" t="n">
        <v>0.4603174603174603</v>
      </c>
      <c r="F94" s="31">
        <f>D94-E94</f>
        <v/>
      </c>
    </row>
    <row r="95">
      <c r="C95" s="42" t="inlineStr">
        <is>
          <t>MINB%</t>
        </is>
      </c>
      <c r="D95" s="29" t="n">
        <v>0</v>
      </c>
      <c r="E95" s="29" t="n">
        <v>0.01587301587301587</v>
      </c>
      <c r="F95" s="31">
        <f>D95-E95</f>
        <v/>
      </c>
    </row>
    <row r="96">
      <c r="C96" s="42" t="inlineStr">
        <is>
          <t>Asian%</t>
        </is>
      </c>
      <c r="D96" s="29" t="n">
        <v>0</v>
      </c>
      <c r="E96" s="29" t="n">
        <v>0</v>
      </c>
      <c r="F96" s="31">
        <f>D96-E96</f>
        <v/>
      </c>
    </row>
    <row r="97">
      <c r="C97" s="42" t="inlineStr">
        <is>
          <t>Black%</t>
        </is>
      </c>
      <c r="D97" s="29" t="n">
        <v>0</v>
      </c>
      <c r="E97" s="29" t="n">
        <v>0</v>
      </c>
      <c r="F97" s="31">
        <f>D97-E97</f>
        <v/>
      </c>
    </row>
    <row r="98" ht="21.75" customHeight="1" s="47">
      <c r="C98" s="42" t="inlineStr">
        <is>
          <t>Native American%</t>
        </is>
      </c>
      <c r="D98" s="29" t="n">
        <v>0</v>
      </c>
      <c r="E98" s="29" t="n">
        <v>0</v>
      </c>
      <c r="F98" s="31">
        <f>D98-E98</f>
        <v/>
      </c>
    </row>
    <row r="99">
      <c r="C99" s="42" t="inlineStr">
        <is>
          <t>HoPI%</t>
        </is>
      </c>
      <c r="D99" s="29" t="n">
        <v>0</v>
      </c>
      <c r="E99" s="29" t="n">
        <v>0</v>
      </c>
      <c r="F99" s="31">
        <f>D99-E99</f>
        <v/>
      </c>
    </row>
    <row r="100">
      <c r="C100" s="42" t="inlineStr">
        <is>
          <t>Hispanic%</t>
        </is>
      </c>
      <c r="D100" s="29" t="n">
        <v>0</v>
      </c>
      <c r="E100" s="29" t="n">
        <v>0.01587301587301587</v>
      </c>
      <c r="F100" s="31">
        <f>D100-E100</f>
        <v/>
      </c>
    </row>
    <row r="101">
      <c r="B101" s="42" t="inlineStr">
        <is>
          <t>Alabama Non-MSA</t>
        </is>
      </c>
      <c r="C101" s="42" t="inlineStr">
        <is>
          <t>Loans</t>
        </is>
      </c>
      <c r="D101" s="46" t="n">
        <v>2</v>
      </c>
      <c r="E101" s="25" t="n">
        <v>63</v>
      </c>
    </row>
    <row r="102">
      <c r="C102" s="42" t="inlineStr">
        <is>
          <t xml:space="preserve">LMICT% </t>
        </is>
      </c>
      <c r="D102" s="29" t="n">
        <v>0.2857142857142857</v>
      </c>
      <c r="E102" s="29" t="n">
        <v>0.1534653465346535</v>
      </c>
      <c r="F102" s="31">
        <f>D102-E102</f>
        <v/>
      </c>
    </row>
    <row r="103">
      <c r="C103" s="42" t="inlineStr">
        <is>
          <t>LMIB%</t>
        </is>
      </c>
      <c r="D103" s="29" t="n">
        <v>0.1428571428571428</v>
      </c>
      <c r="E103" s="29" t="n">
        <v>0.2450495049504951</v>
      </c>
      <c r="F103" s="31">
        <f>D103-E103</f>
        <v/>
      </c>
    </row>
    <row r="104">
      <c r="C104" s="42" t="inlineStr">
        <is>
          <t>LMIB$</t>
        </is>
      </c>
      <c r="D104" s="48" t="n">
        <v>95000</v>
      </c>
      <c r="E104" s="48" t="n">
        <v>11715000</v>
      </c>
      <c r="F104" s="49" t="n"/>
    </row>
    <row r="105">
      <c r="C105" s="42" t="inlineStr">
        <is>
          <t>MMCT%</t>
        </is>
      </c>
      <c r="D105" s="29" t="n">
        <v>0.4285714285714285</v>
      </c>
      <c r="E105" s="29" t="n">
        <v>0.0891089108910891</v>
      </c>
      <c r="F105" s="31">
        <f>D105-E105</f>
        <v/>
      </c>
    </row>
    <row r="106">
      <c r="C106" s="42" t="inlineStr">
        <is>
          <t>MINB%</t>
        </is>
      </c>
      <c r="D106" s="29" t="n">
        <v>0</v>
      </c>
      <c r="E106" s="29" t="n">
        <v>0.03217821782178218</v>
      </c>
      <c r="F106" s="31">
        <f>D106-E106</f>
        <v/>
      </c>
    </row>
    <row r="107">
      <c r="C107" s="42" t="inlineStr">
        <is>
          <t>Asian%</t>
        </is>
      </c>
      <c r="D107" s="29" t="n">
        <v>0</v>
      </c>
      <c r="E107" s="29" t="n">
        <v>0</v>
      </c>
      <c r="F107" s="31">
        <f>D107-E107</f>
        <v/>
      </c>
    </row>
    <row r="108">
      <c r="C108" s="42" t="inlineStr">
        <is>
          <t>Black%</t>
        </is>
      </c>
      <c r="D108" s="29" t="n">
        <v>0</v>
      </c>
      <c r="E108" s="29" t="n">
        <v>0</v>
      </c>
      <c r="F108" s="31">
        <f>D108-E108</f>
        <v/>
      </c>
    </row>
    <row r="109" ht="21.75" customHeight="1" s="47">
      <c r="C109" s="42" t="inlineStr">
        <is>
          <t>Native American%</t>
        </is>
      </c>
      <c r="D109" s="29" t="n">
        <v>0</v>
      </c>
      <c r="E109" s="29" t="n">
        <v>0</v>
      </c>
      <c r="F109" s="31">
        <f>D109-E109</f>
        <v/>
      </c>
    </row>
    <row r="110">
      <c r="C110" s="42" t="inlineStr">
        <is>
          <t>HoPI%</t>
        </is>
      </c>
      <c r="D110" s="29" t="n">
        <v>0</v>
      </c>
      <c r="E110" s="29" t="n">
        <v>0</v>
      </c>
      <c r="F110" s="31">
        <f>D110-E110</f>
        <v/>
      </c>
    </row>
    <row r="111">
      <c r="C111" s="42" t="inlineStr">
        <is>
          <t>Hispanic%</t>
        </is>
      </c>
      <c r="D111" s="29" t="n">
        <v>0</v>
      </c>
      <c r="E111" s="29" t="n">
        <v>0.03217821782178218</v>
      </c>
      <c r="F111" s="31">
        <f>D111-E111</f>
        <v/>
      </c>
    </row>
    <row r="112">
      <c r="A112" s="46" t="inlineStr">
        <is>
          <t>Arizona</t>
        </is>
      </c>
      <c r="B112" s="42" t="inlineStr">
        <is>
          <t>Alabama Non-MSA</t>
        </is>
      </c>
      <c r="C112" s="42" t="inlineStr">
        <is>
          <t>Loans</t>
        </is>
      </c>
      <c r="D112" s="46" t="n">
        <v>7</v>
      </c>
      <c r="E112" s="25" t="n">
        <v>404</v>
      </c>
    </row>
    <row r="113">
      <c r="C113" s="42" t="inlineStr">
        <is>
          <t xml:space="preserve">LMICT% </t>
        </is>
      </c>
      <c r="D113" s="29" t="n">
        <v>0.05555555555555555</v>
      </c>
      <c r="E113" s="29" t="n">
        <v>0.07510917030567686</v>
      </c>
      <c r="F113" s="31">
        <f>D113-E113</f>
        <v/>
      </c>
    </row>
    <row r="114">
      <c r="C114" s="42" t="inlineStr">
        <is>
          <t>LMIB%</t>
        </is>
      </c>
      <c r="D114" s="29" t="n">
        <v>0.25</v>
      </c>
      <c r="E114" s="29" t="n">
        <v>0.2314410480349345</v>
      </c>
      <c r="F114" s="31">
        <f>D114-E114</f>
        <v/>
      </c>
    </row>
    <row r="115">
      <c r="C115" s="42" t="inlineStr">
        <is>
          <t>LMIB$</t>
        </is>
      </c>
      <c r="D115" s="48" t="n">
        <v>1305000</v>
      </c>
      <c r="E115" s="48" t="n">
        <v>46275000</v>
      </c>
      <c r="F115" s="49" t="n"/>
    </row>
    <row r="116">
      <c r="C116" s="42" t="inlineStr">
        <is>
          <t>MMCT%</t>
        </is>
      </c>
      <c r="D116" s="29" t="n">
        <v>0.1111111111111111</v>
      </c>
      <c r="E116" s="29" t="n">
        <v>0.1406113537117904</v>
      </c>
      <c r="F116" s="31">
        <f>D116-E116</f>
        <v/>
      </c>
    </row>
    <row r="117">
      <c r="C117" s="42" t="inlineStr">
        <is>
          <t>MINB%</t>
        </is>
      </c>
      <c r="D117" s="29" t="n">
        <v>0.08333333333333331</v>
      </c>
      <c r="E117" s="29" t="n">
        <v>0.04192139737991266</v>
      </c>
      <c r="F117" s="31">
        <f>D117-E117</f>
        <v/>
      </c>
    </row>
    <row r="118">
      <c r="C118" s="42" t="inlineStr">
        <is>
          <t>Asian%</t>
        </is>
      </c>
      <c r="D118" s="29" t="n">
        <v>0</v>
      </c>
      <c r="E118" s="29" t="n">
        <v>0</v>
      </c>
      <c r="F118" s="31">
        <f>D118-E118</f>
        <v/>
      </c>
    </row>
    <row r="119">
      <c r="C119" s="42" t="inlineStr">
        <is>
          <t>Black%</t>
        </is>
      </c>
      <c r="D119" s="29" t="n">
        <v>0</v>
      </c>
      <c r="E119" s="29" t="n">
        <v>0</v>
      </c>
      <c r="F119" s="31">
        <f>D119-E119</f>
        <v/>
      </c>
    </row>
    <row r="120" ht="21.75" customHeight="1" s="47">
      <c r="C120" s="42" t="inlineStr">
        <is>
          <t>Native American%</t>
        </is>
      </c>
      <c r="D120" s="29" t="n">
        <v>0</v>
      </c>
      <c r="E120" s="29" t="n">
        <v>0</v>
      </c>
      <c r="F120" s="31">
        <f>D120-E120</f>
        <v/>
      </c>
    </row>
    <row r="121">
      <c r="C121" s="42" t="inlineStr">
        <is>
          <t>HoPI%</t>
        </is>
      </c>
      <c r="D121" s="29" t="n">
        <v>0</v>
      </c>
      <c r="E121" s="29" t="n">
        <v>0</v>
      </c>
      <c r="F121" s="31">
        <f>D121-E121</f>
        <v/>
      </c>
    </row>
    <row r="122">
      <c r="C122" s="42" t="inlineStr">
        <is>
          <t>Hispanic%</t>
        </is>
      </c>
      <c r="D122" s="29" t="n">
        <v>0.08333333333333331</v>
      </c>
      <c r="E122" s="29" t="n">
        <v>0.04192139737991266</v>
      </c>
      <c r="F122" s="31">
        <f>D122-E122</f>
        <v/>
      </c>
    </row>
    <row r="123">
      <c r="A123" s="46" t="inlineStr">
        <is>
          <t>Colorado</t>
        </is>
      </c>
      <c r="B123" s="42" t="inlineStr">
        <is>
          <t>Tuscaloosa, AL</t>
        </is>
      </c>
      <c r="C123" s="42" t="inlineStr">
        <is>
          <t>Loans</t>
        </is>
      </c>
      <c r="D123" s="46" t="n">
        <v>36</v>
      </c>
      <c r="E123" s="25" t="n">
        <v>1145</v>
      </c>
    </row>
    <row r="124">
      <c r="C124" s="42" t="inlineStr">
        <is>
          <t xml:space="preserve">LMICT% </t>
        </is>
      </c>
      <c r="D124" s="29" t="n">
        <v>0.1008968609865471</v>
      </c>
      <c r="E124" s="29" t="n">
        <v>0.2014323504742241</v>
      </c>
      <c r="F124" s="31">
        <f>D124-E124</f>
        <v/>
      </c>
    </row>
    <row r="125">
      <c r="C125" s="42" t="inlineStr">
        <is>
          <t>LMIB%</t>
        </is>
      </c>
      <c r="D125" s="29" t="n">
        <v>0.07847533632286996</v>
      </c>
      <c r="E125" s="29" t="n">
        <v>0.2020130330989096</v>
      </c>
      <c r="F125" s="31">
        <f>D125-E125</f>
        <v/>
      </c>
    </row>
    <row r="126">
      <c r="C126" s="42" t="inlineStr">
        <is>
          <t>LMIB$</t>
        </is>
      </c>
      <c r="D126" s="48" t="n">
        <v>11185000</v>
      </c>
      <c r="E126" s="48" t="n">
        <v>1676260000</v>
      </c>
      <c r="F126" s="49" t="n"/>
    </row>
    <row r="127">
      <c r="C127" s="42" t="inlineStr">
        <is>
          <t>MMCT%</t>
        </is>
      </c>
      <c r="D127" s="29" t="n">
        <v>0.1031390134529148</v>
      </c>
      <c r="E127" s="29" t="n">
        <v>0.2357894057681141</v>
      </c>
      <c r="F127" s="31">
        <f>D127-E127</f>
        <v/>
      </c>
    </row>
    <row r="128">
      <c r="C128" s="42" t="inlineStr">
        <is>
          <t>MINB%</t>
        </is>
      </c>
      <c r="D128" s="29" t="n">
        <v>0.08968609865470852</v>
      </c>
      <c r="E128" s="29" t="n">
        <v>0.1914639654171237</v>
      </c>
      <c r="F128" s="31">
        <f>D128-E128</f>
        <v/>
      </c>
    </row>
    <row r="129">
      <c r="C129" s="42" t="inlineStr">
        <is>
          <t>Asian%</t>
        </is>
      </c>
      <c r="D129" s="29" t="n">
        <v>0</v>
      </c>
      <c r="E129" s="29" t="n">
        <v>0</v>
      </c>
      <c r="F129" s="31">
        <f>D129-E129</f>
        <v/>
      </c>
    </row>
    <row r="130">
      <c r="C130" s="42" t="inlineStr">
        <is>
          <t>Black%</t>
        </is>
      </c>
      <c r="D130" s="29" t="n">
        <v>0</v>
      </c>
      <c r="E130" s="29" t="n">
        <v>0</v>
      </c>
      <c r="F130" s="31">
        <f>D130-E130</f>
        <v/>
      </c>
    </row>
    <row r="131" ht="21.75" customHeight="1" s="47">
      <c r="C131" s="42" t="inlineStr">
        <is>
          <t>Native American%</t>
        </is>
      </c>
      <c r="D131" s="29" t="n">
        <v>0</v>
      </c>
      <c r="E131" s="29" t="n">
        <v>0</v>
      </c>
      <c r="F131" s="31">
        <f>D131-E131</f>
        <v/>
      </c>
    </row>
    <row r="132">
      <c r="C132" s="42" t="inlineStr">
        <is>
          <t>HoPI%</t>
        </is>
      </c>
      <c r="D132" s="29" t="n">
        <v>0</v>
      </c>
      <c r="E132" s="29" t="n">
        <v>0</v>
      </c>
      <c r="F132" s="31">
        <f>D132-E132</f>
        <v/>
      </c>
    </row>
    <row r="133">
      <c r="C133" s="42" t="inlineStr">
        <is>
          <t>Hispanic%</t>
        </is>
      </c>
      <c r="D133" s="29" t="n">
        <v>0.08968609865470852</v>
      </c>
      <c r="E133" s="29" t="n">
        <v>0.1914639654171237</v>
      </c>
      <c r="F133" s="31">
        <f>D133-E133</f>
        <v/>
      </c>
    </row>
    <row r="134">
      <c r="A134" s="46" t="inlineStr">
        <is>
          <t>Carolina</t>
        </is>
      </c>
      <c r="B134" s="42" t="inlineStr">
        <is>
          <t>Phoenix-Mesa-Chandler, AZ</t>
        </is>
      </c>
      <c r="C134" s="42" t="inlineStr">
        <is>
          <t>Loans</t>
        </is>
      </c>
      <c r="D134" s="46" t="n">
        <v>446</v>
      </c>
      <c r="E134" s="25" t="n">
        <v>30998</v>
      </c>
    </row>
    <row r="135">
      <c r="C135" s="42" t="inlineStr">
        <is>
          <t xml:space="preserve">LMICT% </t>
        </is>
      </c>
      <c r="D135" s="29" t="n">
        <v>0.09411764705882353</v>
      </c>
      <c r="E135" s="29" t="n">
        <v>0.1528431727634915</v>
      </c>
      <c r="F135" s="31">
        <f>D135-E135</f>
        <v/>
      </c>
    </row>
    <row r="136">
      <c r="C136" s="42" t="inlineStr">
        <is>
          <t>LMIB%</t>
        </is>
      </c>
      <c r="D136" s="29" t="n">
        <v>0.1294117647058824</v>
      </c>
      <c r="E136" s="29" t="n">
        <v>0.1879753712423035</v>
      </c>
      <c r="F136" s="31">
        <f>D136-E136</f>
        <v/>
      </c>
    </row>
    <row r="137">
      <c r="C137" s="42" t="inlineStr">
        <is>
          <t>LMIB$</t>
        </is>
      </c>
      <c r="D137" s="48" t="n">
        <v>2495000</v>
      </c>
      <c r="E137" s="48" t="n">
        <v>120625000</v>
      </c>
      <c r="F137" s="49" t="n"/>
    </row>
    <row r="138">
      <c r="C138" s="42" t="inlineStr">
        <is>
          <t>MMCT%</t>
        </is>
      </c>
      <c r="D138" s="29" t="n">
        <v>0.01176470588235294</v>
      </c>
      <c r="E138" s="29" t="n">
        <v>0.002535313292285404</v>
      </c>
      <c r="F138" s="31">
        <f>D138-E138</f>
        <v/>
      </c>
    </row>
    <row r="139">
      <c r="C139" s="42" t="inlineStr">
        <is>
          <t>MINB%</t>
        </is>
      </c>
      <c r="D139" s="29" t="n">
        <v>0.02352941176470588</v>
      </c>
      <c r="E139" s="29" t="n">
        <v>0.05251720391162622</v>
      </c>
      <c r="F139" s="31">
        <f>D139-E139</f>
        <v/>
      </c>
    </row>
    <row r="140">
      <c r="C140" s="42" t="inlineStr">
        <is>
          <t>Asian%</t>
        </is>
      </c>
      <c r="D140" s="29" t="n">
        <v>0</v>
      </c>
      <c r="E140" s="29" t="n">
        <v>0</v>
      </c>
      <c r="F140" s="31">
        <f>D140-E140</f>
        <v/>
      </c>
    </row>
    <row r="141">
      <c r="C141" s="42" t="inlineStr">
        <is>
          <t>Black%</t>
        </is>
      </c>
      <c r="D141" s="29" t="n">
        <v>0</v>
      </c>
      <c r="E141" s="29" t="n">
        <v>0</v>
      </c>
      <c r="F141" s="31">
        <f>D141-E141</f>
        <v/>
      </c>
    </row>
    <row r="142" ht="21.75" customHeight="1" s="47">
      <c r="C142" s="42" t="inlineStr">
        <is>
          <t>Native American%</t>
        </is>
      </c>
      <c r="D142" s="29" t="n">
        <v>0</v>
      </c>
      <c r="E142" s="29" t="n">
        <v>0</v>
      </c>
      <c r="F142" s="31">
        <f>D142-E142</f>
        <v/>
      </c>
    </row>
    <row r="143">
      <c r="C143" s="42" t="inlineStr">
        <is>
          <t>HoPI%</t>
        </is>
      </c>
      <c r="D143" s="29" t="n">
        <v>0</v>
      </c>
      <c r="E143" s="29" t="n">
        <v>0</v>
      </c>
      <c r="F143" s="31">
        <f>D143-E143</f>
        <v/>
      </c>
    </row>
    <row r="144">
      <c r="C144" s="42" t="inlineStr">
        <is>
          <t>Hispanic%</t>
        </is>
      </c>
      <c r="D144" s="29" t="n">
        <v>0.02352941176470588</v>
      </c>
      <c r="E144" s="29" t="n">
        <v>0.05251720391162622</v>
      </c>
      <c r="F144" s="31">
        <f>D144-E144</f>
        <v/>
      </c>
    </row>
    <row r="145">
      <c r="B145" s="42" t="inlineStr">
        <is>
          <t>Asheville, NC</t>
        </is>
      </c>
      <c r="C145" s="42" t="inlineStr">
        <is>
          <t>Loans</t>
        </is>
      </c>
      <c r="D145" s="46" t="n">
        <v>85</v>
      </c>
      <c r="E145" s="25" t="n">
        <v>2761</v>
      </c>
    </row>
    <row r="146">
      <c r="C146" s="42" t="inlineStr">
        <is>
          <t xml:space="preserve">LMICT% </t>
        </is>
      </c>
      <c r="D146" s="29" t="n">
        <v>0</v>
      </c>
      <c r="E146" s="29" t="n">
        <v>0.01582278481012658</v>
      </c>
      <c r="F146" s="31">
        <f>D146-E146</f>
        <v/>
      </c>
    </row>
    <row r="147">
      <c r="C147" s="42" t="inlineStr">
        <is>
          <t>LMIB%</t>
        </is>
      </c>
      <c r="D147" s="29" t="n">
        <v>0</v>
      </c>
      <c r="E147" s="29" t="n">
        <v>0.0759493670886076</v>
      </c>
      <c r="F147" s="31">
        <f>D147-E147</f>
        <v/>
      </c>
    </row>
    <row r="148">
      <c r="C148" s="42" t="inlineStr">
        <is>
          <t>LMIB$</t>
        </is>
      </c>
      <c r="D148" s="48" t="n">
        <v>0</v>
      </c>
      <c r="E148" s="48" t="n">
        <v>5730000</v>
      </c>
      <c r="F148" s="31" t="n"/>
    </row>
    <row r="149">
      <c r="C149" s="42" t="inlineStr">
        <is>
          <t>MMCT%</t>
        </is>
      </c>
      <c r="D149" s="29" t="n">
        <v>0</v>
      </c>
      <c r="E149" s="29" t="n">
        <v>0</v>
      </c>
      <c r="F149" s="31">
        <f>D149-E149</f>
        <v/>
      </c>
    </row>
    <row r="150">
      <c r="C150" s="42" t="inlineStr">
        <is>
          <t>MINB%</t>
        </is>
      </c>
      <c r="D150" s="29" t="n">
        <v>0</v>
      </c>
      <c r="E150" s="29" t="n">
        <v>0.04746835443037975</v>
      </c>
      <c r="F150" s="31">
        <f>D150-E150</f>
        <v/>
      </c>
    </row>
    <row r="151">
      <c r="C151" s="42" t="inlineStr">
        <is>
          <t>Asian%</t>
        </is>
      </c>
      <c r="D151" s="29" t="n">
        <v>0</v>
      </c>
      <c r="E151" s="29" t="n">
        <v>0</v>
      </c>
      <c r="F151" s="31">
        <f>D151-E151</f>
        <v/>
      </c>
    </row>
    <row r="152">
      <c r="C152" s="42" t="inlineStr">
        <is>
          <t>Black%</t>
        </is>
      </c>
      <c r="D152" s="29" t="n">
        <v>0</v>
      </c>
      <c r="E152" s="29" t="n">
        <v>0</v>
      </c>
      <c r="F152" s="31">
        <f>D152-E152</f>
        <v/>
      </c>
    </row>
    <row r="153" ht="21.75" customHeight="1" s="47">
      <c r="C153" s="42" t="inlineStr">
        <is>
          <t>Native American%</t>
        </is>
      </c>
      <c r="D153" s="29" t="n">
        <v>0</v>
      </c>
      <c r="E153" s="29" t="n">
        <v>0</v>
      </c>
      <c r="F153" s="31">
        <f>D153-E153</f>
        <v/>
      </c>
    </row>
    <row r="154">
      <c r="C154" s="42" t="inlineStr">
        <is>
          <t>HoPI%</t>
        </is>
      </c>
      <c r="D154" s="29" t="n">
        <v>0</v>
      </c>
      <c r="E154" s="29" t="n">
        <v>0</v>
      </c>
      <c r="F154" s="31">
        <f>D154-E154</f>
        <v/>
      </c>
    </row>
    <row r="155">
      <c r="C155" s="42" t="inlineStr">
        <is>
          <t>Hispanic%</t>
        </is>
      </c>
      <c r="D155" s="29" t="n">
        <v>0</v>
      </c>
      <c r="E155" s="29" t="n">
        <v>0.04746835443037975</v>
      </c>
      <c r="F155" s="31">
        <f>D155-E155</f>
        <v/>
      </c>
    </row>
    <row r="156">
      <c r="B156" s="42" t="inlineStr">
        <is>
          <t>Carolina Non-MSA</t>
        </is>
      </c>
      <c r="C156" s="42" t="inlineStr">
        <is>
          <t>Loans</t>
        </is>
      </c>
      <c r="D156" s="46" t="n">
        <v>8</v>
      </c>
      <c r="E156" s="25" t="n">
        <v>316</v>
      </c>
    </row>
    <row r="157">
      <c r="C157" s="42" t="inlineStr">
        <is>
          <t xml:space="preserve">LMICT% </t>
        </is>
      </c>
      <c r="D157" s="29" t="n">
        <v>0</v>
      </c>
      <c r="E157" s="29" t="n">
        <v>0.0179372197309417</v>
      </c>
      <c r="F157" s="31">
        <f>D157-E157</f>
        <v/>
      </c>
    </row>
    <row r="158">
      <c r="C158" s="42" t="inlineStr">
        <is>
          <t>LMIB%</t>
        </is>
      </c>
      <c r="D158" s="29" t="n">
        <v>0.1818181818181818</v>
      </c>
      <c r="E158" s="29" t="n">
        <v>0.1367713004484305</v>
      </c>
      <c r="F158" s="31">
        <f>D158-E158</f>
        <v/>
      </c>
    </row>
    <row r="159">
      <c r="C159" s="42" t="inlineStr">
        <is>
          <t>LMIB$</t>
        </is>
      </c>
      <c r="D159" s="48" t="n">
        <v>450000</v>
      </c>
      <c r="E159" s="48" t="n">
        <v>12355000</v>
      </c>
      <c r="F159" s="49" t="n"/>
    </row>
    <row r="160">
      <c r="C160" s="42" t="inlineStr">
        <is>
          <t>MMCT%</t>
        </is>
      </c>
      <c r="D160" s="29" t="n">
        <v>0</v>
      </c>
      <c r="E160" s="29" t="n">
        <v>0</v>
      </c>
      <c r="F160" s="31">
        <f>D160-E160</f>
        <v/>
      </c>
    </row>
    <row r="161">
      <c r="C161" s="42" t="inlineStr">
        <is>
          <t>MINB%</t>
        </is>
      </c>
      <c r="D161" s="29" t="n">
        <v>0</v>
      </c>
      <c r="E161" s="29" t="n">
        <v>0.01345291479820628</v>
      </c>
      <c r="F161" s="31">
        <f>D161-E161</f>
        <v/>
      </c>
    </row>
    <row r="162">
      <c r="C162" s="42" t="inlineStr">
        <is>
          <t>Asian%</t>
        </is>
      </c>
      <c r="D162" s="29" t="n">
        <v>0</v>
      </c>
      <c r="E162" s="29" t="n">
        <v>0</v>
      </c>
      <c r="F162" s="31">
        <f>D162-E162</f>
        <v/>
      </c>
    </row>
    <row r="163">
      <c r="C163" s="42" t="inlineStr">
        <is>
          <t>Black%</t>
        </is>
      </c>
      <c r="D163" s="29" t="n">
        <v>0</v>
      </c>
      <c r="E163" s="29" t="n">
        <v>0</v>
      </c>
      <c r="F163" s="31">
        <f>D163-E163</f>
        <v/>
      </c>
    </row>
    <row r="164" ht="21.75" customHeight="1" s="47">
      <c r="C164" s="42" t="inlineStr">
        <is>
          <t>Native American%</t>
        </is>
      </c>
      <c r="D164" s="29" t="n">
        <v>0</v>
      </c>
      <c r="E164" s="29" t="n">
        <v>0</v>
      </c>
      <c r="F164" s="31">
        <f>D164-E164</f>
        <v/>
      </c>
    </row>
    <row r="165">
      <c r="C165" s="42" t="inlineStr">
        <is>
          <t>HoPI%</t>
        </is>
      </c>
      <c r="D165" s="29" t="n">
        <v>0</v>
      </c>
      <c r="E165" s="29" t="n">
        <v>0</v>
      </c>
      <c r="F165" s="31">
        <f>D165-E165</f>
        <v/>
      </c>
    </row>
    <row r="166">
      <c r="C166" s="42" t="inlineStr">
        <is>
          <t>Hispanic%</t>
        </is>
      </c>
      <c r="D166" s="29" t="n">
        <v>0</v>
      </c>
      <c r="E166" s="29" t="n">
        <v>0.01345291479820628</v>
      </c>
      <c r="F166" s="31">
        <f>D166-E166</f>
        <v/>
      </c>
    </row>
    <row r="167">
      <c r="A167" s="46" t="inlineStr">
        <is>
          <t>District of Columbia</t>
        </is>
      </c>
      <c r="B167" s="42" t="inlineStr">
        <is>
          <t>Carolina Non-MSA</t>
        </is>
      </c>
      <c r="C167" s="42" t="inlineStr">
        <is>
          <t>Loans</t>
        </is>
      </c>
      <c r="D167" s="46" t="n">
        <v>11</v>
      </c>
      <c r="E167" s="25" t="n">
        <v>446</v>
      </c>
    </row>
    <row r="168">
      <c r="C168" s="42" t="inlineStr">
        <is>
          <t xml:space="preserve">LMICT% </t>
        </is>
      </c>
      <c r="D168" s="29" t="n">
        <v>0.2075471698113208</v>
      </c>
      <c r="E168" s="29" t="n">
        <v>0.2244629548443665</v>
      </c>
      <c r="F168" s="31">
        <f>D168-E168</f>
        <v/>
      </c>
    </row>
    <row r="169">
      <c r="C169" s="42" t="inlineStr">
        <is>
          <t>LMIB%</t>
        </is>
      </c>
      <c r="D169" s="29" t="n">
        <v>0.3207547169811321</v>
      </c>
      <c r="E169" s="29" t="n">
        <v>0.3064445418676019</v>
      </c>
      <c r="F169" s="31">
        <f>D169-E169</f>
        <v/>
      </c>
    </row>
    <row r="170">
      <c r="C170" s="42" t="inlineStr">
        <is>
          <t>LMIB$</t>
        </is>
      </c>
      <c r="D170" s="48" t="n">
        <v>2725000</v>
      </c>
      <c r="E170" s="48" t="n">
        <v>124735000</v>
      </c>
      <c r="F170" s="49" t="n"/>
    </row>
    <row r="171">
      <c r="C171" s="42" t="inlineStr">
        <is>
          <t>MMCT%</t>
        </is>
      </c>
      <c r="D171" s="29" t="n">
        <v>0.1320754716981132</v>
      </c>
      <c r="E171" s="29" t="n">
        <v>0.1832529592284086</v>
      </c>
      <c r="F171" s="31">
        <f>D171-E171</f>
        <v/>
      </c>
    </row>
    <row r="172">
      <c r="C172" s="42" t="inlineStr">
        <is>
          <t>MINB%</t>
        </is>
      </c>
      <c r="D172" s="29" t="n">
        <v>0.07547169811320754</v>
      </c>
      <c r="E172" s="29" t="n">
        <v>0.1424813678211311</v>
      </c>
      <c r="F172" s="31">
        <f>D172-E172</f>
        <v/>
      </c>
    </row>
    <row r="173">
      <c r="C173" s="42" t="inlineStr">
        <is>
          <t>Asian%</t>
        </is>
      </c>
      <c r="D173" s="29" t="n">
        <v>0</v>
      </c>
      <c r="E173" s="29" t="n">
        <v>0</v>
      </c>
      <c r="F173" s="31">
        <f>D173-E173</f>
        <v/>
      </c>
    </row>
    <row r="174">
      <c r="C174" s="42" t="inlineStr">
        <is>
          <t>Black%</t>
        </is>
      </c>
      <c r="D174" s="29" t="n">
        <v>0</v>
      </c>
      <c r="E174" s="29" t="n">
        <v>0</v>
      </c>
      <c r="F174" s="31">
        <f>D174-E174</f>
        <v/>
      </c>
    </row>
    <row r="175" ht="21.75" customHeight="1" s="47">
      <c r="C175" s="42" t="inlineStr">
        <is>
          <t>Native American%</t>
        </is>
      </c>
      <c r="D175" s="29" t="n">
        <v>0</v>
      </c>
      <c r="E175" s="29" t="n">
        <v>0</v>
      </c>
      <c r="F175" s="31">
        <f>D175-E175</f>
        <v/>
      </c>
    </row>
    <row r="176">
      <c r="C176" s="42" t="inlineStr">
        <is>
          <t>HoPI%</t>
        </is>
      </c>
      <c r="D176" s="29" t="n">
        <v>0</v>
      </c>
      <c r="E176" s="29" t="n">
        <v>0</v>
      </c>
      <c r="F176" s="31">
        <f>D176-E176</f>
        <v/>
      </c>
    </row>
    <row r="177">
      <c r="C177" s="42" t="inlineStr">
        <is>
          <t>Hispanic%</t>
        </is>
      </c>
      <c r="D177" s="29" t="n">
        <v>0.07547169811320754</v>
      </c>
      <c r="E177" s="29" t="n">
        <v>0.1424813678211311</v>
      </c>
      <c r="F177" s="31">
        <f>D177-E177</f>
        <v/>
      </c>
    </row>
    <row r="178">
      <c r="A178" s="46" t="inlineStr">
        <is>
          <t>Florida</t>
        </is>
      </c>
      <c r="B178" s="42" t="inlineStr">
        <is>
          <t>Burlington, NC</t>
        </is>
      </c>
      <c r="C178" s="42" t="inlineStr">
        <is>
          <t>Loans</t>
        </is>
      </c>
      <c r="D178" s="46" t="n">
        <v>53</v>
      </c>
      <c r="E178" s="25" t="n">
        <v>2281</v>
      </c>
    </row>
    <row r="179">
      <c r="C179" s="42" t="inlineStr">
        <is>
          <t xml:space="preserve">LMICT% </t>
        </is>
      </c>
      <c r="D179" s="29" t="n">
        <v>0.09375</v>
      </c>
      <c r="E179" s="29" t="n">
        <v>0.2049549549549549</v>
      </c>
      <c r="F179" s="31">
        <f>D179-E179</f>
        <v/>
      </c>
    </row>
    <row r="180">
      <c r="C180" s="42" t="inlineStr">
        <is>
          <t>LMIB%</t>
        </is>
      </c>
      <c r="D180" s="29" t="n">
        <v>0.09375</v>
      </c>
      <c r="E180" s="29" t="n">
        <v>0.2338877338877339</v>
      </c>
      <c r="F180" s="31">
        <f>D180-E180</f>
        <v/>
      </c>
    </row>
    <row r="181">
      <c r="C181" s="42" t="inlineStr">
        <is>
          <t>LMIB$</t>
        </is>
      </c>
      <c r="D181" s="48" t="n">
        <v>2655000</v>
      </c>
      <c r="E181" s="48" t="n">
        <v>331090000</v>
      </c>
      <c r="F181" s="49" t="n"/>
    </row>
    <row r="182">
      <c r="C182" s="42" t="inlineStr">
        <is>
          <t>MMCT%</t>
        </is>
      </c>
      <c r="D182" s="29" t="n">
        <v>0.09375</v>
      </c>
      <c r="E182" s="29" t="n">
        <v>0.1864171864171864</v>
      </c>
      <c r="F182" s="31">
        <f>D182-E182</f>
        <v/>
      </c>
    </row>
    <row r="183">
      <c r="C183" s="42" t="inlineStr">
        <is>
          <t>MINB%</t>
        </is>
      </c>
      <c r="D183" s="29" t="n">
        <v>0.01041666666666666</v>
      </c>
      <c r="E183" s="29" t="n">
        <v>0.04677754677754678</v>
      </c>
      <c r="F183" s="31">
        <f>D183-E183</f>
        <v/>
      </c>
    </row>
    <row r="184">
      <c r="C184" s="42" t="inlineStr">
        <is>
          <t>Asian%</t>
        </is>
      </c>
      <c r="D184" s="29" t="n">
        <v>0</v>
      </c>
      <c r="E184" s="29" t="n">
        <v>0</v>
      </c>
      <c r="F184" s="31">
        <f>D184-E184</f>
        <v/>
      </c>
    </row>
    <row r="185">
      <c r="C185" s="42" t="inlineStr">
        <is>
          <t>Black%</t>
        </is>
      </c>
      <c r="D185" s="29" t="n">
        <v>0</v>
      </c>
      <c r="E185" s="29" t="n">
        <v>0</v>
      </c>
      <c r="F185" s="31">
        <f>D185-E185</f>
        <v/>
      </c>
    </row>
    <row r="186" ht="21.75" customHeight="1" s="47">
      <c r="C186" s="42" t="inlineStr">
        <is>
          <t>Native American%</t>
        </is>
      </c>
      <c r="D186" s="29" t="n">
        <v>0</v>
      </c>
      <c r="E186" s="29" t="n">
        <v>0</v>
      </c>
      <c r="F186" s="31">
        <f>D186-E186</f>
        <v/>
      </c>
    </row>
    <row r="187">
      <c r="C187" s="42" t="inlineStr">
        <is>
          <t>HoPI%</t>
        </is>
      </c>
      <c r="D187" s="29" t="n">
        <v>0</v>
      </c>
      <c r="E187" s="29" t="n">
        <v>0</v>
      </c>
      <c r="F187" s="31">
        <f>D187-E187</f>
        <v/>
      </c>
    </row>
    <row r="188">
      <c r="C188" s="42" t="inlineStr">
        <is>
          <t>Hispanic%</t>
        </is>
      </c>
      <c r="D188" s="29" t="n">
        <v>0.01041666666666666</v>
      </c>
      <c r="E188" s="29" t="n">
        <v>0.04677754677754678</v>
      </c>
      <c r="F188" s="31">
        <f>D188-E188</f>
        <v/>
      </c>
    </row>
    <row r="189">
      <c r="B189" s="42" t="inlineStr">
        <is>
          <t>Charleston-North Charleston, SC</t>
        </is>
      </c>
      <c r="C189" s="42" t="inlineStr">
        <is>
          <t>Loans</t>
        </is>
      </c>
      <c r="D189" s="46" t="n">
        <v>96</v>
      </c>
      <c r="E189" s="25" t="n">
        <v>5772</v>
      </c>
    </row>
    <row r="190">
      <c r="C190" s="42" t="inlineStr">
        <is>
          <t xml:space="preserve">LMICT% </t>
        </is>
      </c>
      <c r="D190" s="29" t="n">
        <v>0.1452513966480447</v>
      </c>
      <c r="E190" s="29" t="n">
        <v>0.2208523120215582</v>
      </c>
      <c r="F190" s="31">
        <f>D190-E190</f>
        <v/>
      </c>
    </row>
    <row r="191">
      <c r="C191" s="42" t="inlineStr">
        <is>
          <t>LMIB%</t>
        </is>
      </c>
      <c r="D191" s="29" t="n">
        <v>0.1424581005586592</v>
      </c>
      <c r="E191" s="29" t="n">
        <v>0.2510910261607803</v>
      </c>
      <c r="F191" s="31">
        <f>D191-E191</f>
        <v/>
      </c>
    </row>
    <row r="192">
      <c r="C192" s="42" t="inlineStr">
        <is>
          <t>LMIB$</t>
        </is>
      </c>
      <c r="D192" s="48" t="n">
        <v>23000000</v>
      </c>
      <c r="E192" s="48" t="n">
        <v>2276925000</v>
      </c>
      <c r="F192" s="49" t="n"/>
    </row>
    <row r="193">
      <c r="C193" s="42" t="inlineStr">
        <is>
          <t>MMCT%</t>
        </is>
      </c>
      <c r="D193" s="29" t="n">
        <v>0.1787709497206704</v>
      </c>
      <c r="E193" s="29" t="n">
        <v>0.2742708606586698</v>
      </c>
      <c r="F193" s="31">
        <f>D193-E193</f>
        <v/>
      </c>
    </row>
    <row r="194">
      <c r="C194" s="42" t="inlineStr">
        <is>
          <t>MINB%</t>
        </is>
      </c>
      <c r="D194" s="29" t="n">
        <v>0.09357541899441341</v>
      </c>
      <c r="E194" s="29" t="n">
        <v>0.1244842963775547</v>
      </c>
      <c r="F194" s="31">
        <f>D194-E194</f>
        <v/>
      </c>
    </row>
    <row r="195">
      <c r="C195" s="42" t="inlineStr">
        <is>
          <t>Asian%</t>
        </is>
      </c>
      <c r="D195" s="29" t="n">
        <v>0</v>
      </c>
      <c r="E195" s="29" t="n">
        <v>0</v>
      </c>
      <c r="F195" s="31">
        <f>D195-E195</f>
        <v/>
      </c>
    </row>
    <row r="196">
      <c r="C196" s="42" t="inlineStr">
        <is>
          <t>Black%</t>
        </is>
      </c>
      <c r="D196" s="29" t="n">
        <v>0</v>
      </c>
      <c r="E196" s="29" t="n">
        <v>0</v>
      </c>
      <c r="F196" s="31">
        <f>D196-E196</f>
        <v/>
      </c>
    </row>
    <row r="197" ht="21.75" customHeight="1" s="47">
      <c r="C197" s="42" t="inlineStr">
        <is>
          <t>Native American%</t>
        </is>
      </c>
      <c r="D197" s="29" t="n">
        <v>0</v>
      </c>
      <c r="E197" s="29" t="n">
        <v>0</v>
      </c>
      <c r="F197" s="31">
        <f>D197-E197</f>
        <v/>
      </c>
    </row>
    <row r="198">
      <c r="C198" s="42" t="inlineStr">
        <is>
          <t>HoPI%</t>
        </is>
      </c>
      <c r="D198" s="29" t="n">
        <v>0</v>
      </c>
      <c r="E198" s="29" t="n">
        <v>0</v>
      </c>
      <c r="F198" s="31">
        <f>D198-E198</f>
        <v/>
      </c>
    </row>
    <row r="199">
      <c r="C199" s="42" t="inlineStr">
        <is>
          <t>Hispanic%</t>
        </is>
      </c>
      <c r="D199" s="29" t="n">
        <v>0.09357541899441341</v>
      </c>
      <c r="E199" s="29" t="n">
        <v>0.1244842963775547</v>
      </c>
      <c r="F199" s="31">
        <f>D199-E199</f>
        <v/>
      </c>
    </row>
    <row r="200">
      <c r="B200" s="42" t="inlineStr">
        <is>
          <t>Charlotte-Concord-Gastonia, NC-SC</t>
        </is>
      </c>
      <c r="C200" s="42" t="inlineStr">
        <is>
          <t>Loans</t>
        </is>
      </c>
      <c r="D200" s="46" t="n">
        <v>716</v>
      </c>
      <c r="E200" s="25" t="n">
        <v>41933</v>
      </c>
    </row>
    <row r="201">
      <c r="C201" s="42" t="inlineStr">
        <is>
          <t xml:space="preserve">LMICT% </t>
        </is>
      </c>
      <c r="D201" s="29" t="n">
        <v>0.08333333333333331</v>
      </c>
      <c r="E201" s="29" t="n">
        <v>0.1733977172958736</v>
      </c>
      <c r="F201" s="31">
        <f>D201-E201</f>
        <v/>
      </c>
    </row>
    <row r="202">
      <c r="C202" s="42" t="inlineStr">
        <is>
          <t>LMIB%</t>
        </is>
      </c>
      <c r="D202" s="29" t="n">
        <v>0.2777777777777778</v>
      </c>
      <c r="E202" s="29" t="n">
        <v>0.3230904302019315</v>
      </c>
      <c r="F202" s="31">
        <f>D202-E202</f>
        <v/>
      </c>
    </row>
    <row r="203">
      <c r="C203" s="42" t="inlineStr">
        <is>
          <t>LMIB$</t>
        </is>
      </c>
      <c r="D203" s="48" t="n">
        <v>1720000</v>
      </c>
      <c r="E203" s="48" t="n">
        <v>125490000</v>
      </c>
      <c r="F203" s="49" t="n"/>
    </row>
    <row r="204">
      <c r="C204" s="42" t="inlineStr">
        <is>
          <t>MMCT%</t>
        </is>
      </c>
      <c r="D204" s="29" t="n">
        <v>0.5277777777777778</v>
      </c>
      <c r="E204" s="29" t="n">
        <v>0.6870061457418788</v>
      </c>
      <c r="F204" s="31">
        <f>D204-E204</f>
        <v/>
      </c>
    </row>
    <row r="205">
      <c r="C205" s="42" t="inlineStr">
        <is>
          <t>MINB%</t>
        </is>
      </c>
      <c r="D205" s="29" t="n">
        <v>0</v>
      </c>
      <c r="E205" s="29" t="n">
        <v>0.05838454784899035</v>
      </c>
      <c r="F205" s="31">
        <f>D205-E205</f>
        <v/>
      </c>
    </row>
    <row r="206">
      <c r="C206" s="42" t="inlineStr">
        <is>
          <t>Asian%</t>
        </is>
      </c>
      <c r="D206" s="29" t="n">
        <v>0</v>
      </c>
      <c r="E206" s="29" t="n">
        <v>0</v>
      </c>
      <c r="F206" s="31">
        <f>D206-E206</f>
        <v/>
      </c>
    </row>
    <row r="207">
      <c r="C207" s="42" t="inlineStr">
        <is>
          <t>Black%</t>
        </is>
      </c>
      <c r="D207" s="29" t="n">
        <v>0</v>
      </c>
      <c r="E207" s="29" t="n">
        <v>0</v>
      </c>
      <c r="F207" s="31">
        <f>D207-E207</f>
        <v/>
      </c>
    </row>
    <row r="208" ht="21.75" customHeight="1" s="47">
      <c r="C208" s="42" t="inlineStr">
        <is>
          <t>Native American%</t>
        </is>
      </c>
      <c r="D208" s="29" t="n">
        <v>0</v>
      </c>
      <c r="E208" s="29" t="n">
        <v>0</v>
      </c>
      <c r="F208" s="31">
        <f>D208-E208</f>
        <v/>
      </c>
    </row>
    <row r="209">
      <c r="C209" s="42" t="inlineStr">
        <is>
          <t>HoPI%</t>
        </is>
      </c>
      <c r="D209" s="29" t="n">
        <v>0</v>
      </c>
      <c r="E209" s="29" t="n">
        <v>0</v>
      </c>
      <c r="F209" s="31">
        <f>D209-E209</f>
        <v/>
      </c>
    </row>
    <row r="210">
      <c r="C210" s="42" t="inlineStr">
        <is>
          <t>Hispanic%</t>
        </is>
      </c>
      <c r="D210" s="29" t="n">
        <v>0</v>
      </c>
      <c r="E210" s="29" t="n">
        <v>0.05838454784899035</v>
      </c>
      <c r="F210" s="31">
        <f>D210-E210</f>
        <v/>
      </c>
    </row>
    <row r="211">
      <c r="B211" s="42" t="inlineStr">
        <is>
          <t>Columbia, SC</t>
        </is>
      </c>
      <c r="C211" s="42" t="inlineStr">
        <is>
          <t>Loans</t>
        </is>
      </c>
      <c r="D211" s="46" t="n">
        <v>36</v>
      </c>
      <c r="E211" s="25" t="n">
        <v>2278</v>
      </c>
    </row>
    <row r="212">
      <c r="C212" s="42" t="inlineStr">
        <is>
          <t xml:space="preserve">LMICT% </t>
        </is>
      </c>
      <c r="D212" s="29" t="n">
        <v>0.1640625</v>
      </c>
      <c r="E212" s="29" t="n">
        <v>0.2206179878609527</v>
      </c>
      <c r="F212" s="31">
        <f>D212-E212</f>
        <v/>
      </c>
    </row>
    <row r="213">
      <c r="C213" s="42" t="inlineStr">
        <is>
          <t>LMIB%</t>
        </is>
      </c>
      <c r="D213" s="29" t="n">
        <v>0.203125</v>
      </c>
      <c r="E213" s="29" t="n">
        <v>0.2426889828949788</v>
      </c>
      <c r="F213" s="31">
        <f>D213-E213</f>
        <v/>
      </c>
    </row>
    <row r="214">
      <c r="C214" s="42" t="inlineStr">
        <is>
          <t>LMIB$</t>
        </is>
      </c>
      <c r="D214" s="48" t="n">
        <v>12060000</v>
      </c>
      <c r="E214" s="48" t="n">
        <v>596675000</v>
      </c>
      <c r="F214" s="49" t="n"/>
    </row>
    <row r="215">
      <c r="C215" s="42" t="inlineStr">
        <is>
          <t>MMCT%</t>
        </is>
      </c>
      <c r="D215" s="29" t="n">
        <v>0.28125</v>
      </c>
      <c r="E215" s="29" t="n">
        <v>0.3597572190546257</v>
      </c>
      <c r="F215" s="31">
        <f>D215-E215</f>
        <v/>
      </c>
    </row>
    <row r="216">
      <c r="C216" s="42" t="inlineStr">
        <is>
          <t>MINB%</t>
        </is>
      </c>
      <c r="D216" s="29" t="n">
        <v>0.05859375</v>
      </c>
      <c r="E216" s="29" t="n">
        <v>0.1086076880632702</v>
      </c>
      <c r="F216" s="31">
        <f>D216-E216</f>
        <v/>
      </c>
    </row>
    <row r="217">
      <c r="C217" s="42" t="inlineStr">
        <is>
          <t>Asian%</t>
        </is>
      </c>
      <c r="D217" s="29" t="n">
        <v>0</v>
      </c>
      <c r="E217" s="29" t="n">
        <v>0</v>
      </c>
      <c r="F217" s="31">
        <f>D217-E217</f>
        <v/>
      </c>
    </row>
    <row r="218">
      <c r="C218" s="42" t="inlineStr">
        <is>
          <t>Black%</t>
        </is>
      </c>
      <c r="D218" s="29" t="n">
        <v>0</v>
      </c>
      <c r="E218" s="29" t="n">
        <v>0</v>
      </c>
      <c r="F218" s="31">
        <f>D218-E218</f>
        <v/>
      </c>
    </row>
    <row r="219" ht="21.75" customHeight="1" s="47">
      <c r="C219" s="42" t="inlineStr">
        <is>
          <t>Native American%</t>
        </is>
      </c>
      <c r="D219" s="29" t="n">
        <v>0</v>
      </c>
      <c r="E219" s="29" t="n">
        <v>0</v>
      </c>
      <c r="F219" s="31">
        <f>D219-E219</f>
        <v/>
      </c>
    </row>
    <row r="220">
      <c r="C220" s="42" t="inlineStr">
        <is>
          <t>HoPI%</t>
        </is>
      </c>
      <c r="D220" s="29" t="n">
        <v>0</v>
      </c>
      <c r="E220" s="29" t="n">
        <v>0</v>
      </c>
      <c r="F220" s="31">
        <f>D220-E220</f>
        <v/>
      </c>
    </row>
    <row r="221">
      <c r="C221" s="42" t="inlineStr">
        <is>
          <t>Hispanic%</t>
        </is>
      </c>
      <c r="D221" s="29" t="n">
        <v>0.05859375</v>
      </c>
      <c r="E221" s="29" t="n">
        <v>0.1086076880632702</v>
      </c>
      <c r="F221" s="31">
        <f>D221-E221</f>
        <v/>
      </c>
    </row>
    <row r="222">
      <c r="B222" s="42" t="inlineStr">
        <is>
          <t>Durham-Chapel Hill, NC</t>
        </is>
      </c>
      <c r="C222" s="42" t="inlineStr">
        <is>
          <t>Loans</t>
        </is>
      </c>
      <c r="D222" s="46" t="n">
        <v>256</v>
      </c>
      <c r="E222" s="25" t="n">
        <v>10874</v>
      </c>
    </row>
    <row r="223">
      <c r="C223" s="42" t="inlineStr">
        <is>
          <t xml:space="preserve">LMICT% </t>
        </is>
      </c>
      <c r="D223" s="29" t="n">
        <v>0</v>
      </c>
      <c r="E223" s="29" t="n">
        <v>0.02555366269165247</v>
      </c>
      <c r="F223" s="31">
        <f>D223-E223</f>
        <v/>
      </c>
    </row>
    <row r="224">
      <c r="C224" s="42" t="inlineStr">
        <is>
          <t>LMIB%</t>
        </is>
      </c>
      <c r="D224" s="29" t="n">
        <v>0.4</v>
      </c>
      <c r="E224" s="29" t="n">
        <v>0.1328790459965928</v>
      </c>
      <c r="F224" s="31">
        <f>D224-E224</f>
        <v/>
      </c>
    </row>
    <row r="225">
      <c r="C225" s="42" t="inlineStr">
        <is>
          <t>LMIB$</t>
        </is>
      </c>
      <c r="D225" s="48" t="n">
        <v>430000</v>
      </c>
      <c r="E225" s="48" t="n">
        <v>11750000</v>
      </c>
      <c r="F225" s="49" t="n"/>
    </row>
    <row r="226">
      <c r="C226" s="42" t="inlineStr">
        <is>
          <t>MMCT%</t>
        </is>
      </c>
      <c r="D226" s="29" t="n">
        <v>0.2</v>
      </c>
      <c r="E226" s="29" t="n">
        <v>0.2010221465076661</v>
      </c>
      <c r="F226" s="31">
        <f>D226-E226</f>
        <v/>
      </c>
    </row>
    <row r="227">
      <c r="C227" s="42" t="inlineStr">
        <is>
          <t>MINB%</t>
        </is>
      </c>
      <c r="D227" s="29" t="n">
        <v>0</v>
      </c>
      <c r="E227" s="29" t="n">
        <v>0.04088586030664395</v>
      </c>
      <c r="F227" s="31">
        <f>D227-E227</f>
        <v/>
      </c>
    </row>
    <row r="228">
      <c r="C228" s="42" t="inlineStr">
        <is>
          <t>Asian%</t>
        </is>
      </c>
      <c r="D228" s="29" t="n">
        <v>0</v>
      </c>
      <c r="E228" s="29" t="n">
        <v>0</v>
      </c>
      <c r="F228" s="31">
        <f>D228-E228</f>
        <v/>
      </c>
    </row>
    <row r="229">
      <c r="C229" s="42" t="inlineStr">
        <is>
          <t>Black%</t>
        </is>
      </c>
      <c r="D229" s="29" t="n">
        <v>0</v>
      </c>
      <c r="E229" s="29" t="n">
        <v>0</v>
      </c>
      <c r="F229" s="31">
        <f>D229-E229</f>
        <v/>
      </c>
    </row>
    <row r="230" ht="21.75" customHeight="1" s="47">
      <c r="C230" s="42" t="inlineStr">
        <is>
          <t>Native American%</t>
        </is>
      </c>
      <c r="D230" s="29" t="n">
        <v>0</v>
      </c>
      <c r="E230" s="29" t="n">
        <v>0</v>
      </c>
      <c r="F230" s="31">
        <f>D230-E230</f>
        <v/>
      </c>
    </row>
    <row r="231">
      <c r="C231" s="42" t="inlineStr">
        <is>
          <t>HoPI%</t>
        </is>
      </c>
      <c r="D231" s="29" t="n">
        <v>0</v>
      </c>
      <c r="E231" s="29" t="n">
        <v>0</v>
      </c>
      <c r="F231" s="31">
        <f>D231-E231</f>
        <v/>
      </c>
    </row>
    <row r="232">
      <c r="C232" s="42" t="inlineStr">
        <is>
          <t>Hispanic%</t>
        </is>
      </c>
      <c r="D232" s="29" t="n">
        <v>0</v>
      </c>
      <c r="E232" s="29" t="n">
        <v>0.04088586030664395</v>
      </c>
      <c r="F232" s="31">
        <f>D232-E232</f>
        <v/>
      </c>
    </row>
    <row r="233">
      <c r="B233" s="42" t="inlineStr">
        <is>
          <t>Carolina Non-MSA</t>
        </is>
      </c>
      <c r="C233" s="42" t="inlineStr">
        <is>
          <t>Loans</t>
        </is>
      </c>
      <c r="D233" s="46" t="n">
        <v>10</v>
      </c>
      <c r="E233" s="25" t="n">
        <v>587</v>
      </c>
    </row>
    <row r="234">
      <c r="C234" s="42" t="inlineStr">
        <is>
          <t xml:space="preserve">LMICT% </t>
        </is>
      </c>
      <c r="D234" s="29" t="n">
        <v>0.08181818181818182</v>
      </c>
      <c r="E234" s="29" t="n">
        <v>0.08580801104972374</v>
      </c>
      <c r="F234" s="31">
        <f>D234-E234</f>
        <v/>
      </c>
    </row>
    <row r="235">
      <c r="C235" s="42" t="inlineStr">
        <is>
          <t>LMIB%</t>
        </is>
      </c>
      <c r="D235" s="29" t="n">
        <v>0.2272727272727273</v>
      </c>
      <c r="E235" s="29" t="n">
        <v>0.2011395027624309</v>
      </c>
      <c r="F235" s="31">
        <f>D235-E235</f>
        <v/>
      </c>
    </row>
    <row r="236">
      <c r="C236" s="42" t="inlineStr">
        <is>
          <t>LMIB$</t>
        </is>
      </c>
      <c r="D236" s="48" t="n">
        <v>3035000</v>
      </c>
      <c r="E236" s="48" t="n">
        <v>184095000</v>
      </c>
      <c r="F236" s="49" t="n"/>
    </row>
    <row r="237">
      <c r="C237" s="42" t="inlineStr">
        <is>
          <t>MMCT%</t>
        </is>
      </c>
      <c r="D237" s="29" t="n">
        <v>0.4272727272727272</v>
      </c>
      <c r="E237" s="29" t="n">
        <v>0.3877762430939227</v>
      </c>
      <c r="F237" s="31">
        <f>D237-E237</f>
        <v/>
      </c>
    </row>
    <row r="238">
      <c r="C238" s="42" t="inlineStr">
        <is>
          <t>MINB%</t>
        </is>
      </c>
      <c r="D238" s="29" t="n">
        <v>0.06363636363636363</v>
      </c>
      <c r="E238" s="29" t="n">
        <v>0.1396754143646409</v>
      </c>
      <c r="F238" s="31">
        <f>D238-E238</f>
        <v/>
      </c>
    </row>
    <row r="239">
      <c r="C239" s="42" t="inlineStr">
        <is>
          <t>Asian%</t>
        </is>
      </c>
      <c r="D239" s="29" t="n">
        <v>0</v>
      </c>
      <c r="E239" s="29" t="n">
        <v>0</v>
      </c>
      <c r="F239" s="31">
        <f>D239-E239</f>
        <v/>
      </c>
    </row>
    <row r="240">
      <c r="C240" s="42" t="inlineStr">
        <is>
          <t>Black%</t>
        </is>
      </c>
      <c r="D240" s="29" t="n">
        <v>0</v>
      </c>
      <c r="E240" s="29" t="n">
        <v>0</v>
      </c>
      <c r="F240" s="31">
        <f>D240-E240</f>
        <v/>
      </c>
    </row>
    <row r="241" ht="21.75" customHeight="1" s="47">
      <c r="C241" s="42" t="inlineStr">
        <is>
          <t>Native American%</t>
        </is>
      </c>
      <c r="D241" s="29" t="n">
        <v>0</v>
      </c>
      <c r="E241" s="29" t="n">
        <v>0</v>
      </c>
      <c r="F241" s="31">
        <f>D241-E241</f>
        <v/>
      </c>
    </row>
    <row r="242">
      <c r="C242" s="42" t="inlineStr">
        <is>
          <t>HoPI%</t>
        </is>
      </c>
      <c r="D242" s="29" t="n">
        <v>0</v>
      </c>
      <c r="E242" s="29" t="n">
        <v>0</v>
      </c>
      <c r="F242" s="31">
        <f>D242-E242</f>
        <v/>
      </c>
    </row>
    <row r="243">
      <c r="C243" s="42" t="inlineStr">
        <is>
          <t>Hispanic%</t>
        </is>
      </c>
      <c r="D243" s="29" t="n">
        <v>0.06363636363636363</v>
      </c>
      <c r="E243" s="29" t="n">
        <v>0.1396754143646409</v>
      </c>
      <c r="F243" s="31">
        <f>D243-E243</f>
        <v/>
      </c>
    </row>
    <row r="244">
      <c r="B244" s="42" t="inlineStr">
        <is>
          <t>Fayetteville, NC</t>
        </is>
      </c>
      <c r="C244" s="42" t="inlineStr">
        <is>
          <t>Loans</t>
        </is>
      </c>
      <c r="D244" s="46" t="n">
        <v>110</v>
      </c>
      <c r="E244" s="25" t="n">
        <v>5792</v>
      </c>
    </row>
    <row r="245">
      <c r="C245" s="42" t="inlineStr">
        <is>
          <t xml:space="preserve">LMICT% </t>
        </is>
      </c>
      <c r="D245" s="29" t="n">
        <v>0.05</v>
      </c>
      <c r="E245" s="29" t="n">
        <v>0.07415730337078652</v>
      </c>
      <c r="F245" s="31">
        <f>D245-E245</f>
        <v/>
      </c>
    </row>
    <row r="246">
      <c r="C246" s="42" t="inlineStr">
        <is>
          <t>LMIB%</t>
        </is>
      </c>
      <c r="D246" s="29" t="n">
        <v>0.15</v>
      </c>
      <c r="E246" s="29" t="n">
        <v>0.2831460674157303</v>
      </c>
      <c r="F246" s="31">
        <f>D246-E246</f>
        <v/>
      </c>
    </row>
    <row r="247">
      <c r="C247" s="42" t="inlineStr">
        <is>
          <t>LMIB$</t>
        </is>
      </c>
      <c r="D247" s="48" t="n">
        <v>395000</v>
      </c>
      <c r="E247" s="48" t="n">
        <v>38870000</v>
      </c>
      <c r="F247" s="31" t="n"/>
    </row>
    <row r="248">
      <c r="C248" s="42" t="inlineStr">
        <is>
          <t>MMCT%</t>
        </is>
      </c>
      <c r="D248" s="29" t="n">
        <v>0.1</v>
      </c>
      <c r="E248" s="29" t="n">
        <v>0.2764044943820225</v>
      </c>
      <c r="F248" s="31">
        <f>D248-E248</f>
        <v/>
      </c>
    </row>
    <row r="249">
      <c r="C249" s="42" t="inlineStr">
        <is>
          <t>MINB%</t>
        </is>
      </c>
      <c r="D249" s="29" t="n">
        <v>0</v>
      </c>
      <c r="E249" s="29" t="n">
        <v>0.0404494382022472</v>
      </c>
      <c r="F249" s="31">
        <f>D249-E249</f>
        <v/>
      </c>
    </row>
    <row r="250">
      <c r="C250" s="42" t="inlineStr">
        <is>
          <t>Asian%</t>
        </is>
      </c>
      <c r="D250" s="29" t="n">
        <v>0</v>
      </c>
      <c r="E250" s="29" t="n">
        <v>0</v>
      </c>
      <c r="F250" s="31">
        <f>D250-E250</f>
        <v/>
      </c>
    </row>
    <row r="251">
      <c r="C251" s="42" t="inlineStr">
        <is>
          <t>Black%</t>
        </is>
      </c>
      <c r="D251" s="29" t="n">
        <v>0</v>
      </c>
      <c r="E251" s="29" t="n">
        <v>0</v>
      </c>
      <c r="F251" s="31">
        <f>D251-E251</f>
        <v/>
      </c>
    </row>
    <row r="252" ht="21.75" customHeight="1" s="47">
      <c r="C252" s="42" t="inlineStr">
        <is>
          <t>Native American%</t>
        </is>
      </c>
      <c r="D252" s="29" t="n">
        <v>0</v>
      </c>
      <c r="E252" s="29" t="n">
        <v>0</v>
      </c>
      <c r="F252" s="31">
        <f>D252-E252</f>
        <v/>
      </c>
    </row>
    <row r="253">
      <c r="C253" s="42" t="inlineStr">
        <is>
          <t>HoPI%</t>
        </is>
      </c>
      <c r="D253" s="29" t="n">
        <v>0</v>
      </c>
      <c r="E253" s="29" t="n">
        <v>0</v>
      </c>
      <c r="F253" s="31">
        <f>D253-E253</f>
        <v/>
      </c>
    </row>
    <row r="254">
      <c r="C254" s="42" t="inlineStr">
        <is>
          <t>Hispanic%</t>
        </is>
      </c>
      <c r="D254" s="29" t="n">
        <v>0</v>
      </c>
      <c r="E254" s="29" t="n">
        <v>0.0404494382022472</v>
      </c>
      <c r="F254" s="31">
        <f>D254-E254</f>
        <v/>
      </c>
    </row>
    <row r="255">
      <c r="B255" s="42" t="inlineStr">
        <is>
          <t>Florence, SC</t>
        </is>
      </c>
      <c r="C255" s="42" t="inlineStr">
        <is>
          <t>Loans</t>
        </is>
      </c>
      <c r="D255" s="46" t="n">
        <v>20</v>
      </c>
      <c r="E255" s="25" t="n">
        <v>890</v>
      </c>
    </row>
    <row r="256">
      <c r="C256" s="42" t="inlineStr">
        <is>
          <t xml:space="preserve">LMICT% </t>
        </is>
      </c>
      <c r="D256" s="29" t="n">
        <v>0.2</v>
      </c>
      <c r="E256" s="29" t="n">
        <v>0.1943048576214405</v>
      </c>
      <c r="F256" s="31">
        <f>D256-E256</f>
        <v/>
      </c>
    </row>
    <row r="257">
      <c r="C257" s="42" t="inlineStr">
        <is>
          <t>LMIB%</t>
        </is>
      </c>
      <c r="D257" s="29" t="n">
        <v>0.1333333333333333</v>
      </c>
      <c r="E257" s="29" t="n">
        <v>0.2412060301507538</v>
      </c>
      <c r="F257" s="31">
        <f>D257-E257</f>
        <v/>
      </c>
    </row>
    <row r="258">
      <c r="C258" s="42" t="inlineStr">
        <is>
          <t>LMIB$</t>
        </is>
      </c>
      <c r="D258" s="48" t="n">
        <v>210000</v>
      </c>
      <c r="E258" s="48" t="n">
        <v>21080000</v>
      </c>
      <c r="F258" s="49" t="n"/>
    </row>
    <row r="259">
      <c r="C259" s="42" t="inlineStr">
        <is>
          <t>MMCT%</t>
        </is>
      </c>
      <c r="D259" s="29" t="n">
        <v>0</v>
      </c>
      <c r="E259" s="29" t="n">
        <v>0</v>
      </c>
      <c r="F259" s="31">
        <f>D259-E259</f>
        <v/>
      </c>
    </row>
    <row r="260">
      <c r="C260" s="42" t="inlineStr">
        <is>
          <t>MINB%</t>
        </is>
      </c>
      <c r="D260" s="29" t="n">
        <v>0</v>
      </c>
      <c r="E260" s="29" t="n">
        <v>0.06197654941373534</v>
      </c>
      <c r="F260" s="31">
        <f>D260-E260</f>
        <v/>
      </c>
    </row>
    <row r="261">
      <c r="C261" s="42" t="inlineStr">
        <is>
          <t>Asian%</t>
        </is>
      </c>
      <c r="D261" s="29" t="n">
        <v>0</v>
      </c>
      <c r="E261" s="29" t="n">
        <v>0</v>
      </c>
      <c r="F261" s="31">
        <f>D261-E261</f>
        <v/>
      </c>
    </row>
    <row r="262">
      <c r="C262" s="42" t="inlineStr">
        <is>
          <t>Black%</t>
        </is>
      </c>
      <c r="D262" s="29" t="n">
        <v>0</v>
      </c>
      <c r="E262" s="29" t="n">
        <v>0</v>
      </c>
      <c r="F262" s="31">
        <f>D262-E262</f>
        <v/>
      </c>
    </row>
    <row r="263" ht="21.75" customHeight="1" s="47">
      <c r="C263" s="42" t="inlineStr">
        <is>
          <t>Native American%</t>
        </is>
      </c>
      <c r="D263" s="29" t="n">
        <v>0</v>
      </c>
      <c r="E263" s="29" t="n">
        <v>0</v>
      </c>
      <c r="F263" s="31">
        <f>D263-E263</f>
        <v/>
      </c>
    </row>
    <row r="264">
      <c r="C264" s="42" t="inlineStr">
        <is>
          <t>HoPI%</t>
        </is>
      </c>
      <c r="D264" s="29" t="n">
        <v>0</v>
      </c>
      <c r="E264" s="29" t="n">
        <v>0</v>
      </c>
      <c r="F264" s="31">
        <f>D264-E264</f>
        <v/>
      </c>
    </row>
    <row r="265">
      <c r="C265" s="42" t="inlineStr">
        <is>
          <t>Hispanic%</t>
        </is>
      </c>
      <c r="D265" s="29" t="n">
        <v>0</v>
      </c>
      <c r="E265" s="29" t="n">
        <v>0.06197654941373534</v>
      </c>
      <c r="F265" s="31">
        <f>D265-E265</f>
        <v/>
      </c>
    </row>
    <row r="266">
      <c r="B266" s="42" t="inlineStr">
        <is>
          <t>Carolina Non-MSA</t>
        </is>
      </c>
      <c r="C266" s="42" t="inlineStr">
        <is>
          <t>Loans</t>
        </is>
      </c>
      <c r="D266" s="46" t="n">
        <v>15</v>
      </c>
      <c r="E266" s="25" t="n">
        <v>597</v>
      </c>
    </row>
    <row r="267">
      <c r="C267" s="42" t="inlineStr">
        <is>
          <t xml:space="preserve">LMICT% </t>
        </is>
      </c>
      <c r="D267" s="29" t="n">
        <v>0</v>
      </c>
      <c r="E267" s="29" t="n">
        <v>0.03575832305795314</v>
      </c>
      <c r="F267" s="31">
        <f>D267-E267</f>
        <v/>
      </c>
    </row>
    <row r="268">
      <c r="C268" s="42" t="inlineStr">
        <is>
          <t>LMIB%</t>
        </is>
      </c>
      <c r="D268" s="29" t="n">
        <v>0.2857142857142857</v>
      </c>
      <c r="E268" s="29" t="n">
        <v>0.1122071516646116</v>
      </c>
      <c r="F268" s="31">
        <f>D268-E268</f>
        <v/>
      </c>
    </row>
    <row r="269">
      <c r="C269" s="42" t="inlineStr">
        <is>
          <t>LMIB$</t>
        </is>
      </c>
      <c r="D269" s="48" t="n">
        <v>2590000</v>
      </c>
      <c r="E269" s="48" t="n">
        <v>19355000</v>
      </c>
      <c r="F269" s="49" t="n"/>
    </row>
    <row r="270">
      <c r="C270" s="42" t="inlineStr">
        <is>
          <t>MMCT%</t>
        </is>
      </c>
      <c r="D270" s="29" t="n">
        <v>0</v>
      </c>
      <c r="E270" s="29" t="n">
        <v>0.1011097410604192</v>
      </c>
      <c r="F270" s="31">
        <f>D270-E270</f>
        <v/>
      </c>
    </row>
    <row r="271">
      <c r="C271" s="42" t="inlineStr">
        <is>
          <t>MINB%</t>
        </is>
      </c>
      <c r="D271" s="29" t="n">
        <v>0</v>
      </c>
      <c r="E271" s="29" t="n">
        <v>0.01849568434032059</v>
      </c>
      <c r="F271" s="31">
        <f>D271-E271</f>
        <v/>
      </c>
    </row>
    <row r="272">
      <c r="C272" s="42" t="inlineStr">
        <is>
          <t>Asian%</t>
        </is>
      </c>
      <c r="D272" s="29" t="n">
        <v>0</v>
      </c>
      <c r="E272" s="29" t="n">
        <v>0</v>
      </c>
      <c r="F272" s="31">
        <f>D272-E272</f>
        <v/>
      </c>
    </row>
    <row r="273">
      <c r="C273" s="42" t="inlineStr">
        <is>
          <t>Black%</t>
        </is>
      </c>
      <c r="D273" s="29" t="n">
        <v>0</v>
      </c>
      <c r="E273" s="29" t="n">
        <v>0</v>
      </c>
      <c r="F273" s="31">
        <f>D273-E273</f>
        <v/>
      </c>
    </row>
    <row r="274" ht="21.75" customHeight="1" s="47">
      <c r="C274" s="42" t="inlineStr">
        <is>
          <t>Native American%</t>
        </is>
      </c>
      <c r="D274" s="29" t="n">
        <v>0</v>
      </c>
      <c r="E274" s="29" t="n">
        <v>0</v>
      </c>
      <c r="F274" s="31">
        <f>D274-E274</f>
        <v/>
      </c>
    </row>
    <row r="275">
      <c r="C275" s="42" t="inlineStr">
        <is>
          <t>HoPI%</t>
        </is>
      </c>
      <c r="D275" s="29" t="n">
        <v>0</v>
      </c>
      <c r="E275" s="29" t="n">
        <v>0</v>
      </c>
      <c r="F275" s="31">
        <f>D275-E275</f>
        <v/>
      </c>
    </row>
    <row r="276">
      <c r="C276" s="42" t="inlineStr">
        <is>
          <t>Hispanic%</t>
        </is>
      </c>
      <c r="D276" s="29" t="n">
        <v>0</v>
      </c>
      <c r="E276" s="29" t="n">
        <v>0.01849568434032059</v>
      </c>
      <c r="F276" s="31">
        <f>D276-E276</f>
        <v/>
      </c>
    </row>
    <row r="277">
      <c r="B277" s="42" t="inlineStr">
        <is>
          <t>South Carolina Non-MSA</t>
        </is>
      </c>
      <c r="C277" s="42" t="inlineStr">
        <is>
          <t>Loans</t>
        </is>
      </c>
      <c r="D277" s="46" t="n">
        <v>14</v>
      </c>
      <c r="E277" s="25" t="n">
        <v>811</v>
      </c>
    </row>
    <row r="278">
      <c r="C278" s="42" t="inlineStr">
        <is>
          <t xml:space="preserve">LMICT% </t>
        </is>
      </c>
      <c r="D278" s="29" t="n">
        <v>0.04761904761904762</v>
      </c>
      <c r="E278" s="29" t="n">
        <v>0.1914022517911976</v>
      </c>
      <c r="F278" s="31">
        <f>D278-E278</f>
        <v/>
      </c>
    </row>
    <row r="279">
      <c r="C279" s="42" t="inlineStr">
        <is>
          <t>LMIB%</t>
        </is>
      </c>
      <c r="D279" s="29" t="n">
        <v>0.1904761904761905</v>
      </c>
      <c r="E279" s="29" t="n">
        <v>0.1893551688843398</v>
      </c>
      <c r="F279" s="31">
        <f>D279-E279</f>
        <v/>
      </c>
    </row>
    <row r="280">
      <c r="C280" s="42" t="inlineStr">
        <is>
          <t>LMIB$</t>
        </is>
      </c>
      <c r="D280" s="48" t="n">
        <v>640000</v>
      </c>
      <c r="E280" s="48" t="n">
        <v>25975000</v>
      </c>
      <c r="F280" s="49" t="n"/>
    </row>
    <row r="281">
      <c r="C281" s="42" t="inlineStr">
        <is>
          <t>MMCT%</t>
        </is>
      </c>
      <c r="D281" s="29" t="n">
        <v>0.1428571428571428</v>
      </c>
      <c r="E281" s="29" t="n">
        <v>0.3295803480040942</v>
      </c>
      <c r="F281" s="31">
        <f>D281-E281</f>
        <v/>
      </c>
    </row>
    <row r="282">
      <c r="C282" s="42" t="inlineStr">
        <is>
          <t>MINB%</t>
        </is>
      </c>
      <c r="D282" s="29" t="n">
        <v>0</v>
      </c>
      <c r="E282" s="29" t="n">
        <v>0.1156601842374616</v>
      </c>
      <c r="F282" s="31">
        <f>D282-E282</f>
        <v/>
      </c>
    </row>
    <row r="283">
      <c r="C283" s="42" t="inlineStr">
        <is>
          <t>Asian%</t>
        </is>
      </c>
      <c r="D283" s="29" t="n">
        <v>0</v>
      </c>
      <c r="E283" s="29" t="n">
        <v>0</v>
      </c>
      <c r="F283" s="31">
        <f>D283-E283</f>
        <v/>
      </c>
    </row>
    <row r="284">
      <c r="C284" s="42" t="inlineStr">
        <is>
          <t>Black%</t>
        </is>
      </c>
      <c r="D284" s="29" t="n">
        <v>0</v>
      </c>
      <c r="E284" s="29" t="n">
        <v>0</v>
      </c>
      <c r="F284" s="31">
        <f>D284-E284</f>
        <v/>
      </c>
    </row>
    <row r="285" ht="21.75" customHeight="1" s="47">
      <c r="C285" s="42" t="inlineStr">
        <is>
          <t>Native American%</t>
        </is>
      </c>
      <c r="D285" s="29" t="n">
        <v>0</v>
      </c>
      <c r="E285" s="29" t="n">
        <v>0</v>
      </c>
      <c r="F285" s="31">
        <f>D285-E285</f>
        <v/>
      </c>
    </row>
    <row r="286">
      <c r="C286" s="42" t="inlineStr">
        <is>
          <t>HoPI%</t>
        </is>
      </c>
      <c r="D286" s="29" t="n">
        <v>0</v>
      </c>
      <c r="E286" s="29" t="n">
        <v>0</v>
      </c>
      <c r="F286" s="31">
        <f>D286-E286</f>
        <v/>
      </c>
    </row>
    <row r="287">
      <c r="C287" s="42" t="inlineStr">
        <is>
          <t>Hispanic%</t>
        </is>
      </c>
      <c r="D287" s="29" t="n">
        <v>0</v>
      </c>
      <c r="E287" s="29" t="n">
        <v>0.1156601842374616</v>
      </c>
      <c r="F287" s="31">
        <f>D287-E287</f>
        <v/>
      </c>
    </row>
    <row r="288">
      <c r="B288" s="42" t="inlineStr">
        <is>
          <t>Goldsboro, NC</t>
        </is>
      </c>
      <c r="C288" s="42" t="inlineStr">
        <is>
          <t>Loans</t>
        </is>
      </c>
      <c r="D288" s="46" t="n">
        <v>21</v>
      </c>
      <c r="E288" s="25" t="n">
        <v>977</v>
      </c>
    </row>
    <row r="289">
      <c r="C289" s="42" t="inlineStr">
        <is>
          <t xml:space="preserve">LMICT% </t>
        </is>
      </c>
      <c r="D289" s="29" t="n">
        <v>0.1104294478527607</v>
      </c>
      <c r="E289" s="29" t="n">
        <v>0.1756842775302355</v>
      </c>
      <c r="F289" s="31">
        <f>D289-E289</f>
        <v/>
      </c>
    </row>
    <row r="290">
      <c r="C290" s="42" t="inlineStr">
        <is>
          <t>LMIB%</t>
        </is>
      </c>
      <c r="D290" s="29" t="n">
        <v>0.3067484662576687</v>
      </c>
      <c r="E290" s="29" t="n">
        <v>0.2896244430299172</v>
      </c>
      <c r="F290" s="31">
        <f>D290-E290</f>
        <v/>
      </c>
    </row>
    <row r="291">
      <c r="C291" s="42" t="inlineStr">
        <is>
          <t>LMIB$</t>
        </is>
      </c>
      <c r="D291" s="48" t="n">
        <v>8020000</v>
      </c>
      <c r="E291" s="48" t="n">
        <v>284650000</v>
      </c>
      <c r="F291" s="49" t="n"/>
    </row>
    <row r="292">
      <c r="C292" s="42" t="inlineStr">
        <is>
          <t>MMCT%</t>
        </is>
      </c>
      <c r="D292" s="29" t="n">
        <v>0.1595092024539877</v>
      </c>
      <c r="E292" s="29" t="n">
        <v>0.2374283895607893</v>
      </c>
      <c r="F292" s="31">
        <f>D292-E292</f>
        <v/>
      </c>
    </row>
    <row r="293">
      <c r="C293" s="42" t="inlineStr">
        <is>
          <t>MINB%</t>
        </is>
      </c>
      <c r="D293" s="29" t="n">
        <v>0.05521472392638037</v>
      </c>
      <c r="E293" s="29" t="n">
        <v>0.1120305537873966</v>
      </c>
      <c r="F293" s="31">
        <f>D293-E293</f>
        <v/>
      </c>
    </row>
    <row r="294">
      <c r="C294" s="42" t="inlineStr">
        <is>
          <t>Asian%</t>
        </is>
      </c>
      <c r="D294" s="29" t="n">
        <v>0</v>
      </c>
      <c r="E294" s="29" t="n">
        <v>0</v>
      </c>
      <c r="F294" s="31">
        <f>D294-E294</f>
        <v/>
      </c>
    </row>
    <row r="295">
      <c r="C295" s="42" t="inlineStr">
        <is>
          <t>Black%</t>
        </is>
      </c>
      <c r="D295" s="29" t="n">
        <v>0</v>
      </c>
      <c r="E295" s="29" t="n">
        <v>0</v>
      </c>
      <c r="F295" s="31">
        <f>D295-E295</f>
        <v/>
      </c>
    </row>
    <row r="296" ht="21.75" customHeight="1" s="47">
      <c r="C296" s="42" t="inlineStr">
        <is>
          <t>Native American%</t>
        </is>
      </c>
      <c r="D296" s="29" t="n">
        <v>0</v>
      </c>
      <c r="E296" s="29" t="n">
        <v>0</v>
      </c>
      <c r="F296" s="31">
        <f>D296-E296</f>
        <v/>
      </c>
    </row>
    <row r="297">
      <c r="C297" s="42" t="inlineStr">
        <is>
          <t>HoPI%</t>
        </is>
      </c>
      <c r="D297" s="29" t="n">
        <v>0</v>
      </c>
      <c r="E297" s="29" t="n">
        <v>0</v>
      </c>
      <c r="F297" s="31">
        <f>D297-E297</f>
        <v/>
      </c>
    </row>
    <row r="298">
      <c r="C298" s="42" t="inlineStr">
        <is>
          <t>Hispanic%</t>
        </is>
      </c>
      <c r="D298" s="29" t="n">
        <v>0.05521472392638037</v>
      </c>
      <c r="E298" s="29" t="n">
        <v>0.1120305537873966</v>
      </c>
      <c r="F298" s="31">
        <f>D298-E298</f>
        <v/>
      </c>
    </row>
    <row r="299">
      <c r="B299" s="42" t="inlineStr">
        <is>
          <t>Greensboro-High Point, NC</t>
        </is>
      </c>
      <c r="C299" s="42" t="inlineStr">
        <is>
          <t>Loans</t>
        </is>
      </c>
      <c r="D299" s="46" t="n">
        <v>163</v>
      </c>
      <c r="E299" s="25" t="n">
        <v>6284</v>
      </c>
    </row>
    <row r="300">
      <c r="C300" s="42" t="inlineStr">
        <is>
          <t xml:space="preserve">LMICT% </t>
        </is>
      </c>
      <c r="D300" s="29" t="n">
        <v>0.09302325581395349</v>
      </c>
      <c r="E300" s="29" t="n">
        <v>0.1054888507718696</v>
      </c>
      <c r="F300" s="31">
        <f>D300-E300</f>
        <v/>
      </c>
    </row>
    <row r="301">
      <c r="C301" s="42" t="inlineStr">
        <is>
          <t>LMIB%</t>
        </is>
      </c>
      <c r="D301" s="29" t="n">
        <v>0.3255813953488372</v>
      </c>
      <c r="E301" s="29" t="n">
        <v>0.2452830188679245</v>
      </c>
      <c r="F301" s="31">
        <f>D301-E301</f>
        <v/>
      </c>
    </row>
    <row r="302">
      <c r="C302" s="42" t="inlineStr">
        <is>
          <t>LMIB$</t>
        </is>
      </c>
      <c r="D302" s="48" t="n">
        <v>2220000</v>
      </c>
      <c r="E302" s="48" t="n">
        <v>46550000</v>
      </c>
      <c r="F302" s="49" t="n"/>
    </row>
    <row r="303">
      <c r="C303" s="42" t="inlineStr">
        <is>
          <t>MMCT%</t>
        </is>
      </c>
      <c r="D303" s="29" t="n">
        <v>0.2325581395348837</v>
      </c>
      <c r="E303" s="29" t="n">
        <v>0.2384219554030875</v>
      </c>
      <c r="F303" s="31">
        <f>D303-E303</f>
        <v/>
      </c>
    </row>
    <row r="304">
      <c r="C304" s="42" t="inlineStr">
        <is>
          <t>MINB%</t>
        </is>
      </c>
      <c r="D304" s="29" t="n">
        <v>0.06976744186046512</v>
      </c>
      <c r="E304" s="29" t="n">
        <v>0.0523156089193825</v>
      </c>
      <c r="F304" s="31">
        <f>D304-E304</f>
        <v/>
      </c>
    </row>
    <row r="305">
      <c r="C305" s="42" t="inlineStr">
        <is>
          <t>Asian%</t>
        </is>
      </c>
      <c r="D305" s="29" t="n">
        <v>0</v>
      </c>
      <c r="E305" s="29" t="n">
        <v>0</v>
      </c>
      <c r="F305" s="31">
        <f>D305-E305</f>
        <v/>
      </c>
    </row>
    <row r="306">
      <c r="C306" s="42" t="inlineStr">
        <is>
          <t>Black%</t>
        </is>
      </c>
      <c r="D306" s="29" t="n">
        <v>0</v>
      </c>
      <c r="E306" s="29" t="n">
        <v>0</v>
      </c>
      <c r="F306" s="31">
        <f>D306-E306</f>
        <v/>
      </c>
    </row>
    <row r="307" ht="21.75" customHeight="1" s="47">
      <c r="C307" s="42" t="inlineStr">
        <is>
          <t>Native American%</t>
        </is>
      </c>
      <c r="D307" s="29" t="n">
        <v>0</v>
      </c>
      <c r="E307" s="29" t="n">
        <v>0</v>
      </c>
      <c r="F307" s="31">
        <f>D307-E307</f>
        <v/>
      </c>
    </row>
    <row r="308">
      <c r="C308" s="42" t="inlineStr">
        <is>
          <t>HoPI%</t>
        </is>
      </c>
      <c r="D308" s="29" t="n">
        <v>0</v>
      </c>
      <c r="E308" s="29" t="n">
        <v>0</v>
      </c>
      <c r="F308" s="31">
        <f>D308-E308</f>
        <v/>
      </c>
    </row>
    <row r="309">
      <c r="C309" s="42" t="inlineStr">
        <is>
          <t>Hispanic%</t>
        </is>
      </c>
      <c r="D309" s="29" t="n">
        <v>0.06976744186046512</v>
      </c>
      <c r="E309" s="29" t="n">
        <v>0.0523156089193825</v>
      </c>
      <c r="F309" s="31">
        <f>D309-E309</f>
        <v/>
      </c>
    </row>
    <row r="310">
      <c r="B310" s="42" t="inlineStr">
        <is>
          <t>Greenville, NC</t>
        </is>
      </c>
      <c r="C310" s="42" t="inlineStr">
        <is>
          <t>Loans</t>
        </is>
      </c>
      <c r="D310" s="46" t="n">
        <v>43</v>
      </c>
      <c r="E310" s="25" t="n">
        <v>1166</v>
      </c>
    </row>
    <row r="311">
      <c r="C311" s="42" t="inlineStr">
        <is>
          <t xml:space="preserve">LMICT% </t>
        </is>
      </c>
      <c r="D311" s="29" t="n">
        <v>0.1686746987951807</v>
      </c>
      <c r="E311" s="29" t="n">
        <v>0.178003696857671</v>
      </c>
      <c r="F311" s="31">
        <f>D311-E311</f>
        <v/>
      </c>
    </row>
    <row r="312">
      <c r="C312" s="42" t="inlineStr">
        <is>
          <t>LMIB%</t>
        </is>
      </c>
      <c r="D312" s="29" t="n">
        <v>0.144578313253012</v>
      </c>
      <c r="E312" s="29" t="n">
        <v>0.2460258780036969</v>
      </c>
      <c r="F312" s="31">
        <f>D312-E312</f>
        <v/>
      </c>
    </row>
    <row r="313">
      <c r="C313" s="42" t="inlineStr">
        <is>
          <t>LMIB$</t>
        </is>
      </c>
      <c r="D313" s="48" t="n">
        <v>2200000</v>
      </c>
      <c r="E313" s="48" t="n">
        <v>261435000</v>
      </c>
      <c r="F313" s="49" t="n"/>
    </row>
    <row r="314">
      <c r="C314" s="42" t="inlineStr">
        <is>
          <t>MMCT%</t>
        </is>
      </c>
      <c r="D314" s="29" t="n">
        <v>0.1204819277108434</v>
      </c>
      <c r="E314" s="29" t="n">
        <v>0.1070240295748614</v>
      </c>
      <c r="F314" s="31">
        <f>D314-E314</f>
        <v/>
      </c>
    </row>
    <row r="315">
      <c r="C315" s="42" t="inlineStr">
        <is>
          <t>MINB%</t>
        </is>
      </c>
      <c r="D315" s="29" t="n">
        <v>0.04819277108433735</v>
      </c>
      <c r="E315" s="29" t="n">
        <v>0.07486136783733827</v>
      </c>
      <c r="F315" s="31">
        <f>D315-E315</f>
        <v/>
      </c>
    </row>
    <row r="316">
      <c r="C316" s="42" t="inlineStr">
        <is>
          <t>Asian%</t>
        </is>
      </c>
      <c r="D316" s="29" t="n">
        <v>0</v>
      </c>
      <c r="E316" s="29" t="n">
        <v>0</v>
      </c>
      <c r="F316" s="31">
        <f>D316-E316</f>
        <v/>
      </c>
    </row>
    <row r="317">
      <c r="C317" s="42" t="inlineStr">
        <is>
          <t>Black%</t>
        </is>
      </c>
      <c r="D317" s="29" t="n">
        <v>0</v>
      </c>
      <c r="E317" s="29" t="n">
        <v>0</v>
      </c>
      <c r="F317" s="31">
        <f>D317-E317</f>
        <v/>
      </c>
    </row>
    <row r="318" ht="21.75" customHeight="1" s="47">
      <c r="C318" s="42" t="inlineStr">
        <is>
          <t>Native American%</t>
        </is>
      </c>
      <c r="D318" s="29" t="n">
        <v>0</v>
      </c>
      <c r="E318" s="29" t="n">
        <v>0</v>
      </c>
      <c r="F318" s="31">
        <f>D318-E318</f>
        <v/>
      </c>
    </row>
    <row r="319">
      <c r="C319" s="42" t="inlineStr">
        <is>
          <t>HoPI%</t>
        </is>
      </c>
      <c r="D319" s="29" t="n">
        <v>0</v>
      </c>
      <c r="E319" s="29" t="n">
        <v>0</v>
      </c>
      <c r="F319" s="31">
        <f>D319-E319</f>
        <v/>
      </c>
    </row>
    <row r="320">
      <c r="C320" s="42" t="inlineStr">
        <is>
          <t>Hispanic%</t>
        </is>
      </c>
      <c r="D320" s="29" t="n">
        <v>0.04819277108433735</v>
      </c>
      <c r="E320" s="29" t="n">
        <v>0.07486136783733827</v>
      </c>
      <c r="F320" s="31">
        <f>D320-E320</f>
        <v/>
      </c>
    </row>
    <row r="321">
      <c r="B321" s="42" t="inlineStr">
        <is>
          <t>Greenville-Anderson, SC</t>
        </is>
      </c>
      <c r="C321" s="42" t="inlineStr">
        <is>
          <t>Loans</t>
        </is>
      </c>
      <c r="D321" s="46" t="n">
        <v>83</v>
      </c>
      <c r="E321" s="25" t="n">
        <v>5410</v>
      </c>
    </row>
    <row r="322">
      <c r="C322" s="42" t="inlineStr">
        <is>
          <t xml:space="preserve">LMICT% </t>
        </is>
      </c>
      <c r="D322" s="29" t="n">
        <v>0.3</v>
      </c>
      <c r="E322" s="29" t="n">
        <v>0.1716171617161716</v>
      </c>
      <c r="F322" s="31">
        <f>D322-E322</f>
        <v/>
      </c>
    </row>
    <row r="323">
      <c r="C323" s="42" t="inlineStr">
        <is>
          <t>LMIB%</t>
        </is>
      </c>
      <c r="D323" s="29" t="n">
        <v>0.6</v>
      </c>
      <c r="E323" s="29" t="n">
        <v>0.297029702970297</v>
      </c>
      <c r="F323" s="31">
        <f>D323-E323</f>
        <v/>
      </c>
    </row>
    <row r="324">
      <c r="C324" s="42" t="inlineStr">
        <is>
          <t>LMIB$</t>
        </is>
      </c>
      <c r="D324" s="48" t="n">
        <v>930000</v>
      </c>
      <c r="E324" s="48" t="n">
        <v>13390000</v>
      </c>
      <c r="F324" s="49" t="n"/>
    </row>
    <row r="325">
      <c r="C325" s="42" t="inlineStr">
        <is>
          <t>MMCT%</t>
        </is>
      </c>
      <c r="D325" s="29" t="n">
        <v>0.8</v>
      </c>
      <c r="E325" s="29" t="n">
        <v>0.4158415841584159</v>
      </c>
      <c r="F325" s="31">
        <f>D325-E325</f>
        <v/>
      </c>
    </row>
    <row r="326">
      <c r="C326" s="42" t="inlineStr">
        <is>
          <t>MINB%</t>
        </is>
      </c>
      <c r="D326" s="29" t="n">
        <v>0</v>
      </c>
      <c r="E326" s="29" t="n">
        <v>0.1221122112211221</v>
      </c>
      <c r="F326" s="31">
        <f>D326-E326</f>
        <v/>
      </c>
    </row>
    <row r="327">
      <c r="C327" s="42" t="inlineStr">
        <is>
          <t>Asian%</t>
        </is>
      </c>
      <c r="D327" s="29" t="n">
        <v>0</v>
      </c>
      <c r="E327" s="29" t="n">
        <v>0</v>
      </c>
      <c r="F327" s="31">
        <f>D327-E327</f>
        <v/>
      </c>
    </row>
    <row r="328">
      <c r="C328" s="42" t="inlineStr">
        <is>
          <t>Black%</t>
        </is>
      </c>
      <c r="D328" s="29" t="n">
        <v>0</v>
      </c>
      <c r="E328" s="29" t="n">
        <v>0</v>
      </c>
      <c r="F328" s="31">
        <f>D328-E328</f>
        <v/>
      </c>
    </row>
    <row r="329" ht="21.75" customHeight="1" s="47">
      <c r="C329" s="42" t="inlineStr">
        <is>
          <t>Native American%</t>
        </is>
      </c>
      <c r="D329" s="29" t="n">
        <v>0</v>
      </c>
      <c r="E329" s="29" t="n">
        <v>0</v>
      </c>
      <c r="F329" s="31">
        <f>D329-E329</f>
        <v/>
      </c>
    </row>
    <row r="330">
      <c r="C330" s="42" t="inlineStr">
        <is>
          <t>HoPI%</t>
        </is>
      </c>
      <c r="D330" s="29" t="n">
        <v>0</v>
      </c>
      <c r="E330" s="29" t="n">
        <v>0</v>
      </c>
      <c r="F330" s="31">
        <f>D330-E330</f>
        <v/>
      </c>
    </row>
    <row r="331">
      <c r="C331" s="42" t="inlineStr">
        <is>
          <t>Hispanic%</t>
        </is>
      </c>
      <c r="D331" s="29" t="n">
        <v>0</v>
      </c>
      <c r="E331" s="29" t="n">
        <v>0.1221122112211221</v>
      </c>
      <c r="F331" s="31">
        <f>D331-E331</f>
        <v/>
      </c>
    </row>
    <row r="332">
      <c r="B332" s="42" t="inlineStr">
        <is>
          <t>Carolina Non-MSA</t>
        </is>
      </c>
      <c r="C332" s="42" t="inlineStr">
        <is>
          <t>Loans</t>
        </is>
      </c>
      <c r="D332" s="46" t="n">
        <v>10</v>
      </c>
      <c r="E332" s="25" t="n">
        <v>303</v>
      </c>
    </row>
    <row r="333">
      <c r="C333" s="42" t="inlineStr">
        <is>
          <t xml:space="preserve">LMICT% </t>
        </is>
      </c>
      <c r="D333" s="29" t="n">
        <v>0.1153846153846154</v>
      </c>
      <c r="E333" s="29" t="n">
        <v>0.1346324180690877</v>
      </c>
      <c r="F333" s="31">
        <f>D333-E333</f>
        <v/>
      </c>
    </row>
    <row r="334">
      <c r="C334" s="42" t="inlineStr">
        <is>
          <t>LMIB%</t>
        </is>
      </c>
      <c r="D334" s="29" t="n">
        <v>0.3076923076923077</v>
      </c>
      <c r="E334" s="29" t="n">
        <v>0.2493356953055802</v>
      </c>
      <c r="F334" s="31">
        <f>D334-E334</f>
        <v/>
      </c>
    </row>
    <row r="335">
      <c r="C335" s="42" t="inlineStr">
        <is>
          <t>LMIB$</t>
        </is>
      </c>
      <c r="D335" s="48" t="n">
        <v>1930000</v>
      </c>
      <c r="E335" s="48" t="n">
        <v>89695000</v>
      </c>
      <c r="F335" s="49" t="n"/>
    </row>
    <row r="336">
      <c r="C336" s="42" t="inlineStr">
        <is>
          <t>MMCT%</t>
        </is>
      </c>
      <c r="D336" s="29" t="n">
        <v>0.01923076923076923</v>
      </c>
      <c r="E336" s="29" t="n">
        <v>0.03011514614703277</v>
      </c>
      <c r="F336" s="31">
        <f>D336-E336</f>
        <v/>
      </c>
    </row>
    <row r="337">
      <c r="C337" s="42" t="inlineStr">
        <is>
          <t>MINB%</t>
        </is>
      </c>
      <c r="D337" s="29" t="n">
        <v>0</v>
      </c>
      <c r="E337" s="29" t="n">
        <v>0.0987599645704163</v>
      </c>
      <c r="F337" s="31">
        <f>D337-E337</f>
        <v/>
      </c>
    </row>
    <row r="338">
      <c r="C338" s="42" t="inlineStr">
        <is>
          <t>Asian%</t>
        </is>
      </c>
      <c r="D338" s="29" t="n">
        <v>0</v>
      </c>
      <c r="E338" s="29" t="n">
        <v>0</v>
      </c>
      <c r="F338" s="31">
        <f>D338-E338</f>
        <v/>
      </c>
    </row>
    <row r="339">
      <c r="C339" s="42" t="inlineStr">
        <is>
          <t>Black%</t>
        </is>
      </c>
      <c r="D339" s="29" t="n">
        <v>0</v>
      </c>
      <c r="E339" s="29" t="n">
        <v>0</v>
      </c>
      <c r="F339" s="31">
        <f>D339-E339</f>
        <v/>
      </c>
    </row>
    <row r="340" ht="21.75" customHeight="1" s="47">
      <c r="C340" s="42" t="inlineStr">
        <is>
          <t>Native American%</t>
        </is>
      </c>
      <c r="D340" s="29" t="n">
        <v>0</v>
      </c>
      <c r="E340" s="29" t="n">
        <v>0</v>
      </c>
      <c r="F340" s="31">
        <f>D340-E340</f>
        <v/>
      </c>
    </row>
    <row r="341">
      <c r="C341" s="42" t="inlineStr">
        <is>
          <t>HoPI%</t>
        </is>
      </c>
      <c r="D341" s="29" t="n">
        <v>0</v>
      </c>
      <c r="E341" s="29" t="n">
        <v>0</v>
      </c>
      <c r="F341" s="31">
        <f>D341-E341</f>
        <v/>
      </c>
    </row>
    <row r="342">
      <c r="C342" s="42" t="inlineStr">
        <is>
          <t>Hispanic%</t>
        </is>
      </c>
      <c r="D342" s="29" t="n">
        <v>0</v>
      </c>
      <c r="E342" s="29" t="n">
        <v>0.0987599645704163</v>
      </c>
      <c r="F342" s="31">
        <f>D342-E342</f>
        <v/>
      </c>
    </row>
    <row r="343">
      <c r="A343" s="46" t="inlineStr">
        <is>
          <t>Georgia</t>
        </is>
      </c>
      <c r="B343" s="42" t="inlineStr">
        <is>
          <t>Hickory-Lenoir-Morganton, NC</t>
        </is>
      </c>
      <c r="C343" s="42" t="inlineStr">
        <is>
          <t>Loans</t>
        </is>
      </c>
      <c r="D343" s="46" t="n">
        <v>52</v>
      </c>
      <c r="E343" s="25" t="n">
        <v>2258</v>
      </c>
    </row>
    <row r="344">
      <c r="C344" s="42" t="inlineStr">
        <is>
          <t xml:space="preserve">LMICT% </t>
        </is>
      </c>
      <c r="D344" s="29" t="n">
        <v>0.07547169811320754</v>
      </c>
      <c r="E344" s="29" t="n">
        <v>0.1197552447552448</v>
      </c>
      <c r="F344" s="31">
        <f>D344-E344</f>
        <v/>
      </c>
    </row>
    <row r="345">
      <c r="C345" s="42" t="inlineStr">
        <is>
          <t>LMIB%</t>
        </is>
      </c>
      <c r="D345" s="29" t="n">
        <v>0.1886792452830189</v>
      </c>
      <c r="E345" s="29" t="n">
        <v>0.194493006993007</v>
      </c>
      <c r="F345" s="31">
        <f>D345-E345</f>
        <v/>
      </c>
    </row>
    <row r="346">
      <c r="C346" s="42" t="inlineStr">
        <is>
          <t>LMIB$</t>
        </is>
      </c>
      <c r="D346" s="48" t="n">
        <v>5170000</v>
      </c>
      <c r="E346" s="48" t="n">
        <v>103225000</v>
      </c>
      <c r="F346" s="31" t="n"/>
    </row>
    <row r="347">
      <c r="C347" s="42" t="inlineStr">
        <is>
          <t>MMCT%</t>
        </is>
      </c>
      <c r="D347" s="29" t="n">
        <v>0.07547169811320754</v>
      </c>
      <c r="E347" s="29" t="n">
        <v>0.06337412587412587</v>
      </c>
      <c r="F347" s="31">
        <f>D347-E347</f>
        <v/>
      </c>
    </row>
    <row r="348">
      <c r="C348" s="42" t="inlineStr">
        <is>
          <t>MINB%</t>
        </is>
      </c>
      <c r="D348" s="29" t="n">
        <v>0.03773584905660377</v>
      </c>
      <c r="E348" s="29" t="n">
        <v>0.09265734265734266</v>
      </c>
      <c r="F348" s="31">
        <f>D348-E348</f>
        <v/>
      </c>
    </row>
    <row r="349">
      <c r="C349" s="42" t="inlineStr">
        <is>
          <t>Asian%</t>
        </is>
      </c>
      <c r="D349" s="29" t="n">
        <v>0</v>
      </c>
      <c r="E349" s="29" t="n">
        <v>0</v>
      </c>
      <c r="F349" s="31">
        <f>D349-E349</f>
        <v/>
      </c>
    </row>
    <row r="350">
      <c r="C350" s="42" t="inlineStr">
        <is>
          <t>Black%</t>
        </is>
      </c>
      <c r="D350" s="29" t="n">
        <v>0</v>
      </c>
      <c r="E350" s="29" t="n">
        <v>0</v>
      </c>
      <c r="F350" s="31">
        <f>D350-E350</f>
        <v/>
      </c>
    </row>
    <row r="351" ht="21.75" customHeight="1" s="47">
      <c r="C351" s="42" t="inlineStr">
        <is>
          <t>Native American%</t>
        </is>
      </c>
      <c r="D351" s="29" t="n">
        <v>0</v>
      </c>
      <c r="E351" s="29" t="n">
        <v>0</v>
      </c>
      <c r="F351" s="31">
        <f>D351-E351</f>
        <v/>
      </c>
    </row>
    <row r="352">
      <c r="C352" s="42" t="inlineStr">
        <is>
          <t>HoPI%</t>
        </is>
      </c>
      <c r="D352" s="29" t="n">
        <v>0</v>
      </c>
      <c r="E352" s="29" t="n">
        <v>0</v>
      </c>
      <c r="F352" s="31">
        <f>D352-E352</f>
        <v/>
      </c>
    </row>
    <row r="353">
      <c r="C353" s="42" t="inlineStr">
        <is>
          <t>Hispanic%</t>
        </is>
      </c>
      <c r="D353" s="29" t="n">
        <v>0.03773584905660377</v>
      </c>
      <c r="E353" s="29" t="n">
        <v>0.09265734265734266</v>
      </c>
      <c r="F353" s="31">
        <f>D353-E353</f>
        <v/>
      </c>
    </row>
    <row r="354">
      <c r="B354" s="42" t="inlineStr">
        <is>
          <t>Hilton Head Island-Bluffton, SC</t>
        </is>
      </c>
      <c r="C354" s="42" t="inlineStr">
        <is>
          <t>Loans</t>
        </is>
      </c>
      <c r="D354" s="46" t="n">
        <v>53</v>
      </c>
      <c r="E354" s="25" t="n">
        <v>2288</v>
      </c>
    </row>
    <row r="355">
      <c r="C355" s="42" t="inlineStr">
        <is>
          <t xml:space="preserve">LMICT% </t>
        </is>
      </c>
      <c r="D355" s="29" t="n">
        <v>0.05454545454545454</v>
      </c>
      <c r="E355" s="29" t="n">
        <v>0.0769641902725815</v>
      </c>
      <c r="F355" s="31">
        <f>D355-E355</f>
        <v/>
      </c>
    </row>
    <row r="356">
      <c r="C356" s="42" t="inlineStr">
        <is>
          <t>LMIB%</t>
        </is>
      </c>
      <c r="D356" s="29" t="n">
        <v>0.2545454545454545</v>
      </c>
      <c r="E356" s="29" t="n">
        <v>0.1678246926777125</v>
      </c>
      <c r="F356" s="31">
        <f>D356-E356</f>
        <v/>
      </c>
    </row>
    <row r="357">
      <c r="C357" s="42" t="inlineStr">
        <is>
          <t>LMIB$</t>
        </is>
      </c>
      <c r="D357" s="48" t="n">
        <v>2020000</v>
      </c>
      <c r="E357" s="48" t="n">
        <v>53630000</v>
      </c>
      <c r="F357" s="49" t="n"/>
    </row>
    <row r="358">
      <c r="C358" s="42" t="inlineStr">
        <is>
          <t>MMCT%</t>
        </is>
      </c>
      <c r="D358" s="29" t="n">
        <v>0.1090909090909091</v>
      </c>
      <c r="E358" s="29" t="n">
        <v>0.08391234633885623</v>
      </c>
      <c r="F358" s="31">
        <f>D358-E358</f>
        <v/>
      </c>
    </row>
    <row r="359">
      <c r="C359" s="42" t="inlineStr">
        <is>
          <t>MINB%</t>
        </is>
      </c>
      <c r="D359" s="29" t="n">
        <v>0.03636363636363636</v>
      </c>
      <c r="E359" s="29" t="n">
        <v>0.08177445216461784</v>
      </c>
      <c r="F359" s="31">
        <f>D359-E359</f>
        <v/>
      </c>
    </row>
    <row r="360">
      <c r="C360" s="42" t="inlineStr">
        <is>
          <t>Asian%</t>
        </is>
      </c>
      <c r="D360" s="29" t="n">
        <v>0</v>
      </c>
      <c r="E360" s="29" t="n">
        <v>0</v>
      </c>
      <c r="F360" s="31">
        <f>D360-E360</f>
        <v/>
      </c>
    </row>
    <row r="361">
      <c r="C361" s="42" t="inlineStr">
        <is>
          <t>Black%</t>
        </is>
      </c>
      <c r="D361" s="29" t="n">
        <v>0</v>
      </c>
      <c r="E361" s="29" t="n">
        <v>0</v>
      </c>
      <c r="F361" s="31">
        <f>D361-E361</f>
        <v/>
      </c>
    </row>
    <row r="362" ht="21.75" customHeight="1" s="47">
      <c r="C362" s="42" t="inlineStr">
        <is>
          <t>Native American%</t>
        </is>
      </c>
      <c r="D362" s="29" t="n">
        <v>0</v>
      </c>
      <c r="E362" s="29" t="n">
        <v>0</v>
      </c>
      <c r="F362" s="31">
        <f>D362-E362</f>
        <v/>
      </c>
    </row>
    <row r="363">
      <c r="C363" s="42" t="inlineStr">
        <is>
          <t>HoPI%</t>
        </is>
      </c>
      <c r="D363" s="29" t="n">
        <v>0</v>
      </c>
      <c r="E363" s="29" t="n">
        <v>0</v>
      </c>
      <c r="F363" s="31">
        <f>D363-E363</f>
        <v/>
      </c>
    </row>
    <row r="364">
      <c r="C364" s="42" t="inlineStr">
        <is>
          <t>Hispanic%</t>
        </is>
      </c>
      <c r="D364" s="29" t="n">
        <v>0.03636363636363636</v>
      </c>
      <c r="E364" s="29" t="n">
        <v>0.08177445216461784</v>
      </c>
      <c r="F364" s="31">
        <f>D364-E364</f>
        <v/>
      </c>
    </row>
    <row r="365">
      <c r="A365" s="46" t="inlineStr">
        <is>
          <t>Illinois</t>
        </is>
      </c>
      <c r="B365" s="42" t="inlineStr">
        <is>
          <t>Jacksonville, NC</t>
        </is>
      </c>
      <c r="C365" s="42" t="inlineStr">
        <is>
          <t>Loans</t>
        </is>
      </c>
      <c r="D365" s="46" t="n">
        <v>55</v>
      </c>
      <c r="E365" s="25" t="n">
        <v>1871</v>
      </c>
    </row>
    <row r="366">
      <c r="C366" s="42" t="inlineStr">
        <is>
          <t xml:space="preserve">LMICT% </t>
        </is>
      </c>
      <c r="D366" s="29" t="n">
        <v>0</v>
      </c>
      <c r="E366" s="29" t="n">
        <v>0</v>
      </c>
      <c r="F366" s="31">
        <f>D366-E366</f>
        <v/>
      </c>
    </row>
    <row r="367">
      <c r="C367" s="42" t="inlineStr">
        <is>
          <t>LMIB%</t>
        </is>
      </c>
      <c r="D367" s="29" t="n">
        <v>0.1578947368421053</v>
      </c>
      <c r="E367" s="29" t="n">
        <v>0.04511278195488721</v>
      </c>
      <c r="F367" s="31">
        <f>D367-E367</f>
        <v/>
      </c>
    </row>
    <row r="368">
      <c r="C368" s="42" t="inlineStr">
        <is>
          <t>LMIB$</t>
        </is>
      </c>
      <c r="D368" s="48" t="n">
        <v>495000</v>
      </c>
      <c r="E368" s="48" t="n">
        <v>4360000</v>
      </c>
      <c r="F368" s="49" t="n"/>
    </row>
    <row r="369">
      <c r="C369" s="42" t="inlineStr">
        <is>
          <t>MMCT%</t>
        </is>
      </c>
      <c r="D369" s="29" t="n">
        <v>0</v>
      </c>
      <c r="E369" s="29" t="n">
        <v>0</v>
      </c>
      <c r="F369" s="31">
        <f>D369-E369</f>
        <v/>
      </c>
    </row>
    <row r="370">
      <c r="C370" s="42" t="inlineStr">
        <is>
          <t>MINB%</t>
        </is>
      </c>
      <c r="D370" s="29" t="n">
        <v>0</v>
      </c>
      <c r="E370" s="29" t="n">
        <v>0.04761904761904762</v>
      </c>
      <c r="F370" s="31">
        <f>D370-E370</f>
        <v/>
      </c>
    </row>
    <row r="371">
      <c r="C371" s="42" t="inlineStr">
        <is>
          <t>Asian%</t>
        </is>
      </c>
      <c r="D371" s="29" t="n">
        <v>0</v>
      </c>
      <c r="E371" s="29" t="n">
        <v>0</v>
      </c>
      <c r="F371" s="31">
        <f>D371-E371</f>
        <v/>
      </c>
    </row>
    <row r="372">
      <c r="C372" s="42" t="inlineStr">
        <is>
          <t>Black%</t>
        </is>
      </c>
      <c r="D372" s="29" t="n">
        <v>0</v>
      </c>
      <c r="E372" s="29" t="n">
        <v>0</v>
      </c>
      <c r="F372" s="31">
        <f>D372-E372</f>
        <v/>
      </c>
    </row>
    <row r="373" ht="21.75" customHeight="1" s="47">
      <c r="C373" s="42" t="inlineStr">
        <is>
          <t>Native American%</t>
        </is>
      </c>
      <c r="D373" s="29" t="n">
        <v>0</v>
      </c>
      <c r="E373" s="29" t="n">
        <v>0</v>
      </c>
      <c r="F373" s="31">
        <f>D373-E373</f>
        <v/>
      </c>
    </row>
    <row r="374">
      <c r="C374" s="42" t="inlineStr">
        <is>
          <t>HoPI%</t>
        </is>
      </c>
      <c r="D374" s="29" t="n">
        <v>0</v>
      </c>
      <c r="E374" s="29" t="n">
        <v>0</v>
      </c>
      <c r="F374" s="31">
        <f>D374-E374</f>
        <v/>
      </c>
    </row>
    <row r="375">
      <c r="C375" s="42" t="inlineStr">
        <is>
          <t>Hispanic%</t>
        </is>
      </c>
      <c r="D375" s="29" t="n">
        <v>0</v>
      </c>
      <c r="E375" s="29" t="n">
        <v>0.04761904761904762</v>
      </c>
      <c r="F375" s="31">
        <f>D375-E375</f>
        <v/>
      </c>
    </row>
    <row r="376">
      <c r="B376" s="42" t="inlineStr">
        <is>
          <t>Carolina Non-MSA</t>
        </is>
      </c>
      <c r="C376" s="42" t="inlineStr">
        <is>
          <t>Loans</t>
        </is>
      </c>
      <c r="D376" s="46" t="n">
        <v>19</v>
      </c>
      <c r="E376" s="25" t="n">
        <v>399</v>
      </c>
    </row>
    <row r="377">
      <c r="C377" s="42" t="inlineStr">
        <is>
          <t xml:space="preserve">LMICT% </t>
        </is>
      </c>
      <c r="D377" s="29" t="n">
        <v>0</v>
      </c>
      <c r="E377" s="29" t="n">
        <v>0.1371681415929203</v>
      </c>
      <c r="F377" s="31">
        <f>D377-E377</f>
        <v/>
      </c>
    </row>
    <row r="378">
      <c r="C378" s="42" t="inlineStr">
        <is>
          <t>LMIB%</t>
        </is>
      </c>
      <c r="D378" s="29" t="n">
        <v>0.5</v>
      </c>
      <c r="E378" s="29" t="n">
        <v>0.3672566371681416</v>
      </c>
      <c r="F378" s="31">
        <f>D378-E378</f>
        <v/>
      </c>
    </row>
    <row r="379">
      <c r="C379" s="42" t="inlineStr">
        <is>
          <t>LMIB$</t>
        </is>
      </c>
      <c r="D379" s="48" t="n">
        <v>180000</v>
      </c>
      <c r="E379" s="48" t="n">
        <v>10125000</v>
      </c>
      <c r="F379" s="49" t="n"/>
    </row>
    <row r="380">
      <c r="C380" s="42" t="inlineStr">
        <is>
          <t>MMCT%</t>
        </is>
      </c>
      <c r="D380" s="29" t="n">
        <v>0.75</v>
      </c>
      <c r="E380" s="29" t="n">
        <v>0.584070796460177</v>
      </c>
      <c r="F380" s="31">
        <f>D380-E380</f>
        <v/>
      </c>
    </row>
    <row r="381">
      <c r="C381" s="42" t="inlineStr">
        <is>
          <t>MINB%</t>
        </is>
      </c>
      <c r="D381" s="29" t="n">
        <v>0.25</v>
      </c>
      <c r="E381" s="29" t="n">
        <v>0.06637168141592921</v>
      </c>
      <c r="F381" s="31">
        <f>D381-E381</f>
        <v/>
      </c>
    </row>
    <row r="382">
      <c r="C382" s="42" t="inlineStr">
        <is>
          <t>Asian%</t>
        </is>
      </c>
      <c r="D382" s="29" t="n">
        <v>0</v>
      </c>
      <c r="E382" s="29" t="n">
        <v>0</v>
      </c>
      <c r="F382" s="31">
        <f>D382-E382</f>
        <v/>
      </c>
    </row>
    <row r="383">
      <c r="C383" s="42" t="inlineStr">
        <is>
          <t>Black%</t>
        </is>
      </c>
      <c r="D383" s="29" t="n">
        <v>0</v>
      </c>
      <c r="E383" s="29" t="n">
        <v>0</v>
      </c>
      <c r="F383" s="31">
        <f>D383-E383</f>
        <v/>
      </c>
    </row>
    <row r="384" ht="21.75" customHeight="1" s="47">
      <c r="C384" s="42" t="inlineStr">
        <is>
          <t>Native American%</t>
        </is>
      </c>
      <c r="D384" s="29" t="n">
        <v>0</v>
      </c>
      <c r="E384" s="29" t="n">
        <v>0</v>
      </c>
      <c r="F384" s="31">
        <f>D384-E384</f>
        <v/>
      </c>
    </row>
    <row r="385">
      <c r="C385" s="42" t="inlineStr">
        <is>
          <t>HoPI%</t>
        </is>
      </c>
      <c r="D385" s="29" t="n">
        <v>0</v>
      </c>
      <c r="E385" s="29" t="n">
        <v>0</v>
      </c>
      <c r="F385" s="31">
        <f>D385-E385</f>
        <v/>
      </c>
    </row>
    <row r="386">
      <c r="C386" s="42" t="inlineStr">
        <is>
          <t>Hispanic%</t>
        </is>
      </c>
      <c r="D386" s="29" t="n">
        <v>0.25</v>
      </c>
      <c r="E386" s="29" t="n">
        <v>0.06637168141592921</v>
      </c>
      <c r="F386" s="31">
        <f>D386-E386</f>
        <v/>
      </c>
    </row>
    <row r="387">
      <c r="B387" s="42" t="inlineStr">
        <is>
          <t>Carolina Non-MSA</t>
        </is>
      </c>
      <c r="C387" s="42" t="inlineStr">
        <is>
          <t>Loans</t>
        </is>
      </c>
      <c r="D387" s="25" t="n">
        <v>4</v>
      </c>
      <c r="E387" s="25" t="n">
        <v>226</v>
      </c>
    </row>
    <row r="388">
      <c r="C388" s="42" t="inlineStr">
        <is>
          <t xml:space="preserve">LMICT% </t>
        </is>
      </c>
      <c r="D388" s="29" t="n">
        <v>0.375</v>
      </c>
      <c r="E388" s="29" t="n">
        <v>0.4247311827956989</v>
      </c>
      <c r="F388" s="31">
        <f>D388-E388</f>
        <v/>
      </c>
    </row>
    <row r="389">
      <c r="C389" s="42" t="inlineStr">
        <is>
          <t>LMIB%</t>
        </is>
      </c>
      <c r="D389" s="29" t="n">
        <v>0</v>
      </c>
      <c r="E389" s="29" t="n">
        <v>0.3118279569892473</v>
      </c>
      <c r="F389" s="31">
        <f>D389-E389</f>
        <v/>
      </c>
    </row>
    <row r="390">
      <c r="C390" s="42" t="inlineStr">
        <is>
          <t>LMIB$</t>
        </is>
      </c>
      <c r="D390" s="48" t="n">
        <v>0</v>
      </c>
      <c r="E390" s="48" t="n">
        <v>7250000</v>
      </c>
      <c r="F390" s="49" t="n"/>
    </row>
    <row r="391">
      <c r="C391" s="42" t="inlineStr">
        <is>
          <t>MMCT%</t>
        </is>
      </c>
      <c r="D391" s="29" t="n">
        <v>0.25</v>
      </c>
      <c r="E391" s="29" t="n">
        <v>0.4677419354838709</v>
      </c>
      <c r="F391" s="31">
        <f>D391-E391</f>
        <v/>
      </c>
    </row>
    <row r="392">
      <c r="C392" s="42" t="inlineStr">
        <is>
          <t>MINB%</t>
        </is>
      </c>
      <c r="D392" s="29" t="n">
        <v>0.25</v>
      </c>
      <c r="E392" s="29" t="n">
        <v>0.05913978494623656</v>
      </c>
      <c r="F392" s="31">
        <f>D392-E392</f>
        <v/>
      </c>
    </row>
    <row r="393">
      <c r="C393" s="42" t="inlineStr">
        <is>
          <t>Asian%</t>
        </is>
      </c>
      <c r="D393" s="29" t="n">
        <v>0</v>
      </c>
      <c r="E393" s="29" t="n">
        <v>0</v>
      </c>
      <c r="F393" s="31">
        <f>D393-E393</f>
        <v/>
      </c>
    </row>
    <row r="394">
      <c r="C394" s="42" t="inlineStr">
        <is>
          <t>Black%</t>
        </is>
      </c>
      <c r="D394" s="29" t="n">
        <v>0</v>
      </c>
      <c r="E394" s="29" t="n">
        <v>0</v>
      </c>
      <c r="F394" s="31">
        <f>D394-E394</f>
        <v/>
      </c>
    </row>
    <row r="395" ht="21.75" customHeight="1" s="47">
      <c r="C395" s="42" t="inlineStr">
        <is>
          <t>Native American%</t>
        </is>
      </c>
      <c r="D395" s="29" t="n">
        <v>0</v>
      </c>
      <c r="E395" s="29" t="n">
        <v>0</v>
      </c>
      <c r="F395" s="31">
        <f>D395-E395</f>
        <v/>
      </c>
    </row>
    <row r="396">
      <c r="C396" s="42" t="inlineStr">
        <is>
          <t>HoPI%</t>
        </is>
      </c>
      <c r="D396" s="29" t="n">
        <v>0</v>
      </c>
      <c r="E396" s="29" t="n">
        <v>0</v>
      </c>
      <c r="F396" s="31">
        <f>D396-E396</f>
        <v/>
      </c>
    </row>
    <row r="397">
      <c r="C397" s="42" t="inlineStr">
        <is>
          <t>Hispanic%</t>
        </is>
      </c>
      <c r="D397" s="29" t="n">
        <v>0.25</v>
      </c>
      <c r="E397" s="29" t="n">
        <v>0.05913978494623656</v>
      </c>
      <c r="F397" s="31">
        <f>D397-E397</f>
        <v/>
      </c>
    </row>
    <row r="398">
      <c r="B398" s="42" t="inlineStr">
        <is>
          <t>Carolina Non-MSA</t>
        </is>
      </c>
      <c r="C398" s="42" t="inlineStr">
        <is>
          <t>Loans</t>
        </is>
      </c>
      <c r="D398" s="46" t="n">
        <v>8</v>
      </c>
      <c r="E398" s="25" t="n">
        <v>186</v>
      </c>
    </row>
    <row r="399">
      <c r="C399" s="42" t="inlineStr">
        <is>
          <t xml:space="preserve">LMICT% </t>
        </is>
      </c>
      <c r="D399" s="29" t="n">
        <v>0.4444444444444444</v>
      </c>
      <c r="E399" s="29" t="n">
        <v>0.3881578947368421</v>
      </c>
      <c r="F399" s="31">
        <f>D399-E399</f>
        <v/>
      </c>
    </row>
    <row r="400">
      <c r="C400" s="42" t="inlineStr">
        <is>
          <t>LMIB%</t>
        </is>
      </c>
      <c r="D400" s="29" t="n">
        <v>0.3333333333333333</v>
      </c>
      <c r="E400" s="29" t="n">
        <v>0.2828947368421053</v>
      </c>
      <c r="F400" s="31">
        <f>D400-E400</f>
        <v/>
      </c>
    </row>
    <row r="401">
      <c r="C401" s="42" t="inlineStr">
        <is>
          <t>LMIB$</t>
        </is>
      </c>
      <c r="D401" s="48" t="n">
        <v>245000</v>
      </c>
      <c r="E401" s="48" t="n">
        <v>11220000</v>
      </c>
      <c r="F401" s="49" t="n"/>
    </row>
    <row r="402">
      <c r="C402" s="42" t="inlineStr">
        <is>
          <t>MMCT%</t>
        </is>
      </c>
      <c r="D402" s="29" t="n">
        <v>0.7777777777777779</v>
      </c>
      <c r="E402" s="29" t="n">
        <v>0.8092105263157895</v>
      </c>
      <c r="F402" s="31">
        <f>D402-E402</f>
        <v/>
      </c>
    </row>
    <row r="403">
      <c r="C403" s="42" t="inlineStr">
        <is>
          <t>MINB%</t>
        </is>
      </c>
      <c r="D403" s="29" t="n">
        <v>0.2222222222222222</v>
      </c>
      <c r="E403" s="29" t="n">
        <v>0.1217105263157895</v>
      </c>
      <c r="F403" s="31">
        <f>D403-E403</f>
        <v/>
      </c>
    </row>
    <row r="404">
      <c r="C404" s="42" t="inlineStr">
        <is>
          <t>Asian%</t>
        </is>
      </c>
      <c r="D404" s="29" t="n">
        <v>0</v>
      </c>
      <c r="E404" s="29" t="n">
        <v>0</v>
      </c>
      <c r="F404" s="31">
        <f>D404-E404</f>
        <v/>
      </c>
    </row>
    <row r="405">
      <c r="C405" s="42" t="inlineStr">
        <is>
          <t>Black%</t>
        </is>
      </c>
      <c r="D405" s="29" t="n">
        <v>0</v>
      </c>
      <c r="E405" s="29" t="n">
        <v>0</v>
      </c>
      <c r="F405" s="31">
        <f>D405-E405</f>
        <v/>
      </c>
    </row>
    <row r="406" ht="21.75" customHeight="1" s="47">
      <c r="C406" s="42" t="inlineStr">
        <is>
          <t>Native American%</t>
        </is>
      </c>
      <c r="D406" s="29" t="n">
        <v>0</v>
      </c>
      <c r="E406" s="29" t="n">
        <v>0</v>
      </c>
      <c r="F406" s="31">
        <f>D406-E406</f>
        <v/>
      </c>
    </row>
    <row r="407">
      <c r="C407" s="42" t="inlineStr">
        <is>
          <t>HoPI%</t>
        </is>
      </c>
      <c r="D407" s="29" t="n">
        <v>0</v>
      </c>
      <c r="E407" s="29" t="n">
        <v>0</v>
      </c>
      <c r="F407" s="31">
        <f>D407-E407</f>
        <v/>
      </c>
    </row>
    <row r="408">
      <c r="C408" s="42" t="inlineStr">
        <is>
          <t>Hispanic%</t>
        </is>
      </c>
      <c r="D408" s="29" t="n">
        <v>0.2222222222222222</v>
      </c>
      <c r="E408" s="29" t="n">
        <v>0.1217105263157895</v>
      </c>
      <c r="F408" s="31">
        <f>D408-E408</f>
        <v/>
      </c>
    </row>
    <row r="409">
      <c r="B409" s="42" t="inlineStr">
        <is>
          <t>Carolina Non-MSA</t>
        </is>
      </c>
      <c r="C409" s="42" t="inlineStr">
        <is>
          <t>Loans</t>
        </is>
      </c>
      <c r="D409" s="46" t="n">
        <v>9</v>
      </c>
      <c r="E409" s="25" t="n">
        <v>304</v>
      </c>
    </row>
    <row r="410">
      <c r="C410" s="42" t="inlineStr">
        <is>
          <t xml:space="preserve">LMICT% </t>
        </is>
      </c>
      <c r="D410" s="29" t="n">
        <v>0</v>
      </c>
      <c r="E410" s="29" t="n">
        <v>0.03057757644394111</v>
      </c>
      <c r="F410" s="31">
        <f>D410-E410</f>
        <v/>
      </c>
    </row>
    <row r="411">
      <c r="C411" s="42" t="inlineStr">
        <is>
          <t>LMIB%</t>
        </is>
      </c>
      <c r="D411" s="29" t="n">
        <v>0.103448275862069</v>
      </c>
      <c r="E411" s="29" t="n">
        <v>0.09626274065685164</v>
      </c>
      <c r="F411" s="31">
        <f>D411-E411</f>
        <v/>
      </c>
    </row>
    <row r="412">
      <c r="C412" s="42" t="inlineStr">
        <is>
          <t>LMIB$</t>
        </is>
      </c>
      <c r="D412" s="48" t="n">
        <v>375000</v>
      </c>
      <c r="E412" s="48" t="n">
        <v>12955000</v>
      </c>
      <c r="F412" s="49" t="n"/>
    </row>
    <row r="413">
      <c r="C413" s="42" t="inlineStr">
        <is>
          <t>MMCT%</t>
        </is>
      </c>
      <c r="D413" s="29" t="n">
        <v>0</v>
      </c>
      <c r="E413" s="29" t="n">
        <v>0</v>
      </c>
      <c r="F413" s="31">
        <f>D413-E413</f>
        <v/>
      </c>
    </row>
    <row r="414">
      <c r="C414" s="42" t="inlineStr">
        <is>
          <t>MINB%</t>
        </is>
      </c>
      <c r="D414" s="29" t="n">
        <v>0.03448275862068965</v>
      </c>
      <c r="E414" s="29" t="n">
        <v>0.03510758776896943</v>
      </c>
      <c r="F414" s="31">
        <f>D414-E414</f>
        <v/>
      </c>
    </row>
    <row r="415">
      <c r="C415" s="42" t="inlineStr">
        <is>
          <t>Asian%</t>
        </is>
      </c>
      <c r="D415" s="29" t="n">
        <v>0</v>
      </c>
      <c r="E415" s="29" t="n">
        <v>0</v>
      </c>
      <c r="F415" s="31">
        <f>D415-E415</f>
        <v/>
      </c>
    </row>
    <row r="416">
      <c r="C416" s="42" t="inlineStr">
        <is>
          <t>Black%</t>
        </is>
      </c>
      <c r="D416" s="29" t="n">
        <v>0</v>
      </c>
      <c r="E416" s="29" t="n">
        <v>0</v>
      </c>
      <c r="F416" s="31">
        <f>D416-E416</f>
        <v/>
      </c>
    </row>
    <row r="417" ht="21.75" customHeight="1" s="47">
      <c r="C417" s="42" t="inlineStr">
        <is>
          <t>Native American%</t>
        </is>
      </c>
      <c r="D417" s="29" t="n">
        <v>0</v>
      </c>
      <c r="E417" s="29" t="n">
        <v>0</v>
      </c>
      <c r="F417" s="31">
        <f>D417-E417</f>
        <v/>
      </c>
    </row>
    <row r="418">
      <c r="C418" s="42" t="inlineStr">
        <is>
          <t>HoPI%</t>
        </is>
      </c>
      <c r="D418" s="29" t="n">
        <v>0</v>
      </c>
      <c r="E418" s="29" t="n">
        <v>0</v>
      </c>
      <c r="F418" s="31">
        <f>D418-E418</f>
        <v/>
      </c>
    </row>
    <row r="419">
      <c r="C419" s="42" t="inlineStr">
        <is>
          <t>Hispanic%</t>
        </is>
      </c>
      <c r="D419" s="29" t="n">
        <v>0.03448275862068965</v>
      </c>
      <c r="E419" s="29" t="n">
        <v>0.03510758776896943</v>
      </c>
      <c r="F419" s="31">
        <f>D419-E419</f>
        <v/>
      </c>
    </row>
    <row r="420">
      <c r="B420" s="42" t="inlineStr">
        <is>
          <t>North Carolina Non-MSA</t>
        </is>
      </c>
      <c r="C420" s="42" t="inlineStr">
        <is>
          <t>Loans</t>
        </is>
      </c>
      <c r="D420" s="46" t="n">
        <v>29</v>
      </c>
      <c r="E420" s="25" t="n">
        <v>883</v>
      </c>
    </row>
    <row r="421">
      <c r="C421" s="42" t="inlineStr">
        <is>
          <t xml:space="preserve">LMICT% </t>
        </is>
      </c>
      <c r="D421" s="29" t="n">
        <v>0.0625</v>
      </c>
      <c r="E421" s="29" t="n">
        <v>0.1206581352833638</v>
      </c>
      <c r="F421" s="31">
        <f>D421-E421</f>
        <v/>
      </c>
    </row>
    <row r="422">
      <c r="C422" s="42" t="inlineStr">
        <is>
          <t>LMIB%</t>
        </is>
      </c>
      <c r="D422" s="29" t="n">
        <v>0.375</v>
      </c>
      <c r="E422" s="29" t="n">
        <v>0.2394881170018281</v>
      </c>
      <c r="F422" s="31">
        <f>D422-E422</f>
        <v/>
      </c>
    </row>
    <row r="423">
      <c r="C423" s="42" t="inlineStr">
        <is>
          <t>LMIB$</t>
        </is>
      </c>
      <c r="D423" s="48" t="n">
        <v>940000</v>
      </c>
      <c r="E423" s="48" t="n">
        <v>17925000</v>
      </c>
      <c r="F423" s="49" t="n"/>
    </row>
    <row r="424">
      <c r="C424" s="42" t="inlineStr">
        <is>
          <t>MMCT%</t>
        </is>
      </c>
      <c r="D424" s="29" t="n">
        <v>0</v>
      </c>
      <c r="E424" s="29" t="n">
        <v>0</v>
      </c>
      <c r="F424" s="31">
        <f>D424-E424</f>
        <v/>
      </c>
    </row>
    <row r="425">
      <c r="C425" s="42" t="inlineStr">
        <is>
          <t>MINB%</t>
        </is>
      </c>
      <c r="D425" s="29" t="n">
        <v>0.0625</v>
      </c>
      <c r="E425" s="29" t="n">
        <v>0.08957952468007313</v>
      </c>
      <c r="F425" s="31">
        <f>D425-E425</f>
        <v/>
      </c>
    </row>
    <row r="426">
      <c r="C426" s="42" t="inlineStr">
        <is>
          <t>Asian%</t>
        </is>
      </c>
      <c r="D426" s="29" t="n">
        <v>0</v>
      </c>
      <c r="E426" s="29" t="n">
        <v>0</v>
      </c>
      <c r="F426" s="31">
        <f>D426-E426</f>
        <v/>
      </c>
    </row>
    <row r="427">
      <c r="C427" s="42" t="inlineStr">
        <is>
          <t>Black%</t>
        </is>
      </c>
      <c r="D427" s="29" t="n">
        <v>0</v>
      </c>
      <c r="E427" s="29" t="n">
        <v>0</v>
      </c>
      <c r="F427" s="31">
        <f>D427-E427</f>
        <v/>
      </c>
    </row>
    <row r="428" ht="21.75" customHeight="1" s="47">
      <c r="C428" s="42" t="inlineStr">
        <is>
          <t>Native American%</t>
        </is>
      </c>
      <c r="D428" s="29" t="n">
        <v>0</v>
      </c>
      <c r="E428" s="29" t="n">
        <v>0</v>
      </c>
      <c r="F428" s="31">
        <f>D428-E428</f>
        <v/>
      </c>
    </row>
    <row r="429">
      <c r="C429" s="42" t="inlineStr">
        <is>
          <t>HoPI%</t>
        </is>
      </c>
      <c r="D429" s="29" t="n">
        <v>0</v>
      </c>
      <c r="E429" s="29" t="n">
        <v>0</v>
      </c>
      <c r="F429" s="31">
        <f>D429-E429</f>
        <v/>
      </c>
    </row>
    <row r="430">
      <c r="C430" s="42" t="inlineStr">
        <is>
          <t>Hispanic%</t>
        </is>
      </c>
      <c r="D430" s="29" t="n">
        <v>0.0625</v>
      </c>
      <c r="E430" s="29" t="n">
        <v>0.08957952468007313</v>
      </c>
      <c r="F430" s="31">
        <f>D430-E430</f>
        <v/>
      </c>
    </row>
    <row r="431">
      <c r="B431" s="42" t="inlineStr">
        <is>
          <t>Carolina Non-MSA</t>
        </is>
      </c>
      <c r="C431" s="42" t="inlineStr">
        <is>
          <t>Loans</t>
        </is>
      </c>
      <c r="D431" s="46" t="n">
        <v>16</v>
      </c>
      <c r="E431" s="25" t="n">
        <v>547</v>
      </c>
    </row>
    <row r="432">
      <c r="C432" s="42" t="inlineStr">
        <is>
          <t xml:space="preserve">LMICT% </t>
        </is>
      </c>
      <c r="D432" s="29" t="n">
        <v>0.08284023668639055</v>
      </c>
      <c r="E432" s="29" t="n">
        <v>0.1299065420560748</v>
      </c>
      <c r="F432" s="31">
        <f>D432-E432</f>
        <v/>
      </c>
    </row>
    <row r="433">
      <c r="C433" s="42" t="inlineStr">
        <is>
          <t>LMIB%</t>
        </is>
      </c>
      <c r="D433" s="29" t="n">
        <v>0.2485207100591716</v>
      </c>
      <c r="E433" s="29" t="n">
        <v>0.2244158878504673</v>
      </c>
      <c r="F433" s="31">
        <f>D433-E433</f>
        <v/>
      </c>
    </row>
    <row r="434">
      <c r="C434" s="42" t="inlineStr">
        <is>
          <t>LMIB$</t>
        </is>
      </c>
      <c r="D434" s="48" t="n">
        <v>6960000</v>
      </c>
      <c r="E434" s="48" t="n">
        <v>355285000</v>
      </c>
      <c r="F434" s="49" t="n"/>
    </row>
    <row r="435">
      <c r="C435" s="42" t="inlineStr">
        <is>
          <t>MMCT%</t>
        </is>
      </c>
      <c r="D435" s="29" t="n">
        <v>0.01183431952662722</v>
      </c>
      <c r="E435" s="29" t="n">
        <v>0.02091121495327103</v>
      </c>
      <c r="F435" s="31">
        <f>D435-E435</f>
        <v/>
      </c>
    </row>
    <row r="436">
      <c r="C436" s="42" t="inlineStr">
        <is>
          <t>MINB%</t>
        </is>
      </c>
      <c r="D436" s="29" t="n">
        <v>0.02958579881656805</v>
      </c>
      <c r="E436" s="29" t="n">
        <v>0.03913551401869159</v>
      </c>
      <c r="F436" s="31">
        <f>D436-E436</f>
        <v/>
      </c>
    </row>
    <row r="437">
      <c r="C437" s="42" t="inlineStr">
        <is>
          <t>Asian%</t>
        </is>
      </c>
      <c r="D437" s="29" t="n">
        <v>0</v>
      </c>
      <c r="E437" s="29" t="n">
        <v>0</v>
      </c>
      <c r="F437" s="31">
        <f>D437-E437</f>
        <v/>
      </c>
    </row>
    <row r="438">
      <c r="C438" s="42" t="inlineStr">
        <is>
          <t>Black%</t>
        </is>
      </c>
      <c r="D438" s="29" t="n">
        <v>0</v>
      </c>
      <c r="E438" s="29" t="n">
        <v>0</v>
      </c>
      <c r="F438" s="31">
        <f>D438-E438</f>
        <v/>
      </c>
    </row>
    <row r="439" ht="21.75" customHeight="1" s="47">
      <c r="C439" s="42" t="inlineStr">
        <is>
          <t>Native American%</t>
        </is>
      </c>
      <c r="D439" s="29" t="n">
        <v>0</v>
      </c>
      <c r="E439" s="29" t="n">
        <v>0</v>
      </c>
      <c r="F439" s="31">
        <f>D439-E439</f>
        <v/>
      </c>
    </row>
    <row r="440">
      <c r="C440" s="42" t="inlineStr">
        <is>
          <t>HoPI%</t>
        </is>
      </c>
      <c r="D440" s="29" t="n">
        <v>0</v>
      </c>
      <c r="E440" s="29" t="n">
        <v>0</v>
      </c>
      <c r="F440" s="31">
        <f>D440-E440</f>
        <v/>
      </c>
    </row>
    <row r="441">
      <c r="C441" s="42" t="inlineStr">
        <is>
          <t>Hispanic%</t>
        </is>
      </c>
      <c r="D441" s="29" t="n">
        <v>0.02958579881656805</v>
      </c>
      <c r="E441" s="29" t="n">
        <v>0.03913551401869159</v>
      </c>
      <c r="F441" s="31">
        <f>D441-E441</f>
        <v/>
      </c>
    </row>
    <row r="442">
      <c r="B442" s="42" t="inlineStr">
        <is>
          <t>Myrtle Beach-Conway-North Myrtle Beach, SC-NC</t>
        </is>
      </c>
      <c r="C442" s="42" t="inlineStr">
        <is>
          <t>Loans</t>
        </is>
      </c>
      <c r="D442" s="46" t="n">
        <v>169</v>
      </c>
      <c r="E442" s="25" t="n">
        <v>8560</v>
      </c>
    </row>
    <row r="443">
      <c r="C443" s="42" t="inlineStr">
        <is>
          <t xml:space="preserve">LMICT% </t>
        </is>
      </c>
      <c r="D443" s="29" t="n">
        <v>0.06306306306306306</v>
      </c>
      <c r="E443" s="29" t="n">
        <v>0.0756578947368421</v>
      </c>
      <c r="F443" s="31">
        <f>D443-E443</f>
        <v/>
      </c>
    </row>
    <row r="444">
      <c r="C444" s="42" t="inlineStr">
        <is>
          <t>LMIB%</t>
        </is>
      </c>
      <c r="D444" s="29" t="n">
        <v>0.5315315315315315</v>
      </c>
      <c r="E444" s="29" t="n">
        <v>0.2384868421052632</v>
      </c>
      <c r="F444" s="31">
        <f>D444-E444</f>
        <v/>
      </c>
    </row>
    <row r="445">
      <c r="C445" s="42" t="inlineStr">
        <is>
          <t>LMIB$</t>
        </is>
      </c>
      <c r="D445" s="48" t="n">
        <v>10005000</v>
      </c>
      <c r="E445" s="48" t="n">
        <v>46030000</v>
      </c>
      <c r="F445" s="31" t="n"/>
    </row>
    <row r="446">
      <c r="C446" s="42" t="inlineStr">
        <is>
          <t>MMCT%</t>
        </is>
      </c>
      <c r="D446" s="29" t="n">
        <v>0.1891891891891892</v>
      </c>
      <c r="E446" s="29" t="n">
        <v>0.05427631578947369</v>
      </c>
      <c r="F446" s="31">
        <f>D446-E446</f>
        <v/>
      </c>
    </row>
    <row r="447">
      <c r="C447" s="42" t="inlineStr">
        <is>
          <t>MINB%</t>
        </is>
      </c>
      <c r="D447" s="29" t="n">
        <v>0.009009009009009009</v>
      </c>
      <c r="E447" s="29" t="n">
        <v>0.07483552631578948</v>
      </c>
      <c r="F447" s="31">
        <f>D447-E447</f>
        <v/>
      </c>
    </row>
    <row r="448">
      <c r="C448" s="42" t="inlineStr">
        <is>
          <t>Asian%</t>
        </is>
      </c>
      <c r="D448" s="29" t="n">
        <v>0</v>
      </c>
      <c r="E448" s="29" t="n">
        <v>0</v>
      </c>
      <c r="F448" s="31">
        <f>D448-E448</f>
        <v/>
      </c>
    </row>
    <row r="449">
      <c r="C449" s="42" t="inlineStr">
        <is>
          <t>Black%</t>
        </is>
      </c>
      <c r="D449" s="29" t="n">
        <v>0</v>
      </c>
      <c r="E449" s="29" t="n">
        <v>0</v>
      </c>
      <c r="F449" s="31">
        <f>D449-E449</f>
        <v/>
      </c>
    </row>
    <row r="450" ht="21.75" customHeight="1" s="47">
      <c r="C450" s="42" t="inlineStr">
        <is>
          <t>Native American%</t>
        </is>
      </c>
      <c r="D450" s="29" t="n">
        <v>0</v>
      </c>
      <c r="E450" s="29" t="n">
        <v>0</v>
      </c>
      <c r="F450" s="31">
        <f>D450-E450</f>
        <v/>
      </c>
    </row>
    <row r="451">
      <c r="C451" s="42" t="inlineStr">
        <is>
          <t>HoPI%</t>
        </is>
      </c>
      <c r="D451" s="29" t="n">
        <v>0</v>
      </c>
      <c r="E451" s="29" t="n">
        <v>0</v>
      </c>
      <c r="F451" s="31">
        <f>D451-E451</f>
        <v/>
      </c>
    </row>
    <row r="452">
      <c r="C452" s="42" t="inlineStr">
        <is>
          <t>Hispanic%</t>
        </is>
      </c>
      <c r="D452" s="29" t="n">
        <v>0.009009009009009009</v>
      </c>
      <c r="E452" s="29" t="n">
        <v>0.07483552631578948</v>
      </c>
      <c r="F452" s="31">
        <f>D452-E452</f>
        <v/>
      </c>
    </row>
    <row r="453">
      <c r="B453" s="42" t="inlineStr">
        <is>
          <t>New Bern, NC</t>
        </is>
      </c>
      <c r="C453" s="42" t="inlineStr">
        <is>
          <t>Loans</t>
        </is>
      </c>
      <c r="D453" s="46" t="n">
        <v>111</v>
      </c>
      <c r="E453" s="25" t="n">
        <v>1216</v>
      </c>
    </row>
    <row r="454">
      <c r="C454" s="42" t="inlineStr">
        <is>
          <t xml:space="preserve">LMICT% </t>
        </is>
      </c>
      <c r="D454" s="29" t="n">
        <v>0</v>
      </c>
      <c r="E454" s="29" t="n">
        <v>0.02115655853314527</v>
      </c>
      <c r="F454" s="31">
        <f>D454-E454</f>
        <v/>
      </c>
    </row>
    <row r="455">
      <c r="C455" s="42" t="inlineStr">
        <is>
          <t>LMIB%</t>
        </is>
      </c>
      <c r="D455" s="29" t="n">
        <v>0.103448275862069</v>
      </c>
      <c r="E455" s="29" t="n">
        <v>0.07052186177715092</v>
      </c>
      <c r="F455" s="31">
        <f>D455-E455</f>
        <v/>
      </c>
    </row>
    <row r="456">
      <c r="C456" s="42" t="inlineStr">
        <is>
          <t>LMIB$</t>
        </is>
      </c>
      <c r="D456" s="48" t="n">
        <v>1110000</v>
      </c>
      <c r="E456" s="48" t="n">
        <v>19490000</v>
      </c>
      <c r="F456" s="49" t="n"/>
    </row>
    <row r="457">
      <c r="C457" s="42" t="inlineStr">
        <is>
          <t>MMCT%</t>
        </is>
      </c>
      <c r="D457" s="29" t="n">
        <v>0.05172413793103448</v>
      </c>
      <c r="E457" s="29" t="n">
        <v>0.02115655853314527</v>
      </c>
      <c r="F457" s="31">
        <f>D457-E457</f>
        <v/>
      </c>
    </row>
    <row r="458">
      <c r="C458" s="42" t="inlineStr">
        <is>
          <t>MINB%</t>
        </is>
      </c>
      <c r="D458" s="29" t="n">
        <v>0</v>
      </c>
      <c r="E458" s="29" t="n">
        <v>0.06346967559943582</v>
      </c>
      <c r="F458" s="31">
        <f>D458-E458</f>
        <v/>
      </c>
    </row>
    <row r="459">
      <c r="C459" s="42" t="inlineStr">
        <is>
          <t>Asian%</t>
        </is>
      </c>
      <c r="D459" s="29" t="n">
        <v>0</v>
      </c>
      <c r="E459" s="29" t="n">
        <v>0</v>
      </c>
      <c r="F459" s="31">
        <f>D459-E459</f>
        <v/>
      </c>
    </row>
    <row r="460">
      <c r="C460" s="42" t="inlineStr">
        <is>
          <t>Black%</t>
        </is>
      </c>
      <c r="D460" s="29" t="n">
        <v>0</v>
      </c>
      <c r="E460" s="29" t="n">
        <v>0</v>
      </c>
      <c r="F460" s="31">
        <f>D460-E460</f>
        <v/>
      </c>
    </row>
    <row r="461" ht="21.75" customHeight="1" s="47">
      <c r="C461" s="42" t="inlineStr">
        <is>
          <t>Native American%</t>
        </is>
      </c>
      <c r="D461" s="29" t="n">
        <v>0</v>
      </c>
      <c r="E461" s="29" t="n">
        <v>0</v>
      </c>
      <c r="F461" s="31">
        <f>D461-E461</f>
        <v/>
      </c>
    </row>
    <row r="462">
      <c r="C462" s="42" t="inlineStr">
        <is>
          <t>HoPI%</t>
        </is>
      </c>
      <c r="D462" s="29" t="n">
        <v>0</v>
      </c>
      <c r="E462" s="29" t="n">
        <v>0</v>
      </c>
      <c r="F462" s="31">
        <f>D462-E462</f>
        <v/>
      </c>
    </row>
    <row r="463">
      <c r="C463" s="42" t="inlineStr">
        <is>
          <t>Hispanic%</t>
        </is>
      </c>
      <c r="D463" s="29" t="n">
        <v>0</v>
      </c>
      <c r="E463" s="29" t="n">
        <v>0.06346967559943582</v>
      </c>
      <c r="F463" s="31">
        <f>D463-E463</f>
        <v/>
      </c>
    </row>
    <row r="464">
      <c r="B464" s="42" t="inlineStr">
        <is>
          <t>Carolina Non-MSA</t>
        </is>
      </c>
      <c r="C464" s="42" t="inlineStr">
        <is>
          <t>Loans</t>
        </is>
      </c>
      <c r="D464" s="46" t="n">
        <v>58</v>
      </c>
      <c r="E464" s="25" t="n">
        <v>1418</v>
      </c>
    </row>
    <row r="465">
      <c r="C465" s="42" t="inlineStr">
        <is>
          <t xml:space="preserve">LMICT% </t>
        </is>
      </c>
      <c r="D465" s="29" t="n">
        <v>0.2261735419630156</v>
      </c>
      <c r="E465" s="29" t="n">
        <v>0.2603414619031388</v>
      </c>
      <c r="F465" s="31">
        <f>D465-E465</f>
        <v/>
      </c>
    </row>
    <row r="466">
      <c r="C466" s="42" t="inlineStr">
        <is>
          <t>LMIB%</t>
        </is>
      </c>
      <c r="D466" s="29" t="n">
        <v>0.2574679943100996</v>
      </c>
      <c r="E466" s="29" t="n">
        <v>0.3087100672388684</v>
      </c>
      <c r="F466" s="31">
        <f>D466-E466</f>
        <v/>
      </c>
    </row>
    <row r="467">
      <c r="C467" s="42" t="inlineStr">
        <is>
          <t>LMIB$</t>
        </is>
      </c>
      <c r="D467" s="48" t="n">
        <v>41255000</v>
      </c>
      <c r="E467" s="48" t="n">
        <v>2599845000</v>
      </c>
      <c r="F467" s="49" t="n"/>
    </row>
    <row r="468">
      <c r="C468" s="42" t="inlineStr">
        <is>
          <t>MMCT%</t>
        </is>
      </c>
      <c r="D468" s="29" t="n">
        <v>0.197724039829303</v>
      </c>
      <c r="E468" s="29" t="n">
        <v>0.2044123570786726</v>
      </c>
      <c r="F468" s="31">
        <f>D468-E468</f>
        <v/>
      </c>
    </row>
    <row r="469">
      <c r="C469" s="42" t="inlineStr">
        <is>
          <t>MINB%</t>
        </is>
      </c>
      <c r="D469" s="29" t="n">
        <v>0.04125177809388336</v>
      </c>
      <c r="E469" s="29" t="n">
        <v>0.09277104700523657</v>
      </c>
      <c r="F469" s="31">
        <f>D469-E469</f>
        <v/>
      </c>
    </row>
    <row r="470">
      <c r="C470" s="42" t="inlineStr">
        <is>
          <t>Asian%</t>
        </is>
      </c>
      <c r="D470" s="29" t="n">
        <v>0</v>
      </c>
      <c r="E470" s="29" t="n">
        <v>0</v>
      </c>
      <c r="F470" s="31">
        <f>D470-E470</f>
        <v/>
      </c>
    </row>
    <row r="471">
      <c r="C471" s="42" t="inlineStr">
        <is>
          <t>Black%</t>
        </is>
      </c>
      <c r="D471" s="29" t="n">
        <v>0</v>
      </c>
      <c r="E471" s="29" t="n">
        <v>0</v>
      </c>
      <c r="F471" s="31">
        <f>D471-E471</f>
        <v/>
      </c>
    </row>
    <row r="472" ht="21.75" customHeight="1" s="47">
      <c r="C472" s="42" t="inlineStr">
        <is>
          <t>Native American%</t>
        </is>
      </c>
      <c r="D472" s="29" t="n">
        <v>0</v>
      </c>
      <c r="E472" s="29" t="n">
        <v>0</v>
      </c>
      <c r="F472" s="31">
        <f>D472-E472</f>
        <v/>
      </c>
    </row>
    <row r="473">
      <c r="C473" s="42" t="inlineStr">
        <is>
          <t>HoPI%</t>
        </is>
      </c>
      <c r="D473" s="29" t="n">
        <v>0</v>
      </c>
      <c r="E473" s="29" t="n">
        <v>0</v>
      </c>
      <c r="F473" s="31">
        <f>D473-E473</f>
        <v/>
      </c>
    </row>
    <row r="474">
      <c r="C474" s="42" t="inlineStr">
        <is>
          <t>Hispanic%</t>
        </is>
      </c>
      <c r="D474" s="29" t="n">
        <v>0.04125177809388336</v>
      </c>
      <c r="E474" s="29" t="n">
        <v>0.09277104700523657</v>
      </c>
      <c r="F474" s="31">
        <f>D474-E474</f>
        <v/>
      </c>
    </row>
    <row r="475">
      <c r="A475" s="46" t="inlineStr">
        <is>
          <t>Colorado</t>
        </is>
      </c>
      <c r="B475" s="42" t="inlineStr">
        <is>
          <t>Raleigh-Cary, NC</t>
        </is>
      </c>
      <c r="C475" s="42" t="inlineStr">
        <is>
          <t>Loans</t>
        </is>
      </c>
      <c r="D475" s="46" t="n">
        <v>703</v>
      </c>
      <c r="E475" s="25" t="n">
        <v>32273</v>
      </c>
    </row>
    <row r="476">
      <c r="C476" s="42" t="inlineStr">
        <is>
          <t xml:space="preserve">LMICT% </t>
        </is>
      </c>
      <c r="D476" s="29" t="n">
        <v>0.1666666666666666</v>
      </c>
      <c r="E476" s="29" t="n">
        <v>0.294392523364486</v>
      </c>
      <c r="F476" s="31">
        <f>D476-E476</f>
        <v/>
      </c>
    </row>
    <row r="477">
      <c r="C477" s="42" t="inlineStr">
        <is>
          <t>LMIB%</t>
        </is>
      </c>
      <c r="D477" s="29" t="n">
        <v>0.5</v>
      </c>
      <c r="E477" s="29" t="n">
        <v>0.308411214953271</v>
      </c>
      <c r="F477" s="31">
        <f>D477-E477</f>
        <v/>
      </c>
    </row>
    <row r="478">
      <c r="C478" s="42" t="inlineStr">
        <is>
          <t>LMIB$</t>
        </is>
      </c>
      <c r="D478" s="48" t="n">
        <v>235000</v>
      </c>
      <c r="E478" s="48" t="n">
        <v>7950000</v>
      </c>
      <c r="F478" s="49" t="n"/>
    </row>
    <row r="479">
      <c r="C479" s="42" t="inlineStr">
        <is>
          <t>MMCT%</t>
        </is>
      </c>
      <c r="D479" s="29" t="n">
        <v>0.8333333333333335</v>
      </c>
      <c r="E479" s="29" t="n">
        <v>0.5560747663551402</v>
      </c>
      <c r="F479" s="31">
        <f>D479-E479</f>
        <v/>
      </c>
    </row>
    <row r="480">
      <c r="C480" s="42" t="inlineStr">
        <is>
          <t>MINB%</t>
        </is>
      </c>
      <c r="D480" s="29" t="n">
        <v>0</v>
      </c>
      <c r="E480" s="29" t="n">
        <v>0.01869158878504673</v>
      </c>
      <c r="F480" s="31">
        <f>D480-E480</f>
        <v/>
      </c>
    </row>
    <row r="481">
      <c r="C481" s="42" t="inlineStr">
        <is>
          <t>Asian%</t>
        </is>
      </c>
      <c r="D481" s="29" t="n">
        <v>0</v>
      </c>
      <c r="E481" s="29" t="n">
        <v>0</v>
      </c>
      <c r="F481" s="31">
        <f>D481-E481</f>
        <v/>
      </c>
    </row>
    <row r="482">
      <c r="C482" s="42" t="inlineStr">
        <is>
          <t>Black%</t>
        </is>
      </c>
      <c r="D482" s="29" t="n">
        <v>0</v>
      </c>
      <c r="E482" s="29" t="n">
        <v>0</v>
      </c>
      <c r="F482" s="31">
        <f>D482-E482</f>
        <v/>
      </c>
    </row>
    <row r="483" ht="21.75" customHeight="1" s="47">
      <c r="C483" s="42" t="inlineStr">
        <is>
          <t>Native American%</t>
        </is>
      </c>
      <c r="D483" s="29" t="n">
        <v>0</v>
      </c>
      <c r="E483" s="29" t="n">
        <v>0</v>
      </c>
      <c r="F483" s="31">
        <f>D483-E483</f>
        <v/>
      </c>
    </row>
    <row r="484">
      <c r="C484" s="42" t="inlineStr">
        <is>
          <t>HoPI%</t>
        </is>
      </c>
      <c r="D484" s="29" t="n">
        <v>0</v>
      </c>
      <c r="E484" s="29" t="n">
        <v>0</v>
      </c>
      <c r="F484" s="31">
        <f>D484-E484</f>
        <v/>
      </c>
    </row>
    <row r="485">
      <c r="C485" s="42" t="inlineStr">
        <is>
          <t>Hispanic%</t>
        </is>
      </c>
      <c r="D485" s="29" t="n">
        <v>0</v>
      </c>
      <c r="E485" s="29" t="n">
        <v>0.01869158878504673</v>
      </c>
      <c r="F485" s="31">
        <f>D485-E485</f>
        <v/>
      </c>
    </row>
    <row r="486">
      <c r="B486" s="42" t="inlineStr">
        <is>
          <t>Carolina Non-MSA</t>
        </is>
      </c>
      <c r="C486" s="42" t="inlineStr">
        <is>
          <t>Loans</t>
        </is>
      </c>
      <c r="D486" s="46" t="n">
        <v>6</v>
      </c>
      <c r="E486" s="25" t="n">
        <v>214</v>
      </c>
    </row>
    <row r="487">
      <c r="C487" s="42" t="inlineStr">
        <is>
          <t xml:space="preserve">LMICT% </t>
        </is>
      </c>
      <c r="D487" s="29" t="n">
        <v>0.1666666666666666</v>
      </c>
      <c r="E487" s="29" t="n">
        <v>0.3795620437956204</v>
      </c>
      <c r="F487" s="31">
        <f>D487-E487</f>
        <v/>
      </c>
    </row>
    <row r="488">
      <c r="C488" s="42" t="inlineStr">
        <is>
          <t>LMIB%</t>
        </is>
      </c>
      <c r="D488" s="29" t="n">
        <v>0.5</v>
      </c>
      <c r="E488" s="29" t="n">
        <v>0.4014598540145985</v>
      </c>
      <c r="F488" s="31">
        <f>D488-E488</f>
        <v/>
      </c>
    </row>
    <row r="489">
      <c r="C489" s="42" t="inlineStr">
        <is>
          <t>LMIB$</t>
        </is>
      </c>
      <c r="D489" s="48" t="n">
        <v>405000</v>
      </c>
      <c r="E489" s="48" t="n">
        <v>12440000</v>
      </c>
      <c r="F489" s="49" t="n"/>
    </row>
    <row r="490">
      <c r="C490" s="42" t="inlineStr">
        <is>
          <t>MMCT%</t>
        </is>
      </c>
      <c r="D490" s="29" t="n">
        <v>0</v>
      </c>
      <c r="E490" s="29" t="n">
        <v>0.2226277372262774</v>
      </c>
      <c r="F490" s="31">
        <f>D490-E490</f>
        <v/>
      </c>
    </row>
    <row r="491">
      <c r="C491" s="42" t="inlineStr">
        <is>
          <t>MINB%</t>
        </is>
      </c>
      <c r="D491" s="29" t="n">
        <v>0</v>
      </c>
      <c r="E491" s="29" t="n">
        <v>0.08759124087591241</v>
      </c>
      <c r="F491" s="31">
        <f>D491-E491</f>
        <v/>
      </c>
    </row>
    <row r="492">
      <c r="C492" s="42" t="inlineStr">
        <is>
          <t>Asian%</t>
        </is>
      </c>
      <c r="D492" s="29" t="n">
        <v>0</v>
      </c>
      <c r="E492" s="29" t="n">
        <v>0</v>
      </c>
      <c r="F492" s="31">
        <f>D492-E492</f>
        <v/>
      </c>
    </row>
    <row r="493">
      <c r="C493" s="42" t="inlineStr">
        <is>
          <t>Black%</t>
        </is>
      </c>
      <c r="D493" s="29" t="n">
        <v>0</v>
      </c>
      <c r="E493" s="29" t="n">
        <v>0</v>
      </c>
      <c r="F493" s="31">
        <f>D493-E493</f>
        <v/>
      </c>
    </row>
    <row r="494" ht="21.75" customHeight="1" s="47">
      <c r="C494" s="42" t="inlineStr">
        <is>
          <t>Native American%</t>
        </is>
      </c>
      <c r="D494" s="29" t="n">
        <v>0</v>
      </c>
      <c r="E494" s="29" t="n">
        <v>0</v>
      </c>
      <c r="F494" s="31">
        <f>D494-E494</f>
        <v/>
      </c>
    </row>
    <row r="495">
      <c r="C495" s="42" t="inlineStr">
        <is>
          <t>HoPI%</t>
        </is>
      </c>
      <c r="D495" s="29" t="n">
        <v>0</v>
      </c>
      <c r="E495" s="29" t="n">
        <v>0</v>
      </c>
      <c r="F495" s="31">
        <f>D495-E495</f>
        <v/>
      </c>
    </row>
    <row r="496">
      <c r="C496" s="42" t="inlineStr">
        <is>
          <t>Hispanic%</t>
        </is>
      </c>
      <c r="D496" s="29" t="n">
        <v>0</v>
      </c>
      <c r="E496" s="29" t="n">
        <v>0.08759124087591241</v>
      </c>
      <c r="F496" s="31">
        <f>D496-E496</f>
        <v/>
      </c>
    </row>
    <row r="497">
      <c r="B497" s="42" t="inlineStr">
        <is>
          <t>Carolina Non-MSA</t>
        </is>
      </c>
      <c r="C497" s="42" t="inlineStr">
        <is>
          <t>Loans</t>
        </is>
      </c>
      <c r="D497" s="46" t="n">
        <v>6</v>
      </c>
      <c r="E497" s="25" t="n">
        <v>274</v>
      </c>
    </row>
    <row r="498">
      <c r="C498" s="42" t="inlineStr">
        <is>
          <t xml:space="preserve">LMICT% </t>
        </is>
      </c>
      <c r="D498" s="29" t="n">
        <v>0.1136363636363636</v>
      </c>
      <c r="E498" s="29" t="n">
        <v>0.1699576868829337</v>
      </c>
      <c r="F498" s="31">
        <f>D498-E498</f>
        <v/>
      </c>
    </row>
    <row r="499">
      <c r="C499" s="42" t="inlineStr">
        <is>
          <t>LMIB%</t>
        </is>
      </c>
      <c r="D499" s="29" t="n">
        <v>0.3409090909090909</v>
      </c>
      <c r="E499" s="29" t="n">
        <v>0.2834978843441467</v>
      </c>
      <c r="F499" s="31">
        <f>D499-E499</f>
        <v/>
      </c>
    </row>
    <row r="500">
      <c r="C500" s="42" t="inlineStr">
        <is>
          <t>LMIB$</t>
        </is>
      </c>
      <c r="D500" s="48" t="n">
        <v>1785000</v>
      </c>
      <c r="E500" s="48" t="n">
        <v>61530000</v>
      </c>
      <c r="F500" s="49" t="n"/>
    </row>
    <row r="501">
      <c r="C501" s="42" t="inlineStr">
        <is>
          <t>MMCT%</t>
        </is>
      </c>
      <c r="D501" s="29" t="n">
        <v>0.3409090909090909</v>
      </c>
      <c r="E501" s="29" t="n">
        <v>0.4717912552891396</v>
      </c>
      <c r="F501" s="31">
        <f>D501-E501</f>
        <v/>
      </c>
    </row>
    <row r="502">
      <c r="C502" s="42" t="inlineStr">
        <is>
          <t>MINB%</t>
        </is>
      </c>
      <c r="D502" s="29" t="n">
        <v>0.1590909090909091</v>
      </c>
      <c r="E502" s="29" t="n">
        <v>0.1495063469675599</v>
      </c>
      <c r="F502" s="31">
        <f>D502-E502</f>
        <v/>
      </c>
    </row>
    <row r="503">
      <c r="C503" s="42" t="inlineStr">
        <is>
          <t>Asian%</t>
        </is>
      </c>
      <c r="D503" s="29" t="n">
        <v>0</v>
      </c>
      <c r="E503" s="29" t="n">
        <v>0</v>
      </c>
      <c r="F503" s="31">
        <f>D503-E503</f>
        <v/>
      </c>
    </row>
    <row r="504">
      <c r="C504" s="42" t="inlineStr">
        <is>
          <t>Black%</t>
        </is>
      </c>
      <c r="D504" s="29" t="n">
        <v>0</v>
      </c>
      <c r="E504" s="29" t="n">
        <v>0</v>
      </c>
      <c r="F504" s="31">
        <f>D504-E504</f>
        <v/>
      </c>
    </row>
    <row r="505" ht="21.75" customHeight="1" s="47">
      <c r="C505" s="42" t="inlineStr">
        <is>
          <t>Native American%</t>
        </is>
      </c>
      <c r="D505" s="29" t="n">
        <v>0</v>
      </c>
      <c r="E505" s="29" t="n">
        <v>0</v>
      </c>
      <c r="F505" s="31">
        <f>D505-E505</f>
        <v/>
      </c>
    </row>
    <row r="506">
      <c r="C506" s="42" t="inlineStr">
        <is>
          <t>HoPI%</t>
        </is>
      </c>
      <c r="D506" s="29" t="n">
        <v>0</v>
      </c>
      <c r="E506" s="29" t="n">
        <v>0</v>
      </c>
      <c r="F506" s="31">
        <f>D506-E506</f>
        <v/>
      </c>
    </row>
    <row r="507">
      <c r="C507" s="42" t="inlineStr">
        <is>
          <t>Hispanic%</t>
        </is>
      </c>
      <c r="D507" s="29" t="n">
        <v>0.1590909090909091</v>
      </c>
      <c r="E507" s="29" t="n">
        <v>0.1495063469675599</v>
      </c>
      <c r="F507" s="31">
        <f>D507-E507</f>
        <v/>
      </c>
    </row>
    <row r="508">
      <c r="B508" s="42" t="inlineStr">
        <is>
          <t>Rocky Mount, NC</t>
        </is>
      </c>
      <c r="C508" s="42" t="inlineStr">
        <is>
          <t>Loans</t>
        </is>
      </c>
      <c r="D508" s="46" t="n">
        <v>44</v>
      </c>
      <c r="E508" s="25" t="n">
        <v>1418</v>
      </c>
    </row>
    <row r="509">
      <c r="C509" s="42" t="inlineStr">
        <is>
          <t xml:space="preserve">LMICT% </t>
        </is>
      </c>
      <c r="D509" s="29" t="n">
        <v>0.2222222222222222</v>
      </c>
      <c r="E509" s="29" t="n">
        <v>0.2041884816753927</v>
      </c>
      <c r="F509" s="31">
        <f>D509-E509</f>
        <v/>
      </c>
    </row>
    <row r="510">
      <c r="C510" s="42" t="inlineStr">
        <is>
          <t>LMIB%</t>
        </is>
      </c>
      <c r="D510" s="29" t="n">
        <v>0.2777777777777778</v>
      </c>
      <c r="E510" s="29" t="n">
        <v>0.1387434554973822</v>
      </c>
      <c r="F510" s="31">
        <f>D510-E510</f>
        <v/>
      </c>
    </row>
    <row r="511">
      <c r="C511" s="42" t="inlineStr">
        <is>
          <t>LMIB$</t>
        </is>
      </c>
      <c r="D511" s="48" t="n">
        <v>1400000</v>
      </c>
      <c r="E511" s="48" t="n">
        <v>26185000</v>
      </c>
      <c r="F511" s="49" t="n"/>
    </row>
    <row r="512">
      <c r="C512" s="42" t="inlineStr">
        <is>
          <t>MMCT%</t>
        </is>
      </c>
      <c r="D512" s="29" t="n">
        <v>0.2777777777777778</v>
      </c>
      <c r="E512" s="29" t="n">
        <v>0.2294938917975567</v>
      </c>
      <c r="F512" s="31">
        <f>D512-E512</f>
        <v/>
      </c>
    </row>
    <row r="513">
      <c r="C513" s="42" t="inlineStr">
        <is>
          <t>MINB%</t>
        </is>
      </c>
      <c r="D513" s="29" t="n">
        <v>0.1111111111111111</v>
      </c>
      <c r="E513" s="29" t="n">
        <v>0.143979057591623</v>
      </c>
      <c r="F513" s="31">
        <f>D513-E513</f>
        <v/>
      </c>
    </row>
    <row r="514">
      <c r="C514" s="42" t="inlineStr">
        <is>
          <t>Asian%</t>
        </is>
      </c>
      <c r="D514" s="29" t="n">
        <v>0</v>
      </c>
      <c r="E514" s="29" t="n">
        <v>0</v>
      </c>
      <c r="F514" s="31">
        <f>D514-E514</f>
        <v/>
      </c>
    </row>
    <row r="515">
      <c r="C515" s="42" t="inlineStr">
        <is>
          <t>Black%</t>
        </is>
      </c>
      <c r="D515" s="29" t="n">
        <v>0</v>
      </c>
      <c r="E515" s="29" t="n">
        <v>0</v>
      </c>
      <c r="F515" s="31">
        <f>D515-E515</f>
        <v/>
      </c>
    </row>
    <row r="516" ht="21.75" customHeight="1" s="47">
      <c r="C516" s="42" t="inlineStr">
        <is>
          <t>Native American%</t>
        </is>
      </c>
      <c r="D516" s="29" t="n">
        <v>0</v>
      </c>
      <c r="E516" s="29" t="n">
        <v>0</v>
      </c>
      <c r="F516" s="31">
        <f>D516-E516</f>
        <v/>
      </c>
    </row>
    <row r="517">
      <c r="C517" s="42" t="inlineStr">
        <is>
          <t>HoPI%</t>
        </is>
      </c>
      <c r="D517" s="29" t="n">
        <v>0</v>
      </c>
      <c r="E517" s="29" t="n">
        <v>0</v>
      </c>
      <c r="F517" s="31">
        <f>D517-E517</f>
        <v/>
      </c>
    </row>
    <row r="518">
      <c r="C518" s="42" t="inlineStr">
        <is>
          <t>Hispanic%</t>
        </is>
      </c>
      <c r="D518" s="29" t="n">
        <v>0.1111111111111111</v>
      </c>
      <c r="E518" s="29" t="n">
        <v>0.143979057591623</v>
      </c>
      <c r="F518" s="31">
        <f>D518-E518</f>
        <v/>
      </c>
    </row>
    <row r="519">
      <c r="B519" s="42" t="inlineStr">
        <is>
          <t>Carolina Non-MSA</t>
        </is>
      </c>
      <c r="C519" s="42" t="inlineStr">
        <is>
          <t>Loans</t>
        </is>
      </c>
      <c r="D519" s="46" t="n">
        <v>36</v>
      </c>
      <c r="E519" s="25" t="n">
        <v>1146</v>
      </c>
    </row>
    <row r="520">
      <c r="C520" s="42" t="inlineStr">
        <is>
          <t xml:space="preserve">LMICT% </t>
        </is>
      </c>
      <c r="D520" s="29" t="n">
        <v>0</v>
      </c>
      <c r="E520" s="29" t="n">
        <v>0.1171875</v>
      </c>
      <c r="F520" s="31">
        <f>D520-E520</f>
        <v/>
      </c>
    </row>
    <row r="521">
      <c r="C521" s="42" t="inlineStr">
        <is>
          <t>LMIB%</t>
        </is>
      </c>
      <c r="D521" s="29" t="n">
        <v>0.125</v>
      </c>
      <c r="E521" s="29" t="n">
        <v>0.196875</v>
      </c>
      <c r="F521" s="31">
        <f>D521-E521</f>
        <v/>
      </c>
    </row>
    <row r="522">
      <c r="C522" s="42" t="inlineStr">
        <is>
          <t>LMIB$</t>
        </is>
      </c>
      <c r="D522" s="48" t="n">
        <v>135000</v>
      </c>
      <c r="E522" s="48" t="n">
        <v>19500000</v>
      </c>
      <c r="F522" s="49" t="n"/>
    </row>
    <row r="523">
      <c r="C523" s="42" t="inlineStr">
        <is>
          <t>MMCT%</t>
        </is>
      </c>
      <c r="D523" s="29" t="n">
        <v>0</v>
      </c>
      <c r="E523" s="29" t="n">
        <v>0.05625</v>
      </c>
      <c r="F523" s="31">
        <f>D523-E523</f>
        <v/>
      </c>
    </row>
    <row r="524">
      <c r="C524" s="42" t="inlineStr">
        <is>
          <t>MINB%</t>
        </is>
      </c>
      <c r="D524" s="29" t="n">
        <v>0.25</v>
      </c>
      <c r="E524" s="29" t="n">
        <v>0.09218750000000001</v>
      </c>
      <c r="F524" s="31">
        <f>D524-E524</f>
        <v/>
      </c>
    </row>
    <row r="525">
      <c r="C525" s="42" t="inlineStr">
        <is>
          <t>Asian%</t>
        </is>
      </c>
      <c r="D525" s="29" t="n">
        <v>0</v>
      </c>
      <c r="E525" s="29" t="n">
        <v>0</v>
      </c>
      <c r="F525" s="31">
        <f>D525-E525</f>
        <v/>
      </c>
    </row>
    <row r="526">
      <c r="C526" s="42" t="inlineStr">
        <is>
          <t>Black%</t>
        </is>
      </c>
      <c r="D526" s="29" t="n">
        <v>0</v>
      </c>
      <c r="E526" s="29" t="n">
        <v>0</v>
      </c>
      <c r="F526" s="31">
        <f>D526-E526</f>
        <v/>
      </c>
    </row>
    <row r="527" ht="21.75" customHeight="1" s="47">
      <c r="C527" s="42" t="inlineStr">
        <is>
          <t>Native American%</t>
        </is>
      </c>
      <c r="D527" s="29" t="n">
        <v>0</v>
      </c>
      <c r="E527" s="29" t="n">
        <v>0</v>
      </c>
      <c r="F527" s="31">
        <f>D527-E527</f>
        <v/>
      </c>
    </row>
    <row r="528">
      <c r="C528" s="42" t="inlineStr">
        <is>
          <t>HoPI%</t>
        </is>
      </c>
      <c r="D528" s="29" t="n">
        <v>0</v>
      </c>
      <c r="E528" s="29" t="n">
        <v>0</v>
      </c>
      <c r="F528" s="31">
        <f>D528-E528</f>
        <v/>
      </c>
    </row>
    <row r="529">
      <c r="C529" s="42" t="inlineStr">
        <is>
          <t>Hispanic%</t>
        </is>
      </c>
      <c r="D529" s="29" t="n">
        <v>0.25</v>
      </c>
      <c r="E529" s="29" t="n">
        <v>0.09218750000000001</v>
      </c>
      <c r="F529" s="31">
        <f>D529-E529</f>
        <v/>
      </c>
    </row>
    <row r="530">
      <c r="B530" s="42" t="inlineStr">
        <is>
          <t>Carolina Non-MSA</t>
        </is>
      </c>
      <c r="C530" s="42" t="inlineStr">
        <is>
          <t>Loans</t>
        </is>
      </c>
      <c r="D530" s="46" t="n">
        <v>8</v>
      </c>
      <c r="E530" s="25" t="n">
        <v>640</v>
      </c>
    </row>
    <row r="531">
      <c r="C531" s="42" t="inlineStr">
        <is>
          <t xml:space="preserve">LMICT% </t>
        </is>
      </c>
      <c r="D531" s="29" t="n">
        <v>0.02941176470588235</v>
      </c>
      <c r="E531" s="29" t="n">
        <v>0.05373342637822749</v>
      </c>
      <c r="F531" s="31">
        <f>D531-E531</f>
        <v/>
      </c>
    </row>
    <row r="532">
      <c r="C532" s="42" t="inlineStr">
        <is>
          <t>LMIB%</t>
        </is>
      </c>
      <c r="D532" s="29" t="n">
        <v>0.2352941176470588</v>
      </c>
      <c r="E532" s="29" t="n">
        <v>0.1730635031402652</v>
      </c>
      <c r="F532" s="31">
        <f>D532-E532</f>
        <v/>
      </c>
    </row>
    <row r="533">
      <c r="C533" s="42" t="inlineStr">
        <is>
          <t>LMIB$</t>
        </is>
      </c>
      <c r="D533" s="48" t="n">
        <v>1370000</v>
      </c>
      <c r="E533" s="48" t="n">
        <v>56660000</v>
      </c>
      <c r="F533" s="49" t="n"/>
    </row>
    <row r="534">
      <c r="C534" s="42" t="inlineStr">
        <is>
          <t>MMCT%</t>
        </is>
      </c>
      <c r="D534" s="29" t="n">
        <v>0</v>
      </c>
      <c r="E534" s="29" t="n">
        <v>0.02163293789253315</v>
      </c>
      <c r="F534" s="31">
        <f>D534-E534</f>
        <v/>
      </c>
    </row>
    <row r="535">
      <c r="C535" s="42" t="inlineStr">
        <is>
          <t>MINB%</t>
        </is>
      </c>
      <c r="D535" s="29" t="n">
        <v>0</v>
      </c>
      <c r="E535" s="29" t="n">
        <v>0.04745289602233078</v>
      </c>
      <c r="F535" s="31">
        <f>D535-E535</f>
        <v/>
      </c>
    </row>
    <row r="536">
      <c r="C536" s="42" t="inlineStr">
        <is>
          <t>Asian%</t>
        </is>
      </c>
      <c r="D536" s="29" t="n">
        <v>0</v>
      </c>
      <c r="E536" s="29" t="n">
        <v>0</v>
      </c>
      <c r="F536" s="31">
        <f>D536-E536</f>
        <v/>
      </c>
    </row>
    <row r="537">
      <c r="C537" s="42" t="inlineStr">
        <is>
          <t>Black%</t>
        </is>
      </c>
      <c r="D537" s="29" t="n">
        <v>0</v>
      </c>
      <c r="E537" s="29" t="n">
        <v>0</v>
      </c>
      <c r="F537" s="31">
        <f>D537-E537</f>
        <v/>
      </c>
    </row>
    <row r="538" ht="21.75" customHeight="1" s="47">
      <c r="C538" s="42" t="inlineStr">
        <is>
          <t>Native American%</t>
        </is>
      </c>
      <c r="D538" s="29" t="n">
        <v>0</v>
      </c>
      <c r="E538" s="29" t="n">
        <v>0</v>
      </c>
      <c r="F538" s="31">
        <f>D538-E538</f>
        <v/>
      </c>
    </row>
    <row r="539">
      <c r="C539" s="42" t="inlineStr">
        <is>
          <t>HoPI%</t>
        </is>
      </c>
      <c r="D539" s="29" t="n">
        <v>0</v>
      </c>
      <c r="E539" s="29" t="n">
        <v>0</v>
      </c>
      <c r="F539" s="31">
        <f>D539-E539</f>
        <v/>
      </c>
    </row>
    <row r="540">
      <c r="C540" s="42" t="inlineStr">
        <is>
          <t>Hispanic%</t>
        </is>
      </c>
      <c r="D540" s="29" t="n">
        <v>0</v>
      </c>
      <c r="E540" s="29" t="n">
        <v>0.04745289602233078</v>
      </c>
      <c r="F540" s="31">
        <f>D540-E540</f>
        <v/>
      </c>
    </row>
    <row r="541">
      <c r="B541" s="42" t="inlineStr">
        <is>
          <t>Virginia Beach-Norfolk-Newport News, VA-NC</t>
        </is>
      </c>
      <c r="C541" s="42" t="inlineStr">
        <is>
          <t>Loans</t>
        </is>
      </c>
      <c r="D541" s="25" t="n">
        <v>34</v>
      </c>
      <c r="E541" s="25" t="n">
        <v>1433</v>
      </c>
    </row>
    <row r="542">
      <c r="C542" s="42" t="inlineStr">
        <is>
          <t xml:space="preserve">LMICT% </t>
        </is>
      </c>
      <c r="D542" s="29" t="n">
        <v>0.125</v>
      </c>
      <c r="E542" s="29" t="n">
        <v>0.1579808366440757</v>
      </c>
      <c r="F542" s="31">
        <f>D542-E542</f>
        <v/>
      </c>
    </row>
    <row r="543">
      <c r="C543" s="42" t="inlineStr">
        <is>
          <t>LMIB%</t>
        </is>
      </c>
      <c r="D543" s="29" t="n">
        <v>0.2573529411764706</v>
      </c>
      <c r="E543" s="29" t="n">
        <v>0.2498247254031316</v>
      </c>
      <c r="F543" s="31">
        <f>D543-E543</f>
        <v/>
      </c>
    </row>
    <row r="544">
      <c r="C544" s="42" t="inlineStr">
        <is>
          <t>LMIB$</t>
        </is>
      </c>
      <c r="D544" s="48" t="n">
        <v>9555000</v>
      </c>
      <c r="E544" s="48" t="n">
        <v>239115000</v>
      </c>
      <c r="F544" s="31" t="n"/>
    </row>
    <row r="545">
      <c r="C545" s="42" t="inlineStr">
        <is>
          <t>MMCT%</t>
        </is>
      </c>
      <c r="D545" s="29" t="n">
        <v>0.06617647058823529</v>
      </c>
      <c r="E545" s="29" t="n">
        <v>0.05655526992287917</v>
      </c>
      <c r="F545" s="31">
        <f>D545-E545</f>
        <v/>
      </c>
    </row>
    <row r="546">
      <c r="C546" s="42" t="inlineStr">
        <is>
          <t>MINB%</t>
        </is>
      </c>
      <c r="D546" s="29" t="n">
        <v>0.03676470588235294</v>
      </c>
      <c r="E546" s="29" t="n">
        <v>0.0451039962608086</v>
      </c>
      <c r="F546" s="31">
        <f>D546-E546</f>
        <v/>
      </c>
    </row>
    <row r="547">
      <c r="C547" s="42" t="inlineStr">
        <is>
          <t>Asian%</t>
        </is>
      </c>
      <c r="D547" s="29" t="n">
        <v>0</v>
      </c>
      <c r="E547" s="29" t="n">
        <v>0</v>
      </c>
      <c r="F547" s="31">
        <f>D547-E547</f>
        <v/>
      </c>
    </row>
    <row r="548">
      <c r="C548" s="42" t="inlineStr">
        <is>
          <t>Black%</t>
        </is>
      </c>
      <c r="D548" s="29" t="n">
        <v>0</v>
      </c>
      <c r="E548" s="29" t="n">
        <v>0</v>
      </c>
      <c r="F548" s="31">
        <f>D548-E548</f>
        <v/>
      </c>
    </row>
    <row r="549" ht="21.75" customHeight="1" s="47">
      <c r="C549" s="42" t="inlineStr">
        <is>
          <t>Native American%</t>
        </is>
      </c>
      <c r="D549" s="29" t="n">
        <v>0</v>
      </c>
      <c r="E549" s="29" t="n">
        <v>0</v>
      </c>
      <c r="F549" s="31">
        <f>D549-E549</f>
        <v/>
      </c>
    </row>
    <row r="550">
      <c r="C550" s="42" t="inlineStr">
        <is>
          <t>HoPI%</t>
        </is>
      </c>
      <c r="D550" s="29" t="n">
        <v>0</v>
      </c>
      <c r="E550" s="29" t="n">
        <v>0</v>
      </c>
      <c r="F550" s="31">
        <f>D550-E550</f>
        <v/>
      </c>
    </row>
    <row r="551">
      <c r="C551" s="42" t="inlineStr">
        <is>
          <t>Hispanic%</t>
        </is>
      </c>
      <c r="D551" s="29" t="n">
        <v>0.03676470588235294</v>
      </c>
      <c r="E551" s="29" t="n">
        <v>0.0451039962608086</v>
      </c>
      <c r="F551" s="31">
        <f>D551-E551</f>
        <v/>
      </c>
    </row>
    <row r="552">
      <c r="B552" s="42" t="inlineStr">
        <is>
          <t>Wilmington, NC</t>
        </is>
      </c>
      <c r="C552" s="42" t="inlineStr">
        <is>
          <t>Loans</t>
        </is>
      </c>
      <c r="D552" s="46" t="n">
        <v>136</v>
      </c>
      <c r="E552" s="25" t="n">
        <v>4279</v>
      </c>
    </row>
    <row r="553">
      <c r="C553" s="42" t="inlineStr">
        <is>
          <t xml:space="preserve">LMICT% </t>
        </is>
      </c>
      <c r="D553" s="29" t="n">
        <v>0.1666666666666666</v>
      </c>
      <c r="E553" s="29" t="n">
        <v>0.1057692307692308</v>
      </c>
      <c r="F553" s="31">
        <f>D553-E553</f>
        <v/>
      </c>
    </row>
    <row r="554">
      <c r="C554" s="42" t="inlineStr">
        <is>
          <t>LMIB%</t>
        </is>
      </c>
      <c r="D554" s="29" t="n">
        <v>0.3333333333333333</v>
      </c>
      <c r="E554" s="29" t="n">
        <v>0.260989010989011</v>
      </c>
      <c r="F554" s="31">
        <f>D554-E554</f>
        <v/>
      </c>
    </row>
    <row r="555">
      <c r="C555" s="42" t="inlineStr">
        <is>
          <t>LMIB$</t>
        </is>
      </c>
      <c r="D555" s="48" t="n">
        <v>810000</v>
      </c>
      <c r="E555" s="48" t="n">
        <v>29040000</v>
      </c>
      <c r="F555" s="49" t="n"/>
    </row>
    <row r="556">
      <c r="C556" s="42" t="inlineStr">
        <is>
          <t>MMCT%</t>
        </is>
      </c>
      <c r="D556" s="29" t="n">
        <v>0.5</v>
      </c>
      <c r="E556" s="29" t="n">
        <v>0.3173076923076923</v>
      </c>
      <c r="F556" s="31">
        <f>D556-E556</f>
        <v/>
      </c>
    </row>
    <row r="557">
      <c r="C557" s="42" t="inlineStr">
        <is>
          <t>MINB%</t>
        </is>
      </c>
      <c r="D557" s="29" t="n">
        <v>0.05555555555555555</v>
      </c>
      <c r="E557" s="29" t="n">
        <v>0.1428571428571428</v>
      </c>
      <c r="F557" s="31">
        <f>D557-E557</f>
        <v/>
      </c>
    </row>
    <row r="558">
      <c r="C558" s="42" t="inlineStr">
        <is>
          <t>Asian%</t>
        </is>
      </c>
      <c r="D558" s="29" t="n">
        <v>0</v>
      </c>
      <c r="E558" s="29" t="n">
        <v>0</v>
      </c>
      <c r="F558" s="31">
        <f>D558-E558</f>
        <v/>
      </c>
    </row>
    <row r="559">
      <c r="C559" s="42" t="inlineStr">
        <is>
          <t>Black%</t>
        </is>
      </c>
      <c r="D559" s="29" t="n">
        <v>0</v>
      </c>
      <c r="E559" s="29" t="n">
        <v>0</v>
      </c>
      <c r="F559" s="31">
        <f>D559-E559</f>
        <v/>
      </c>
    </row>
    <row r="560" ht="21.75" customHeight="1" s="47">
      <c r="C560" s="42" t="inlineStr">
        <is>
          <t>Native American%</t>
        </is>
      </c>
      <c r="D560" s="29" t="n">
        <v>0</v>
      </c>
      <c r="E560" s="29" t="n">
        <v>0</v>
      </c>
      <c r="F560" s="31">
        <f>D560-E560</f>
        <v/>
      </c>
    </row>
    <row r="561">
      <c r="C561" s="42" t="inlineStr">
        <is>
          <t>HoPI%</t>
        </is>
      </c>
      <c r="D561" s="29" t="n">
        <v>0</v>
      </c>
      <c r="E561" s="29" t="n">
        <v>0</v>
      </c>
      <c r="F561" s="31">
        <f>D561-E561</f>
        <v/>
      </c>
    </row>
    <row r="562">
      <c r="C562" s="42" t="inlineStr">
        <is>
          <t>Hispanic%</t>
        </is>
      </c>
      <c r="D562" s="29" t="n">
        <v>0.05555555555555555</v>
      </c>
      <c r="E562" s="29" t="n">
        <v>0.1428571428571428</v>
      </c>
      <c r="F562" s="31">
        <f>D562-E562</f>
        <v/>
      </c>
    </row>
    <row r="563">
      <c r="B563" s="42" t="inlineStr">
        <is>
          <t>Carolina Non-MSA</t>
        </is>
      </c>
      <c r="C563" s="42" t="inlineStr">
        <is>
          <t>Loans</t>
        </is>
      </c>
      <c r="D563" s="46" t="n">
        <v>18</v>
      </c>
      <c r="E563" s="25" t="n">
        <v>728</v>
      </c>
    </row>
    <row r="564">
      <c r="C564" s="42" t="inlineStr">
        <is>
          <t xml:space="preserve">LMICT% </t>
        </is>
      </c>
      <c r="D564" s="29" t="n">
        <v>0.106060606060606</v>
      </c>
      <c r="E564" s="29" t="n">
        <v>0.1484217595701813</v>
      </c>
      <c r="F564" s="31">
        <f>D564-E564</f>
        <v/>
      </c>
    </row>
    <row r="565">
      <c r="C565" s="42" t="inlineStr">
        <is>
          <t>LMIB%</t>
        </is>
      </c>
      <c r="D565" s="29" t="n">
        <v>0.2727272727272727</v>
      </c>
      <c r="E565" s="29" t="n">
        <v>0.2918065815983882</v>
      </c>
      <c r="F565" s="31">
        <f>D565-E565</f>
        <v/>
      </c>
    </row>
    <row r="566">
      <c r="C566" s="42" t="inlineStr">
        <is>
          <t>LMIB$</t>
        </is>
      </c>
      <c r="D566" s="48" t="n">
        <v>2500000</v>
      </c>
      <c r="E566" s="48" t="n">
        <v>141345000</v>
      </c>
      <c r="F566" s="49" t="n"/>
    </row>
    <row r="567">
      <c r="C567" s="42" t="inlineStr">
        <is>
          <t>MMCT%</t>
        </is>
      </c>
      <c r="D567" s="29" t="n">
        <v>0.1666666666666666</v>
      </c>
      <c r="E567" s="29" t="n">
        <v>0.2263263935527199</v>
      </c>
      <c r="F567" s="31">
        <f>D567-E567</f>
        <v/>
      </c>
    </row>
    <row r="568">
      <c r="C568" s="42" t="inlineStr">
        <is>
          <t>MINB%</t>
        </is>
      </c>
      <c r="D568" s="29" t="n">
        <v>0.106060606060606</v>
      </c>
      <c r="E568" s="29" t="n">
        <v>0.122229684351914</v>
      </c>
      <c r="F568" s="31">
        <f>D568-E568</f>
        <v/>
      </c>
    </row>
    <row r="569">
      <c r="C569" s="42" t="inlineStr">
        <is>
          <t>Asian%</t>
        </is>
      </c>
      <c r="D569" s="29" t="n">
        <v>0</v>
      </c>
      <c r="E569" s="29" t="n">
        <v>0</v>
      </c>
      <c r="F569" s="31">
        <f>D569-E569</f>
        <v/>
      </c>
    </row>
    <row r="570">
      <c r="C570" s="42" t="inlineStr">
        <is>
          <t>Black%</t>
        </is>
      </c>
      <c r="D570" s="29" t="n">
        <v>0</v>
      </c>
      <c r="E570" s="29" t="n">
        <v>0</v>
      </c>
      <c r="F570" s="31">
        <f>D570-E570</f>
        <v/>
      </c>
    </row>
    <row r="571" ht="21.75" customHeight="1" s="47">
      <c r="C571" s="42" t="inlineStr">
        <is>
          <t>Native American%</t>
        </is>
      </c>
      <c r="D571" s="29" t="n">
        <v>0</v>
      </c>
      <c r="E571" s="29" t="n">
        <v>0</v>
      </c>
      <c r="F571" s="31">
        <f>D571-E571</f>
        <v/>
      </c>
    </row>
    <row r="572">
      <c r="C572" s="42" t="inlineStr">
        <is>
          <t>HoPI%</t>
        </is>
      </c>
      <c r="D572" s="29" t="n">
        <v>0</v>
      </c>
      <c r="E572" s="29" t="n">
        <v>0</v>
      </c>
      <c r="F572" s="31">
        <f>D572-E572</f>
        <v/>
      </c>
    </row>
    <row r="573">
      <c r="C573" s="42" t="inlineStr">
        <is>
          <t>Hispanic%</t>
        </is>
      </c>
      <c r="D573" s="29" t="n">
        <v>0.106060606060606</v>
      </c>
      <c r="E573" s="29" t="n">
        <v>0.122229684351914</v>
      </c>
      <c r="F573" s="31">
        <f>D573-E573</f>
        <v/>
      </c>
    </row>
    <row r="574">
      <c r="B574" s="42" t="inlineStr">
        <is>
          <t>Winston-Salem, NC</t>
        </is>
      </c>
      <c r="C574" s="42" t="inlineStr">
        <is>
          <t>Loans</t>
        </is>
      </c>
      <c r="D574" s="46" t="n">
        <v>66</v>
      </c>
      <c r="E574" s="25" t="n">
        <v>2978</v>
      </c>
    </row>
    <row r="575">
      <c r="C575" s="42" t="inlineStr">
        <is>
          <t xml:space="preserve">LMICT% </t>
        </is>
      </c>
      <c r="D575" s="29" t="n">
        <v>0.1555555555555556</v>
      </c>
      <c r="E575" s="29" t="n">
        <v>0.3368405670027765</v>
      </c>
      <c r="F575" s="31">
        <f>D575-E575</f>
        <v/>
      </c>
    </row>
    <row r="576">
      <c r="C576" s="42" t="inlineStr">
        <is>
          <t>LMIB%</t>
        </is>
      </c>
      <c r="D576" s="29" t="n">
        <v>0.1444444444444444</v>
      </c>
      <c r="E576" s="29" t="n">
        <v>0.2830629840713138</v>
      </c>
      <c r="F576" s="31">
        <f>D576-E576</f>
        <v/>
      </c>
    </row>
    <row r="577">
      <c r="C577" s="42" t="inlineStr">
        <is>
          <t>LMIB$</t>
        </is>
      </c>
      <c r="D577" s="48" t="n">
        <v>5125000</v>
      </c>
      <c r="E577" s="48" t="n">
        <v>567165000</v>
      </c>
      <c r="F577" s="49" t="n"/>
    </row>
    <row r="578">
      <c r="C578" s="42" t="inlineStr">
        <is>
          <t>MMCT%</t>
        </is>
      </c>
      <c r="D578" s="29" t="n">
        <v>0.1333333333333333</v>
      </c>
      <c r="E578" s="29" t="n">
        <v>0.3098056408008183</v>
      </c>
      <c r="F578" s="31">
        <f>D578-E578</f>
        <v/>
      </c>
    </row>
    <row r="579">
      <c r="C579" s="42" t="inlineStr">
        <is>
          <t>MINB%</t>
        </is>
      </c>
      <c r="D579" s="29" t="n">
        <v>0.1111111111111111</v>
      </c>
      <c r="E579" s="29" t="n">
        <v>0.1490574309513371</v>
      </c>
      <c r="F579" s="31">
        <f>D579-E579</f>
        <v/>
      </c>
    </row>
    <row r="580">
      <c r="C580" s="42" t="inlineStr">
        <is>
          <t>Asian%</t>
        </is>
      </c>
      <c r="D580" s="29" t="n">
        <v>0</v>
      </c>
      <c r="E580" s="29" t="n">
        <v>0</v>
      </c>
      <c r="F580" s="31">
        <f>D580-E580</f>
        <v/>
      </c>
    </row>
    <row r="581">
      <c r="C581" s="42" t="inlineStr">
        <is>
          <t>Black%</t>
        </is>
      </c>
      <c r="D581" s="29" t="n">
        <v>0</v>
      </c>
      <c r="E581" s="29" t="n">
        <v>0</v>
      </c>
      <c r="F581" s="31">
        <f>D581-E581</f>
        <v/>
      </c>
    </row>
    <row r="582" ht="21.75" customHeight="1" s="47">
      <c r="C582" s="42" t="inlineStr">
        <is>
          <t>Native American%</t>
        </is>
      </c>
      <c r="D582" s="29" t="n">
        <v>0</v>
      </c>
      <c r="E582" s="29" t="n">
        <v>0</v>
      </c>
      <c r="F582" s="31">
        <f>D582-E582</f>
        <v/>
      </c>
    </row>
    <row r="583">
      <c r="C583" s="42" t="inlineStr">
        <is>
          <t>HoPI%</t>
        </is>
      </c>
      <c r="D583" s="29" t="n">
        <v>0</v>
      </c>
      <c r="E583" s="29" t="n">
        <v>0</v>
      </c>
      <c r="F583" s="31">
        <f>D583-E583</f>
        <v/>
      </c>
    </row>
    <row r="584">
      <c r="C584" s="42" t="inlineStr">
        <is>
          <t>Hispanic%</t>
        </is>
      </c>
      <c r="D584" s="29" t="n">
        <v>0.1111111111111111</v>
      </c>
      <c r="E584" s="29" t="n">
        <v>0.1490574309513371</v>
      </c>
      <c r="F584" s="31">
        <f>D584-E584</f>
        <v/>
      </c>
    </row>
    <row r="585">
      <c r="B585" s="42" t="inlineStr">
        <is>
          <t>Denver-Aurora-Lakewood, CO</t>
        </is>
      </c>
      <c r="C585" s="42" t="inlineStr">
        <is>
          <t>Loans</t>
        </is>
      </c>
      <c r="D585" s="46" t="n">
        <v>90</v>
      </c>
      <c r="E585" s="25" t="n">
        <v>6843</v>
      </c>
    </row>
    <row r="586">
      <c r="C586" s="42" t="inlineStr">
        <is>
          <t xml:space="preserve">LMICT% </t>
        </is>
      </c>
      <c r="D586" s="29" t="n">
        <v>0.1481481481481481</v>
      </c>
      <c r="E586" s="29" t="n">
        <v>0.1310003096934035</v>
      </c>
      <c r="F586" s="31">
        <f>D586-E586</f>
        <v/>
      </c>
    </row>
    <row r="587">
      <c r="C587" s="42" t="inlineStr">
        <is>
          <t>LMIB%</t>
        </is>
      </c>
      <c r="D587" s="29" t="n">
        <v>0.2345679012345679</v>
      </c>
      <c r="E587" s="29" t="n">
        <v>0.2604521523691545</v>
      </c>
      <c r="F587" s="31">
        <f>D587-E587</f>
        <v/>
      </c>
    </row>
    <row r="588">
      <c r="C588" s="42" t="inlineStr">
        <is>
          <t>LMIB$</t>
        </is>
      </c>
      <c r="D588" s="48" t="n">
        <v>3545000</v>
      </c>
      <c r="E588" s="48" t="n">
        <v>176465000</v>
      </c>
      <c r="F588" s="49" t="n"/>
    </row>
    <row r="589">
      <c r="C589" s="42" t="inlineStr">
        <is>
          <t>MMCT%</t>
        </is>
      </c>
      <c r="D589" s="29" t="n">
        <v>0.2222222222222222</v>
      </c>
      <c r="E589" s="29" t="n">
        <v>0.1749767729947352</v>
      </c>
      <c r="F589" s="31">
        <f>D589-E589</f>
        <v/>
      </c>
    </row>
    <row r="590">
      <c r="C590" s="42" t="inlineStr">
        <is>
          <t>MINB%</t>
        </is>
      </c>
      <c r="D590" s="29" t="n">
        <v>0.04938271604938271</v>
      </c>
      <c r="E590" s="29" t="n">
        <v>0.06224837410963147</v>
      </c>
      <c r="F590" s="31">
        <f>D590-E590</f>
        <v/>
      </c>
    </row>
    <row r="591">
      <c r="C591" s="42" t="inlineStr">
        <is>
          <t>Asian%</t>
        </is>
      </c>
      <c r="D591" s="29" t="n">
        <v>0</v>
      </c>
      <c r="E591" s="29" t="n">
        <v>0</v>
      </c>
      <c r="F591" s="31">
        <f>D591-E591</f>
        <v/>
      </c>
    </row>
    <row r="592">
      <c r="C592" s="42" t="inlineStr">
        <is>
          <t>Black%</t>
        </is>
      </c>
      <c r="D592" s="29" t="n">
        <v>0</v>
      </c>
      <c r="E592" s="29" t="n">
        <v>0</v>
      </c>
      <c r="F592" s="31">
        <f>D592-E592</f>
        <v/>
      </c>
    </row>
    <row r="593" ht="21.75" customHeight="1" s="47">
      <c r="C593" s="42" t="inlineStr">
        <is>
          <t>Native American%</t>
        </is>
      </c>
      <c r="D593" s="29" t="n">
        <v>0</v>
      </c>
      <c r="E593" s="29" t="n">
        <v>0</v>
      </c>
      <c r="F593" s="31">
        <f>D593-E593</f>
        <v/>
      </c>
    </row>
    <row r="594">
      <c r="C594" s="42" t="inlineStr">
        <is>
          <t>HoPI%</t>
        </is>
      </c>
      <c r="D594" s="29" t="n">
        <v>0</v>
      </c>
      <c r="E594" s="29" t="n">
        <v>0</v>
      </c>
      <c r="F594" s="31">
        <f>D594-E594</f>
        <v/>
      </c>
    </row>
    <row r="595">
      <c r="C595" s="42" t="inlineStr">
        <is>
          <t>Hispanic%</t>
        </is>
      </c>
      <c r="D595" s="29" t="n">
        <v>0.04938271604938271</v>
      </c>
      <c r="E595" s="29" t="n">
        <v>0.06224837410963147</v>
      </c>
      <c r="F595" s="31">
        <f>D595-E595</f>
        <v/>
      </c>
    </row>
    <row r="596">
      <c r="A596" s="46" t="inlineStr">
        <is>
          <t>Delaware</t>
        </is>
      </c>
      <c r="B596" s="42" t="inlineStr">
        <is>
          <t>Dover, DE</t>
        </is>
      </c>
      <c r="C596" s="42" t="inlineStr">
        <is>
          <t>Loans</t>
        </is>
      </c>
      <c r="D596" s="46" t="n">
        <v>81</v>
      </c>
      <c r="E596" s="25" t="n">
        <v>3229</v>
      </c>
    </row>
    <row r="597">
      <c r="C597" s="42" t="inlineStr">
        <is>
          <t xml:space="preserve">LMICT% </t>
        </is>
      </c>
      <c r="D597" s="29" t="n">
        <v>0.1572327044025157</v>
      </c>
      <c r="E597" s="29" t="n">
        <v>0.2278150210203386</v>
      </c>
      <c r="F597" s="31">
        <f>D597-E597</f>
        <v/>
      </c>
    </row>
    <row r="598">
      <c r="C598" s="42" t="inlineStr">
        <is>
          <t>LMIB%</t>
        </is>
      </c>
      <c r="D598" s="29" t="n">
        <v>0.1383647798742138</v>
      </c>
      <c r="E598" s="29" t="n">
        <v>0.2074764231337348</v>
      </c>
      <c r="F598" s="31">
        <f>D598-E598</f>
        <v/>
      </c>
    </row>
    <row r="599">
      <c r="C599" s="42" t="inlineStr">
        <is>
          <t>LMIB$</t>
        </is>
      </c>
      <c r="D599" s="48" t="n">
        <v>3830000</v>
      </c>
      <c r="E599" s="48" t="n">
        <v>373580000</v>
      </c>
      <c r="F599" s="49" t="n"/>
    </row>
    <row r="600">
      <c r="C600" s="42" t="inlineStr">
        <is>
          <t>MMCT%</t>
        </is>
      </c>
      <c r="D600" s="29" t="n">
        <v>0.06918238993710692</v>
      </c>
      <c r="E600" s="29" t="n">
        <v>0.2223610953300761</v>
      </c>
      <c r="F600" s="31">
        <f>D600-E600</f>
        <v/>
      </c>
    </row>
    <row r="601">
      <c r="C601" s="42" t="inlineStr">
        <is>
          <t>MINB%</t>
        </is>
      </c>
      <c r="D601" s="29" t="n">
        <v>0.05031446540880504</v>
      </c>
      <c r="E601" s="29" t="n">
        <v>0.2739461424838087</v>
      </c>
      <c r="F601" s="31">
        <f>D601-E601</f>
        <v/>
      </c>
    </row>
    <row r="602">
      <c r="C602" s="42" t="inlineStr">
        <is>
          <t>Asian%</t>
        </is>
      </c>
      <c r="D602" s="29" t="n">
        <v>0</v>
      </c>
      <c r="E602" s="29" t="n">
        <v>0</v>
      </c>
      <c r="F602" s="31">
        <f>D602-E602</f>
        <v/>
      </c>
    </row>
    <row r="603">
      <c r="C603" s="42" t="inlineStr">
        <is>
          <t>Black%</t>
        </is>
      </c>
      <c r="D603" s="29" t="n">
        <v>0</v>
      </c>
      <c r="E603" s="29" t="n">
        <v>0</v>
      </c>
      <c r="F603" s="31">
        <f>D603-E603</f>
        <v/>
      </c>
    </row>
    <row r="604" ht="21.75" customHeight="1" s="47">
      <c r="C604" s="42" t="inlineStr">
        <is>
          <t>Native American%</t>
        </is>
      </c>
      <c r="D604" s="29" t="n">
        <v>0</v>
      </c>
      <c r="E604" s="29" t="n">
        <v>0</v>
      </c>
      <c r="F604" s="31">
        <f>D604-E604</f>
        <v/>
      </c>
    </row>
    <row r="605">
      <c r="C605" s="42" t="inlineStr">
        <is>
          <t>HoPI%</t>
        </is>
      </c>
      <c r="D605" s="29" t="n">
        <v>0</v>
      </c>
      <c r="E605" s="29" t="n">
        <v>0</v>
      </c>
      <c r="F605" s="31">
        <f>D605-E605</f>
        <v/>
      </c>
    </row>
    <row r="606">
      <c r="C606" s="42" t="inlineStr">
        <is>
          <t>Hispanic%</t>
        </is>
      </c>
      <c r="D606" s="29" t="n">
        <v>0.05031446540880504</v>
      </c>
      <c r="E606" s="29" t="n">
        <v>0.2739461424838087</v>
      </c>
      <c r="F606" s="31">
        <f>D606-E606</f>
        <v/>
      </c>
    </row>
    <row r="607">
      <c r="A607" s="46" t="inlineStr">
        <is>
          <t>Florida</t>
        </is>
      </c>
      <c r="B607" s="42" t="inlineStr">
        <is>
          <t>Cape Coral-Fort Myers, FL</t>
        </is>
      </c>
      <c r="C607" s="42" t="inlineStr">
        <is>
          <t>Loans</t>
        </is>
      </c>
      <c r="D607" s="46" t="n">
        <v>159</v>
      </c>
      <c r="E607" s="25" t="n">
        <v>8801</v>
      </c>
    </row>
    <row r="608">
      <c r="C608" s="42" t="inlineStr">
        <is>
          <t xml:space="preserve">LMICT% </t>
        </is>
      </c>
      <c r="D608" s="29" t="n">
        <v>0.115702479338843</v>
      </c>
      <c r="E608" s="29" t="n">
        <v>0.1106184714811753</v>
      </c>
      <c r="F608" s="31">
        <f>D608-E608</f>
        <v/>
      </c>
    </row>
    <row r="609">
      <c r="C609" s="42" t="inlineStr">
        <is>
          <t>LMIB%</t>
        </is>
      </c>
      <c r="D609" s="29" t="n">
        <v>0.256198347107438</v>
      </c>
      <c r="E609" s="29" t="n">
        <v>0.2269482227399113</v>
      </c>
      <c r="F609" s="31">
        <f>D609-E609</f>
        <v/>
      </c>
    </row>
    <row r="610">
      <c r="C610" s="42" t="inlineStr">
        <is>
          <t>LMIB$</t>
        </is>
      </c>
      <c r="D610" s="48" t="n">
        <v>9800000</v>
      </c>
      <c r="E610" s="48" t="n">
        <v>551430000</v>
      </c>
      <c r="F610" s="49" t="n"/>
    </row>
    <row r="611">
      <c r="C611" s="42" t="inlineStr">
        <is>
          <t>MMCT%</t>
        </is>
      </c>
      <c r="D611" s="29" t="n">
        <v>0.07024793388429752</v>
      </c>
      <c r="E611" s="29" t="n">
        <v>0.1259487487788382</v>
      </c>
      <c r="F611" s="31">
        <f>D611-E611</f>
        <v/>
      </c>
    </row>
    <row r="612">
      <c r="C612" s="42" t="inlineStr">
        <is>
          <t>MINB%</t>
        </is>
      </c>
      <c r="D612" s="29" t="n">
        <v>0.07024793388429752</v>
      </c>
      <c r="E612" s="29" t="n">
        <v>0.174118884797475</v>
      </c>
      <c r="F612" s="31">
        <f>D612-E612</f>
        <v/>
      </c>
    </row>
    <row r="613">
      <c r="C613" s="42" t="inlineStr">
        <is>
          <t>Asian%</t>
        </is>
      </c>
      <c r="D613" s="29" t="n">
        <v>0</v>
      </c>
      <c r="E613" s="29" t="n">
        <v>0</v>
      </c>
      <c r="F613" s="31">
        <f>D613-E613</f>
        <v/>
      </c>
    </row>
    <row r="614">
      <c r="C614" s="42" t="inlineStr">
        <is>
          <t>Black%</t>
        </is>
      </c>
      <c r="D614" s="29" t="n">
        <v>0</v>
      </c>
      <c r="E614" s="29" t="n">
        <v>0</v>
      </c>
      <c r="F614" s="31">
        <f>D614-E614</f>
        <v/>
      </c>
    </row>
    <row r="615" ht="21.75" customHeight="1" s="47">
      <c r="C615" s="42" t="inlineStr">
        <is>
          <t>Native American%</t>
        </is>
      </c>
      <c r="D615" s="29" t="n">
        <v>0</v>
      </c>
      <c r="E615" s="29" t="n">
        <v>0</v>
      </c>
      <c r="F615" s="31">
        <f>D615-E615</f>
        <v/>
      </c>
    </row>
    <row r="616">
      <c r="C616" s="42" t="inlineStr">
        <is>
          <t>HoPI%</t>
        </is>
      </c>
      <c r="D616" s="29" t="n">
        <v>0</v>
      </c>
      <c r="E616" s="29" t="n">
        <v>0</v>
      </c>
      <c r="F616" s="31">
        <f>D616-E616</f>
        <v/>
      </c>
    </row>
    <row r="617">
      <c r="C617" s="42" t="inlineStr">
        <is>
          <t>Hispanic%</t>
        </is>
      </c>
      <c r="D617" s="29" t="n">
        <v>0.07024793388429752</v>
      </c>
      <c r="E617" s="29" t="n">
        <v>0.174118884797475</v>
      </c>
      <c r="F617" s="31">
        <f>D617-E617</f>
        <v/>
      </c>
    </row>
    <row r="618">
      <c r="B618" s="42" t="inlineStr">
        <is>
          <t>Deltona-Daytona Beach-Ormond Beach, FL</t>
        </is>
      </c>
      <c r="C618" s="42" t="inlineStr">
        <is>
          <t>Loans</t>
        </is>
      </c>
      <c r="D618" s="46" t="n">
        <v>242</v>
      </c>
      <c r="E618" s="25" t="n">
        <v>13307</v>
      </c>
    </row>
    <row r="619">
      <c r="C619" s="42" t="inlineStr">
        <is>
          <t xml:space="preserve">LMICT% </t>
        </is>
      </c>
      <c r="D619" s="29" t="n">
        <v>0.0975609756097561</v>
      </c>
      <c r="E619" s="29" t="n">
        <v>0.1790540540540541</v>
      </c>
      <c r="F619" s="31">
        <f>D619-E619</f>
        <v/>
      </c>
    </row>
    <row r="620">
      <c r="C620" s="42" t="inlineStr">
        <is>
          <t>LMIB%</t>
        </is>
      </c>
      <c r="D620" s="29" t="n">
        <v>0.1951219512195122</v>
      </c>
      <c r="E620" s="29" t="n">
        <v>0.2280405405405405</v>
      </c>
      <c r="F620" s="31">
        <f>D620-E620</f>
        <v/>
      </c>
    </row>
    <row r="621">
      <c r="C621" s="42" t="inlineStr">
        <is>
          <t>LMIB$</t>
        </is>
      </c>
      <c r="D621" s="48" t="n">
        <v>1620000</v>
      </c>
      <c r="E621" s="48" t="n">
        <v>69855000</v>
      </c>
      <c r="F621" s="49" t="n"/>
    </row>
    <row r="622">
      <c r="C622" s="42" t="inlineStr">
        <is>
          <t>MMCT%</t>
        </is>
      </c>
      <c r="D622" s="29" t="n">
        <v>0.04878048780487805</v>
      </c>
      <c r="E622" s="29" t="n">
        <v>0.134009009009009</v>
      </c>
      <c r="F622" s="31">
        <f>D622-E622</f>
        <v/>
      </c>
    </row>
    <row r="623">
      <c r="C623" s="42" t="inlineStr">
        <is>
          <t>MINB%</t>
        </is>
      </c>
      <c r="D623" s="29" t="n">
        <v>0.07317073170731707</v>
      </c>
      <c r="E623" s="29" t="n">
        <v>0.1137387387387387</v>
      </c>
      <c r="F623" s="31">
        <f>D623-E623</f>
        <v/>
      </c>
    </row>
    <row r="624">
      <c r="C624" s="42" t="inlineStr">
        <is>
          <t>Asian%</t>
        </is>
      </c>
      <c r="D624" s="29" t="n">
        <v>0</v>
      </c>
      <c r="E624" s="29" t="n">
        <v>0</v>
      </c>
      <c r="F624" s="31">
        <f>D624-E624</f>
        <v/>
      </c>
    </row>
    <row r="625">
      <c r="C625" s="42" t="inlineStr">
        <is>
          <t>Black%</t>
        </is>
      </c>
      <c r="D625" s="29" t="n">
        <v>0</v>
      </c>
      <c r="E625" s="29" t="n">
        <v>0</v>
      </c>
      <c r="F625" s="31">
        <f>D625-E625</f>
        <v/>
      </c>
    </row>
    <row r="626" ht="21.75" customHeight="1" s="47">
      <c r="C626" s="42" t="inlineStr">
        <is>
          <t>Native American%</t>
        </is>
      </c>
      <c r="D626" s="29" t="n">
        <v>0</v>
      </c>
      <c r="E626" s="29" t="n">
        <v>0</v>
      </c>
      <c r="F626" s="31">
        <f>D626-E626</f>
        <v/>
      </c>
    </row>
    <row r="627">
      <c r="C627" s="42" t="inlineStr">
        <is>
          <t>HoPI%</t>
        </is>
      </c>
      <c r="D627" s="29" t="n">
        <v>0</v>
      </c>
      <c r="E627" s="29" t="n">
        <v>0</v>
      </c>
      <c r="F627" s="31">
        <f>D627-E627</f>
        <v/>
      </c>
    </row>
    <row r="628">
      <c r="C628" s="42" t="inlineStr">
        <is>
          <t>Hispanic%</t>
        </is>
      </c>
      <c r="D628" s="29" t="n">
        <v>0.07317073170731707</v>
      </c>
      <c r="E628" s="29" t="n">
        <v>0.1137387387387387</v>
      </c>
      <c r="F628" s="31">
        <f>D628-E628</f>
        <v/>
      </c>
    </row>
    <row r="629">
      <c r="B629" s="42" t="inlineStr">
        <is>
          <t>Gainesville, FL</t>
        </is>
      </c>
      <c r="C629" s="42" t="inlineStr">
        <is>
          <t>Loans</t>
        </is>
      </c>
      <c r="D629" s="46" t="n">
        <v>41</v>
      </c>
      <c r="E629" s="25" t="n">
        <v>1776</v>
      </c>
    </row>
    <row r="630">
      <c r="C630" s="42" t="inlineStr">
        <is>
          <t xml:space="preserve">LMICT% </t>
        </is>
      </c>
      <c r="D630" s="29" t="n">
        <v>0.1581196581196581</v>
      </c>
      <c r="E630" s="29" t="n">
        <v>0.2684265944645006</v>
      </c>
      <c r="F630" s="31">
        <f>D630-E630</f>
        <v/>
      </c>
    </row>
    <row r="631">
      <c r="C631" s="42" t="inlineStr">
        <is>
          <t>LMIB%</t>
        </is>
      </c>
      <c r="D631" s="29" t="n">
        <v>0.1794871794871795</v>
      </c>
      <c r="E631" s="29" t="n">
        <v>0.2945246690734055</v>
      </c>
      <c r="F631" s="31">
        <f>D631-E631</f>
        <v/>
      </c>
    </row>
    <row r="632">
      <c r="C632" s="42" t="inlineStr">
        <is>
          <t>LMIB$</t>
        </is>
      </c>
      <c r="D632" s="48" t="n">
        <v>7780000</v>
      </c>
      <c r="E632" s="48" t="n">
        <v>743860000</v>
      </c>
      <c r="F632" s="49" t="n"/>
    </row>
    <row r="633">
      <c r="C633" s="42" t="inlineStr">
        <is>
          <t>MMCT%</t>
        </is>
      </c>
      <c r="D633" s="29" t="n">
        <v>0.1324786324786325</v>
      </c>
      <c r="E633" s="29" t="n">
        <v>0.2818140794223827</v>
      </c>
      <c r="F633" s="31">
        <f>D633-E633</f>
        <v/>
      </c>
    </row>
    <row r="634">
      <c r="C634" s="42" t="inlineStr">
        <is>
          <t>MINB%</t>
        </is>
      </c>
      <c r="D634" s="29" t="n">
        <v>0.03846153846153846</v>
      </c>
      <c r="E634" s="29" t="n">
        <v>0.1334987966305656</v>
      </c>
      <c r="F634" s="31">
        <f>D634-E634</f>
        <v/>
      </c>
    </row>
    <row r="635">
      <c r="C635" s="42" t="inlineStr">
        <is>
          <t>Asian%</t>
        </is>
      </c>
      <c r="D635" s="29" t="n">
        <v>0</v>
      </c>
      <c r="E635" s="29" t="n">
        <v>0</v>
      </c>
      <c r="F635" s="31">
        <f>D635-E635</f>
        <v/>
      </c>
    </row>
    <row r="636">
      <c r="C636" s="42" t="inlineStr">
        <is>
          <t>Black%</t>
        </is>
      </c>
      <c r="D636" s="29" t="n">
        <v>0</v>
      </c>
      <c r="E636" s="29" t="n">
        <v>0</v>
      </c>
      <c r="F636" s="31">
        <f>D636-E636</f>
        <v/>
      </c>
    </row>
    <row r="637" ht="21.75" customHeight="1" s="47">
      <c r="C637" s="42" t="inlineStr">
        <is>
          <t>Native American%</t>
        </is>
      </c>
      <c r="D637" s="29" t="n">
        <v>0</v>
      </c>
      <c r="E637" s="29" t="n">
        <v>0</v>
      </c>
      <c r="F637" s="31">
        <f>D637-E637</f>
        <v/>
      </c>
    </row>
    <row r="638">
      <c r="C638" s="42" t="inlineStr">
        <is>
          <t>HoPI%</t>
        </is>
      </c>
      <c r="D638" s="29" t="n">
        <v>0</v>
      </c>
      <c r="E638" s="29" t="n">
        <v>0</v>
      </c>
      <c r="F638" s="31">
        <f>D638-E638</f>
        <v/>
      </c>
    </row>
    <row r="639">
      <c r="C639" s="42" t="inlineStr">
        <is>
          <t>Hispanic%</t>
        </is>
      </c>
      <c r="D639" s="29" t="n">
        <v>0.03846153846153846</v>
      </c>
      <c r="E639" s="29" t="n">
        <v>0.1334987966305656</v>
      </c>
      <c r="F639" s="31">
        <f>D639-E639</f>
        <v/>
      </c>
    </row>
    <row r="640">
      <c r="B640" s="42" t="inlineStr">
        <is>
          <t>Jacksonville, FL</t>
        </is>
      </c>
      <c r="C640" s="42" t="inlineStr">
        <is>
          <t>Loans</t>
        </is>
      </c>
      <c r="D640" s="46" t="n">
        <v>234</v>
      </c>
      <c r="E640" s="25" t="n">
        <v>13296</v>
      </c>
    </row>
    <row r="641">
      <c r="C641" s="42" t="inlineStr">
        <is>
          <t xml:space="preserve">LMICT% </t>
        </is>
      </c>
      <c r="D641" s="29" t="n">
        <v>0.1816261879619852</v>
      </c>
      <c r="E641" s="29" t="n">
        <v>0.2402582974586863</v>
      </c>
      <c r="F641" s="31">
        <f>D641-E641</f>
        <v/>
      </c>
    </row>
    <row r="642">
      <c r="C642" s="42" t="inlineStr">
        <is>
          <t>LMIB%</t>
        </is>
      </c>
      <c r="D642" s="29" t="n">
        <v>0.1309398099260824</v>
      </c>
      <c r="E642" s="29" t="n">
        <v>0.1286210248576587</v>
      </c>
      <c r="F642" s="31">
        <f>D642-E642</f>
        <v/>
      </c>
    </row>
    <row r="643">
      <c r="C643" s="42" t="inlineStr">
        <is>
          <t>LMIB$</t>
        </is>
      </c>
      <c r="D643" s="48" t="n">
        <v>27830000</v>
      </c>
      <c r="E643" s="48" t="n">
        <v>1831430000</v>
      </c>
      <c r="F643" s="31" t="n"/>
    </row>
    <row r="644">
      <c r="C644" s="42" t="inlineStr">
        <is>
          <t>MMCT%</t>
        </is>
      </c>
      <c r="D644" s="29" t="n">
        <v>0.3959873284054909</v>
      </c>
      <c r="E644" s="29" t="n">
        <v>0.6449937508679349</v>
      </c>
      <c r="F644" s="31">
        <f>D644-E644</f>
        <v/>
      </c>
    </row>
    <row r="645">
      <c r="C645" s="42" t="inlineStr">
        <is>
          <t>MINB%</t>
        </is>
      </c>
      <c r="D645" s="29" t="n">
        <v>0.2344244984160507</v>
      </c>
      <c r="E645" s="29" t="n">
        <v>0.4310095820024997</v>
      </c>
      <c r="F645" s="31">
        <f>D645-E645</f>
        <v/>
      </c>
    </row>
    <row r="646">
      <c r="C646" s="42" t="inlineStr">
        <is>
          <t>Asian%</t>
        </is>
      </c>
      <c r="D646" s="29" t="n">
        <v>0</v>
      </c>
      <c r="E646" s="29" t="n">
        <v>0</v>
      </c>
      <c r="F646" s="31">
        <f>D646-E646</f>
        <v/>
      </c>
    </row>
    <row r="647">
      <c r="C647" s="42" t="inlineStr">
        <is>
          <t>Black%</t>
        </is>
      </c>
      <c r="D647" s="29" t="n">
        <v>0</v>
      </c>
      <c r="E647" s="29" t="n">
        <v>0</v>
      </c>
      <c r="F647" s="31">
        <f>D647-E647</f>
        <v/>
      </c>
    </row>
    <row r="648" ht="21.75" customHeight="1" s="47">
      <c r="C648" s="42" t="inlineStr">
        <is>
          <t>Native American%</t>
        </is>
      </c>
      <c r="D648" s="29" t="n">
        <v>0</v>
      </c>
      <c r="E648" s="29" t="n">
        <v>0</v>
      </c>
      <c r="F648" s="31">
        <f>D648-E648</f>
        <v/>
      </c>
    </row>
    <row r="649">
      <c r="C649" s="42" t="inlineStr">
        <is>
          <t>HoPI%</t>
        </is>
      </c>
      <c r="D649" s="29" t="n">
        <v>0</v>
      </c>
      <c r="E649" s="29" t="n">
        <v>0</v>
      </c>
      <c r="F649" s="31">
        <f>D649-E649</f>
        <v/>
      </c>
    </row>
    <row r="650">
      <c r="C650" s="42" t="inlineStr">
        <is>
          <t>Hispanic%</t>
        </is>
      </c>
      <c r="D650" s="29" t="n">
        <v>0.2344244984160507</v>
      </c>
      <c r="E650" s="29" t="n">
        <v>0.4310095820024997</v>
      </c>
      <c r="F650" s="31">
        <f>D650-E650</f>
        <v/>
      </c>
    </row>
    <row r="651">
      <c r="B651" s="42" t="inlineStr">
        <is>
          <t>Miami-Fort Lauderdale-Pompano Beach, FL</t>
        </is>
      </c>
      <c r="C651" s="42" t="inlineStr">
        <is>
          <t>Loans</t>
        </is>
      </c>
      <c r="D651" s="46" t="n">
        <v>947</v>
      </c>
      <c r="E651" s="25" t="n">
        <v>72010</v>
      </c>
    </row>
    <row r="652">
      <c r="C652" s="42" t="inlineStr">
        <is>
          <t xml:space="preserve">LMICT% </t>
        </is>
      </c>
      <c r="D652" s="29" t="n">
        <v>0.1491228070175439</v>
      </c>
      <c r="E652" s="29" t="n">
        <v>0.202718006795017</v>
      </c>
      <c r="F652" s="31">
        <f>D652-E652</f>
        <v/>
      </c>
    </row>
    <row r="653">
      <c r="C653" s="42" t="inlineStr">
        <is>
          <t>LMIB%</t>
        </is>
      </c>
      <c r="D653" s="29" t="n">
        <v>0.1491228070175439</v>
      </c>
      <c r="E653" s="29" t="n">
        <v>0.1521328803322008</v>
      </c>
      <c r="F653" s="31">
        <f>D653-E653</f>
        <v/>
      </c>
    </row>
    <row r="654">
      <c r="C654" s="42" t="inlineStr">
        <is>
          <t>LMIB$</t>
        </is>
      </c>
      <c r="D654" s="48" t="n">
        <v>9455000</v>
      </c>
      <c r="E654" s="48" t="n">
        <v>204620000</v>
      </c>
      <c r="F654" s="49" t="n"/>
    </row>
    <row r="655">
      <c r="C655" s="42" t="inlineStr">
        <is>
          <t>MMCT%</t>
        </is>
      </c>
      <c r="D655" s="29" t="n">
        <v>0.03508771929824561</v>
      </c>
      <c r="E655" s="29" t="n">
        <v>0.1168365420913552</v>
      </c>
      <c r="F655" s="31">
        <f>D655-E655</f>
        <v/>
      </c>
    </row>
    <row r="656">
      <c r="C656" s="42" t="inlineStr">
        <is>
          <t>MINB%</t>
        </is>
      </c>
      <c r="D656" s="29" t="n">
        <v>0.02631578947368421</v>
      </c>
      <c r="E656" s="29" t="n">
        <v>0.1587391468478671</v>
      </c>
      <c r="F656" s="31">
        <f>D656-E656</f>
        <v/>
      </c>
    </row>
    <row r="657">
      <c r="C657" s="42" t="inlineStr">
        <is>
          <t>Asian%</t>
        </is>
      </c>
      <c r="D657" s="29" t="n">
        <v>0</v>
      </c>
      <c r="E657" s="29" t="n">
        <v>0</v>
      </c>
      <c r="F657" s="31">
        <f>D657-E657</f>
        <v/>
      </c>
    </row>
    <row r="658">
      <c r="C658" s="42" t="inlineStr">
        <is>
          <t>Black%</t>
        </is>
      </c>
      <c r="D658" s="29" t="n">
        <v>0</v>
      </c>
      <c r="E658" s="29" t="n">
        <v>0</v>
      </c>
      <c r="F658" s="31">
        <f>D658-E658</f>
        <v/>
      </c>
    </row>
    <row r="659" ht="21.75" customHeight="1" s="47">
      <c r="C659" s="42" t="inlineStr">
        <is>
          <t>Native American%</t>
        </is>
      </c>
      <c r="D659" s="29" t="n">
        <v>0</v>
      </c>
      <c r="E659" s="29" t="n">
        <v>0</v>
      </c>
      <c r="F659" s="31">
        <f>D659-E659</f>
        <v/>
      </c>
    </row>
    <row r="660">
      <c r="C660" s="42" t="inlineStr">
        <is>
          <t>HoPI%</t>
        </is>
      </c>
      <c r="D660" s="29" t="n">
        <v>0</v>
      </c>
      <c r="E660" s="29" t="n">
        <v>0</v>
      </c>
      <c r="F660" s="31">
        <f>D660-E660</f>
        <v/>
      </c>
    </row>
    <row r="661">
      <c r="C661" s="42" t="inlineStr">
        <is>
          <t>Hispanic%</t>
        </is>
      </c>
      <c r="D661" s="29" t="n">
        <v>0.02631578947368421</v>
      </c>
      <c r="E661" s="29" t="n">
        <v>0.1587391468478671</v>
      </c>
      <c r="F661" s="31">
        <f>D661-E661</f>
        <v/>
      </c>
    </row>
    <row r="662">
      <c r="B662" s="42" t="inlineStr">
        <is>
          <t>Naples-Marco Island, FL</t>
        </is>
      </c>
      <c r="C662" s="42" t="inlineStr">
        <is>
          <t>Loans</t>
        </is>
      </c>
      <c r="D662" s="46" t="n">
        <v>114</v>
      </c>
      <c r="E662" s="25" t="n">
        <v>5298</v>
      </c>
    </row>
    <row r="663">
      <c r="C663" s="42" t="inlineStr">
        <is>
          <t xml:space="preserve">LMICT% </t>
        </is>
      </c>
      <c r="D663" s="29" t="n">
        <v>0.09491525423728814</v>
      </c>
      <c r="E663" s="29" t="n">
        <v>0.1718148176119629</v>
      </c>
      <c r="F663" s="31">
        <f>D663-E663</f>
        <v/>
      </c>
    </row>
    <row r="664">
      <c r="C664" s="42" t="inlineStr">
        <is>
          <t>LMIB%</t>
        </is>
      </c>
      <c r="D664" s="29" t="n">
        <v>0.1593220338983051</v>
      </c>
      <c r="E664" s="29" t="n">
        <v>0.2283815421795937</v>
      </c>
      <c r="F664" s="31">
        <f>D664-E664</f>
        <v/>
      </c>
    </row>
    <row r="665">
      <c r="C665" s="42" t="inlineStr">
        <is>
          <t>LMIB$</t>
        </is>
      </c>
      <c r="D665" s="48" t="n">
        <v>15795000</v>
      </c>
      <c r="E665" s="48" t="n">
        <v>665990000</v>
      </c>
      <c r="F665" s="49" t="n"/>
    </row>
    <row r="666">
      <c r="C666" s="42" t="inlineStr">
        <is>
          <t>MMCT%</t>
        </is>
      </c>
      <c r="D666" s="29" t="n">
        <v>0.01016949152542373</v>
      </c>
      <c r="E666" s="29" t="n">
        <v>0.03632656143795786</v>
      </c>
      <c r="F666" s="31">
        <f>D666-E666</f>
        <v/>
      </c>
    </row>
    <row r="667">
      <c r="C667" s="42" t="inlineStr">
        <is>
          <t>MINB%</t>
        </is>
      </c>
      <c r="D667" s="29" t="n">
        <v>0.03728813559322034</v>
      </c>
      <c r="E667" s="29" t="n">
        <v>0.1110188052261914</v>
      </c>
      <c r="F667" s="31">
        <f>D667-E667</f>
        <v/>
      </c>
    </row>
    <row r="668">
      <c r="C668" s="42" t="inlineStr">
        <is>
          <t>Asian%</t>
        </is>
      </c>
      <c r="D668" s="29" t="n">
        <v>0</v>
      </c>
      <c r="E668" s="29" t="n">
        <v>0</v>
      </c>
      <c r="F668" s="31">
        <f>D668-E668</f>
        <v/>
      </c>
    </row>
    <row r="669">
      <c r="C669" s="42" t="inlineStr">
        <is>
          <t>Black%</t>
        </is>
      </c>
      <c r="D669" s="29" t="n">
        <v>0</v>
      </c>
      <c r="E669" s="29" t="n">
        <v>0</v>
      </c>
      <c r="F669" s="31">
        <f>D669-E669</f>
        <v/>
      </c>
    </row>
    <row r="670" ht="21.75" customHeight="1" s="47">
      <c r="C670" s="42" t="inlineStr">
        <is>
          <t>Native American%</t>
        </is>
      </c>
      <c r="D670" s="29" t="n">
        <v>0</v>
      </c>
      <c r="E670" s="29" t="n">
        <v>0</v>
      </c>
      <c r="F670" s="31">
        <f>D670-E670</f>
        <v/>
      </c>
    </row>
    <row r="671">
      <c r="C671" s="42" t="inlineStr">
        <is>
          <t>HoPI%</t>
        </is>
      </c>
      <c r="D671" s="29" t="n">
        <v>0</v>
      </c>
      <c r="E671" s="29" t="n">
        <v>0</v>
      </c>
      <c r="F671" s="31">
        <f>D671-E671</f>
        <v/>
      </c>
    </row>
    <row r="672">
      <c r="C672" s="42" t="inlineStr">
        <is>
          <t>Hispanic%</t>
        </is>
      </c>
      <c r="D672" s="29" t="n">
        <v>0.03728813559322034</v>
      </c>
      <c r="E672" s="29" t="n">
        <v>0.1110188052261914</v>
      </c>
      <c r="F672" s="31">
        <f>D672-E672</f>
        <v/>
      </c>
    </row>
    <row r="673">
      <c r="B673" s="42" t="inlineStr">
        <is>
          <t>North Port-Sarasota-Bradenton, FL</t>
        </is>
      </c>
      <c r="C673" s="42" t="inlineStr">
        <is>
          <t>Loans</t>
        </is>
      </c>
      <c r="D673" s="25" t="n">
        <v>295</v>
      </c>
      <c r="E673" s="25" t="n">
        <v>13241</v>
      </c>
    </row>
    <row r="674">
      <c r="C674" s="42" t="inlineStr">
        <is>
          <t xml:space="preserve">LMICT% </t>
        </is>
      </c>
      <c r="D674" s="29" t="n">
        <v>0.1234567901234568</v>
      </c>
      <c r="E674" s="29" t="n">
        <v>0.1176710929519918</v>
      </c>
      <c r="F674" s="31">
        <f>D674-E674</f>
        <v/>
      </c>
    </row>
    <row r="675">
      <c r="C675" s="42" t="inlineStr">
        <is>
          <t>LMIB%</t>
        </is>
      </c>
      <c r="D675" s="29" t="n">
        <v>0.308641975308642</v>
      </c>
      <c r="E675" s="29" t="n">
        <v>0.2304392236976507</v>
      </c>
      <c r="F675" s="31">
        <f>D675-E675</f>
        <v/>
      </c>
    </row>
    <row r="676">
      <c r="C676" s="42" t="inlineStr">
        <is>
          <t>LMIB$</t>
        </is>
      </c>
      <c r="D676" s="48" t="n">
        <v>3205000</v>
      </c>
      <c r="E676" s="48" t="n">
        <v>181360000</v>
      </c>
      <c r="F676" s="49" t="n"/>
    </row>
    <row r="677">
      <c r="C677" s="42" t="inlineStr">
        <is>
          <t>MMCT%</t>
        </is>
      </c>
      <c r="D677" s="29" t="n">
        <v>0.09876543209876543</v>
      </c>
      <c r="E677" s="29" t="n">
        <v>0.2079673135852911</v>
      </c>
      <c r="F677" s="31">
        <f>D677-E677</f>
        <v/>
      </c>
    </row>
    <row r="678">
      <c r="C678" s="42" t="inlineStr">
        <is>
          <t>MINB%</t>
        </is>
      </c>
      <c r="D678" s="29" t="n">
        <v>0.08641975308641975</v>
      </c>
      <c r="E678" s="29" t="n">
        <v>0.2281920326864147</v>
      </c>
      <c r="F678" s="31">
        <f>D678-E678</f>
        <v/>
      </c>
    </row>
    <row r="679">
      <c r="C679" s="42" t="inlineStr">
        <is>
          <t>Asian%</t>
        </is>
      </c>
      <c r="D679" s="29" t="n">
        <v>0</v>
      </c>
      <c r="E679" s="29" t="n">
        <v>0</v>
      </c>
      <c r="F679" s="31">
        <f>D679-E679</f>
        <v/>
      </c>
    </row>
    <row r="680">
      <c r="C680" s="42" t="inlineStr">
        <is>
          <t>Black%</t>
        </is>
      </c>
      <c r="D680" s="29" t="n">
        <v>0</v>
      </c>
      <c r="E680" s="29" t="n">
        <v>0</v>
      </c>
      <c r="F680" s="31">
        <f>D680-E680</f>
        <v/>
      </c>
    </row>
    <row r="681" ht="21.75" customHeight="1" s="47">
      <c r="C681" s="42" t="inlineStr">
        <is>
          <t>Native American%</t>
        </is>
      </c>
      <c r="D681" s="29" t="n">
        <v>0</v>
      </c>
      <c r="E681" s="29" t="n">
        <v>0</v>
      </c>
      <c r="F681" s="31">
        <f>D681-E681</f>
        <v/>
      </c>
    </row>
    <row r="682">
      <c r="C682" s="42" t="inlineStr">
        <is>
          <t>HoPI%</t>
        </is>
      </c>
      <c r="D682" s="29" t="n">
        <v>0</v>
      </c>
      <c r="E682" s="29" t="n">
        <v>0</v>
      </c>
      <c r="F682" s="31">
        <f>D682-E682</f>
        <v/>
      </c>
    </row>
    <row r="683">
      <c r="C683" s="42" t="inlineStr">
        <is>
          <t>Hispanic%</t>
        </is>
      </c>
      <c r="D683" s="29" t="n">
        <v>0.08641975308641975</v>
      </c>
      <c r="E683" s="29" t="n">
        <v>0.2281920326864147</v>
      </c>
      <c r="F683" s="31">
        <f>D683-E683</f>
        <v/>
      </c>
    </row>
    <row r="684">
      <c r="B684" s="42" t="inlineStr">
        <is>
          <t>Ocala, FL</t>
        </is>
      </c>
      <c r="C684" s="42" t="inlineStr">
        <is>
          <t>Loans</t>
        </is>
      </c>
      <c r="D684" s="46" t="n">
        <v>81</v>
      </c>
      <c r="E684" s="25" t="n">
        <v>4895</v>
      </c>
    </row>
    <row r="685">
      <c r="C685" s="42" t="inlineStr">
        <is>
          <t xml:space="preserve">LMICT% </t>
        </is>
      </c>
      <c r="D685" s="29" t="n">
        <v>0.3076923076923077</v>
      </c>
      <c r="E685" s="29" t="n">
        <v>0.3512974051896208</v>
      </c>
      <c r="F685" s="31">
        <f>D685-E685</f>
        <v/>
      </c>
    </row>
    <row r="686">
      <c r="C686" s="42" t="inlineStr">
        <is>
          <t>LMIB%</t>
        </is>
      </c>
      <c r="D686" s="29" t="n">
        <v>0.3846153846153847</v>
      </c>
      <c r="E686" s="29" t="n">
        <v>0.1536926147704591</v>
      </c>
      <c r="F686" s="31">
        <f>D686-E686</f>
        <v/>
      </c>
    </row>
    <row r="687">
      <c r="C687" s="42" t="inlineStr">
        <is>
          <t>LMIB$</t>
        </is>
      </c>
      <c r="D687" s="48" t="n">
        <v>565000</v>
      </c>
      <c r="E687" s="48" t="n">
        <v>12065000</v>
      </c>
      <c r="F687" s="49" t="n"/>
    </row>
    <row r="688">
      <c r="C688" s="42" t="inlineStr">
        <is>
          <t>MMCT%</t>
        </is>
      </c>
      <c r="D688" s="29" t="n">
        <v>0.3076923076923077</v>
      </c>
      <c r="E688" s="29" t="n">
        <v>0.2395209580838323</v>
      </c>
      <c r="F688" s="31">
        <f>D688-E688</f>
        <v/>
      </c>
    </row>
    <row r="689">
      <c r="C689" s="42" t="inlineStr">
        <is>
          <t>MINB%</t>
        </is>
      </c>
      <c r="D689" s="29" t="n">
        <v>0.3846153846153847</v>
      </c>
      <c r="E689" s="29" t="n">
        <v>0.2215568862275449</v>
      </c>
      <c r="F689" s="31">
        <f>D689-E689</f>
        <v/>
      </c>
    </row>
    <row r="690">
      <c r="C690" s="42" t="inlineStr">
        <is>
          <t>Asian%</t>
        </is>
      </c>
      <c r="D690" s="29" t="n">
        <v>0</v>
      </c>
      <c r="E690" s="29" t="n">
        <v>0</v>
      </c>
      <c r="F690" s="31">
        <f>D690-E690</f>
        <v/>
      </c>
    </row>
    <row r="691">
      <c r="C691" s="42" t="inlineStr">
        <is>
          <t>Black%</t>
        </is>
      </c>
      <c r="D691" s="29" t="n">
        <v>0</v>
      </c>
      <c r="E691" s="29" t="n">
        <v>0</v>
      </c>
      <c r="F691" s="31">
        <f>D691-E691</f>
        <v/>
      </c>
    </row>
    <row r="692" ht="21.75" customHeight="1" s="47">
      <c r="C692" s="42" t="inlineStr">
        <is>
          <t>Native American%</t>
        </is>
      </c>
      <c r="D692" s="29" t="n">
        <v>0</v>
      </c>
      <c r="E692" s="29" t="n">
        <v>0</v>
      </c>
      <c r="F692" s="31">
        <f>D692-E692</f>
        <v/>
      </c>
    </row>
    <row r="693">
      <c r="C693" s="42" t="inlineStr">
        <is>
          <t>HoPI%</t>
        </is>
      </c>
      <c r="D693" s="29" t="n">
        <v>0</v>
      </c>
      <c r="E693" s="29" t="n">
        <v>0</v>
      </c>
      <c r="F693" s="31">
        <f>D693-E693</f>
        <v/>
      </c>
    </row>
    <row r="694">
      <c r="C694" s="42" t="inlineStr">
        <is>
          <t>Hispanic%</t>
        </is>
      </c>
      <c r="D694" s="29" t="n">
        <v>0.3846153846153847</v>
      </c>
      <c r="E694" s="29" t="n">
        <v>0.2215568862275449</v>
      </c>
      <c r="F694" s="31">
        <f>D694-E694</f>
        <v/>
      </c>
    </row>
    <row r="695">
      <c r="A695" s="46" t="inlineStr">
        <is>
          <t>Georgia</t>
        </is>
      </c>
      <c r="B695" s="42" t="inlineStr">
        <is>
          <t>Florida Non-MSA</t>
        </is>
      </c>
      <c r="C695" s="42" t="inlineStr">
        <is>
          <t>Loans</t>
        </is>
      </c>
      <c r="D695" s="46" t="n">
        <v>13</v>
      </c>
      <c r="E695" s="25" t="n">
        <v>501</v>
      </c>
    </row>
    <row r="696">
      <c r="C696" s="42" t="inlineStr">
        <is>
          <t xml:space="preserve">LMICT% </t>
        </is>
      </c>
      <c r="D696" s="29" t="n">
        <v>0.1400437636761488</v>
      </c>
      <c r="E696" s="29" t="n">
        <v>0.1980609861453301</v>
      </c>
      <c r="F696" s="31">
        <f>D696-E696</f>
        <v/>
      </c>
    </row>
    <row r="697">
      <c r="C697" s="42" t="inlineStr">
        <is>
          <t>LMIB%</t>
        </is>
      </c>
      <c r="D697" s="29" t="n">
        <v>0.1597374179431072</v>
      </c>
      <c r="E697" s="29" t="n">
        <v>0.1767510319009375</v>
      </c>
      <c r="F697" s="31">
        <f>D697-E697</f>
        <v/>
      </c>
    </row>
    <row r="698">
      <c r="C698" s="42" t="inlineStr">
        <is>
          <t>LMIB$</t>
        </is>
      </c>
      <c r="D698" s="48" t="n">
        <v>13675000</v>
      </c>
      <c r="E698" s="48" t="n">
        <v>1133620000</v>
      </c>
      <c r="F698" s="49" t="n"/>
    </row>
    <row r="699">
      <c r="C699" s="42" t="inlineStr">
        <is>
          <t>MMCT%</t>
        </is>
      </c>
      <c r="D699" s="29" t="n">
        <v>0.3238512035010941</v>
      </c>
      <c r="E699" s="29" t="n">
        <v>0.4269990080952228</v>
      </c>
      <c r="F699" s="31">
        <f>D699-E699</f>
        <v/>
      </c>
    </row>
    <row r="700">
      <c r="C700" s="42" t="inlineStr">
        <is>
          <t>MINB%</t>
        </is>
      </c>
      <c r="D700" s="29" t="n">
        <v>0.1422319474835886</v>
      </c>
      <c r="E700" s="29" t="n">
        <v>0.2934758263206732</v>
      </c>
      <c r="F700" s="31">
        <f>D700-E700</f>
        <v/>
      </c>
    </row>
    <row r="701">
      <c r="C701" s="42" t="inlineStr">
        <is>
          <t>Asian%</t>
        </is>
      </c>
      <c r="D701" s="29" t="n">
        <v>0</v>
      </c>
      <c r="E701" s="29" t="n">
        <v>0</v>
      </c>
      <c r="F701" s="31">
        <f>D701-E701</f>
        <v/>
      </c>
    </row>
    <row r="702">
      <c r="C702" s="42" t="inlineStr">
        <is>
          <t>Black%</t>
        </is>
      </c>
      <c r="D702" s="29" t="n">
        <v>0</v>
      </c>
      <c r="E702" s="29" t="n">
        <v>0</v>
      </c>
      <c r="F702" s="31">
        <f>D702-E702</f>
        <v/>
      </c>
    </row>
    <row r="703" ht="21.75" customHeight="1" s="47">
      <c r="C703" s="42" t="inlineStr">
        <is>
          <t>Native American%</t>
        </is>
      </c>
      <c r="D703" s="29" t="n">
        <v>0</v>
      </c>
      <c r="E703" s="29" t="n">
        <v>0</v>
      </c>
      <c r="F703" s="31">
        <f>D703-E703</f>
        <v/>
      </c>
    </row>
    <row r="704">
      <c r="C704" s="42" t="inlineStr">
        <is>
          <t>HoPI%</t>
        </is>
      </c>
      <c r="D704" s="29" t="n">
        <v>0</v>
      </c>
      <c r="E704" s="29" t="n">
        <v>0</v>
      </c>
      <c r="F704" s="31">
        <f>D704-E704</f>
        <v/>
      </c>
    </row>
    <row r="705">
      <c r="C705" s="42" t="inlineStr">
        <is>
          <t>Hispanic%</t>
        </is>
      </c>
      <c r="D705" s="29" t="n">
        <v>0.1422319474835886</v>
      </c>
      <c r="E705" s="29" t="n">
        <v>0.2934758263206732</v>
      </c>
      <c r="F705" s="31">
        <f>D705-E705</f>
        <v/>
      </c>
    </row>
    <row r="706">
      <c r="B706" s="42" t="inlineStr">
        <is>
          <t>Orlando-Kissimmee-Sanford, FL</t>
        </is>
      </c>
      <c r="C706" s="42" t="inlineStr">
        <is>
          <t>Loans</t>
        </is>
      </c>
      <c r="D706" s="46" t="n">
        <v>457</v>
      </c>
      <c r="E706" s="25" t="n">
        <v>31253</v>
      </c>
    </row>
    <row r="707">
      <c r="C707" s="42" t="inlineStr">
        <is>
          <t xml:space="preserve">LMICT% </t>
        </is>
      </c>
      <c r="D707" s="29" t="n">
        <v>0.2244897959183673</v>
      </c>
      <c r="E707" s="29" t="n">
        <v>0.2290364772562128</v>
      </c>
      <c r="F707" s="31">
        <f>D707-E707</f>
        <v/>
      </c>
    </row>
    <row r="708">
      <c r="C708" s="42" t="inlineStr">
        <is>
          <t>LMIB%</t>
        </is>
      </c>
      <c r="D708" s="29" t="n">
        <v>0.3197278911564626</v>
      </c>
      <c r="E708" s="29" t="n">
        <v>0.266531027466938</v>
      </c>
      <c r="F708" s="31">
        <f>D708-E708</f>
        <v/>
      </c>
    </row>
    <row r="709">
      <c r="C709" s="42" t="inlineStr">
        <is>
          <t>LMIB$</t>
        </is>
      </c>
      <c r="D709" s="48" t="n">
        <v>8175000</v>
      </c>
      <c r="E709" s="48" t="n">
        <v>360590000</v>
      </c>
      <c r="F709" s="49" t="n"/>
    </row>
    <row r="710">
      <c r="C710" s="42" t="inlineStr">
        <is>
          <t>MMCT%</t>
        </is>
      </c>
      <c r="D710" s="29" t="n">
        <v>0.0272108843537415</v>
      </c>
      <c r="E710" s="29" t="n">
        <v>0.03328004650486848</v>
      </c>
      <c r="F710" s="31">
        <f>D710-E710</f>
        <v/>
      </c>
    </row>
    <row r="711">
      <c r="C711" s="42" t="inlineStr">
        <is>
          <t>MINB%</t>
        </is>
      </c>
      <c r="D711" s="29" t="n">
        <v>0.08843537414965986</v>
      </c>
      <c r="E711" s="29" t="n">
        <v>0.1255631448917308</v>
      </c>
      <c r="F711" s="31">
        <f>D711-E711</f>
        <v/>
      </c>
    </row>
    <row r="712">
      <c r="C712" s="42" t="inlineStr">
        <is>
          <t>Asian%</t>
        </is>
      </c>
      <c r="D712" s="29" t="n">
        <v>0</v>
      </c>
      <c r="E712" s="29" t="n">
        <v>0</v>
      </c>
      <c r="F712" s="31">
        <f>D712-E712</f>
        <v/>
      </c>
    </row>
    <row r="713">
      <c r="C713" s="42" t="inlineStr">
        <is>
          <t>Black%</t>
        </is>
      </c>
      <c r="D713" s="29" t="n">
        <v>0</v>
      </c>
      <c r="E713" s="29" t="n">
        <v>0</v>
      </c>
      <c r="F713" s="31">
        <f>D713-E713</f>
        <v/>
      </c>
    </row>
    <row r="714" ht="21.75" customHeight="1" s="47">
      <c r="C714" s="42" t="inlineStr">
        <is>
          <t>Native American%</t>
        </is>
      </c>
      <c r="D714" s="29" t="n">
        <v>0</v>
      </c>
      <c r="E714" s="29" t="n">
        <v>0</v>
      </c>
      <c r="F714" s="31">
        <f>D714-E714</f>
        <v/>
      </c>
    </row>
    <row r="715">
      <c r="C715" s="42" t="inlineStr">
        <is>
          <t>HoPI%</t>
        </is>
      </c>
      <c r="D715" s="29" t="n">
        <v>0</v>
      </c>
      <c r="E715" s="29" t="n">
        <v>0</v>
      </c>
      <c r="F715" s="31">
        <f>D715-E715</f>
        <v/>
      </c>
    </row>
    <row r="716">
      <c r="C716" s="42" t="inlineStr">
        <is>
          <t>Hispanic%</t>
        </is>
      </c>
      <c r="D716" s="29" t="n">
        <v>0.08843537414965986</v>
      </c>
      <c r="E716" s="29" t="n">
        <v>0.1255631448917308</v>
      </c>
      <c r="F716" s="31">
        <f>D716-E716</f>
        <v/>
      </c>
    </row>
    <row r="717">
      <c r="B717" s="42" t="inlineStr">
        <is>
          <t>Palm Bay-Melbourne-Titusville, FL</t>
        </is>
      </c>
      <c r="C717" s="42" t="inlineStr">
        <is>
          <t>Loans</t>
        </is>
      </c>
      <c r="D717" s="46" t="n">
        <v>147</v>
      </c>
      <c r="E717" s="25" t="n">
        <v>6881</v>
      </c>
    </row>
    <row r="718">
      <c r="C718" s="42" t="inlineStr">
        <is>
          <t xml:space="preserve">LMICT% </t>
        </is>
      </c>
      <c r="D718" s="29" t="n">
        <v>0.2019704433497537</v>
      </c>
      <c r="E718" s="29" t="n">
        <v>0.1645492428092286</v>
      </c>
      <c r="F718" s="31">
        <f>D718-E718</f>
        <v/>
      </c>
    </row>
    <row r="719">
      <c r="C719" s="42" t="inlineStr">
        <is>
          <t>LMIB%</t>
        </is>
      </c>
      <c r="D719" s="29" t="n">
        <v>0.2512315270935961</v>
      </c>
      <c r="E719" s="29" t="n">
        <v>0.2025612358979571</v>
      </c>
      <c r="F719" s="31">
        <f>D719-E719</f>
        <v/>
      </c>
    </row>
    <row r="720">
      <c r="C720" s="42" t="inlineStr">
        <is>
          <t>LMIB$</t>
        </is>
      </c>
      <c r="D720" s="48" t="n">
        <v>9825000</v>
      </c>
      <c r="E720" s="48" t="n">
        <v>424925000</v>
      </c>
      <c r="F720" s="49" t="n"/>
    </row>
    <row r="721">
      <c r="C721" s="42" t="inlineStr">
        <is>
          <t>MMCT%</t>
        </is>
      </c>
      <c r="D721" s="29" t="n">
        <v>0.1231527093596059</v>
      </c>
      <c r="E721" s="29" t="n">
        <v>0.2730968594369346</v>
      </c>
      <c r="F721" s="31">
        <f>D721-E721</f>
        <v/>
      </c>
    </row>
    <row r="722">
      <c r="C722" s="42" t="inlineStr">
        <is>
          <t>MINB%</t>
        </is>
      </c>
      <c r="D722" s="29" t="n">
        <v>0.0935960591133005</v>
      </c>
      <c r="E722" s="29" t="n">
        <v>0.1810143307246671</v>
      </c>
      <c r="F722" s="31">
        <f>D722-E722</f>
        <v/>
      </c>
    </row>
    <row r="723">
      <c r="C723" s="42" t="inlineStr">
        <is>
          <t>Asian%</t>
        </is>
      </c>
      <c r="D723" s="29" t="n">
        <v>0</v>
      </c>
      <c r="E723" s="29" t="n">
        <v>0</v>
      </c>
      <c r="F723" s="31">
        <f>D723-E723</f>
        <v/>
      </c>
    </row>
    <row r="724">
      <c r="C724" s="42" t="inlineStr">
        <is>
          <t>Black%</t>
        </is>
      </c>
      <c r="D724" s="29" t="n">
        <v>0</v>
      </c>
      <c r="E724" s="29" t="n">
        <v>0</v>
      </c>
      <c r="F724" s="31">
        <f>D724-E724</f>
        <v/>
      </c>
    </row>
    <row r="725" ht="21.75" customHeight="1" s="47">
      <c r="C725" s="42" t="inlineStr">
        <is>
          <t>Native American%</t>
        </is>
      </c>
      <c r="D725" s="29" t="n">
        <v>0</v>
      </c>
      <c r="E725" s="29" t="n">
        <v>0</v>
      </c>
      <c r="F725" s="31">
        <f>D725-E725</f>
        <v/>
      </c>
    </row>
    <row r="726">
      <c r="C726" s="42" t="inlineStr">
        <is>
          <t>HoPI%</t>
        </is>
      </c>
      <c r="D726" s="29" t="n">
        <v>0</v>
      </c>
      <c r="E726" s="29" t="n">
        <v>0</v>
      </c>
      <c r="F726" s="31">
        <f>D726-E726</f>
        <v/>
      </c>
    </row>
    <row r="727">
      <c r="C727" s="42" t="inlineStr">
        <is>
          <t>Hispanic%</t>
        </is>
      </c>
      <c r="D727" s="29" t="n">
        <v>0.0935960591133005</v>
      </c>
      <c r="E727" s="29" t="n">
        <v>0.1810143307246671</v>
      </c>
      <c r="F727" s="31">
        <f>D727-E727</f>
        <v/>
      </c>
    </row>
    <row r="728">
      <c r="B728" s="42" t="inlineStr">
        <is>
          <t>Port St. Lucie, FL</t>
        </is>
      </c>
      <c r="C728" s="42" t="inlineStr">
        <is>
          <t>Loans</t>
        </is>
      </c>
      <c r="D728" s="46" t="n">
        <v>203</v>
      </c>
      <c r="E728" s="25" t="n">
        <v>9839</v>
      </c>
    </row>
    <row r="729">
      <c r="C729" s="42" t="inlineStr">
        <is>
          <t xml:space="preserve">LMICT% </t>
        </is>
      </c>
      <c r="D729" s="29" t="n">
        <v>0.08196721311475409</v>
      </c>
      <c r="E729" s="29" t="n">
        <v>0.1333333333333333</v>
      </c>
      <c r="F729" s="31">
        <f>D729-E729</f>
        <v/>
      </c>
    </row>
    <row r="730">
      <c r="C730" s="42" t="inlineStr">
        <is>
          <t>LMIB%</t>
        </is>
      </c>
      <c r="D730" s="29" t="n">
        <v>0.2131147540983606</v>
      </c>
      <c r="E730" s="29" t="n">
        <v>0.2292349726775956</v>
      </c>
      <c r="F730" s="31">
        <f>D730-E730</f>
        <v/>
      </c>
    </row>
    <row r="731">
      <c r="C731" s="42" t="inlineStr">
        <is>
          <t>LMIB$</t>
        </is>
      </c>
      <c r="D731" s="48" t="n">
        <v>1925000</v>
      </c>
      <c r="E731" s="48" t="n">
        <v>148765000</v>
      </c>
      <c r="F731" s="49" t="n"/>
    </row>
    <row r="732">
      <c r="C732" s="42" t="inlineStr">
        <is>
          <t>MMCT%</t>
        </is>
      </c>
      <c r="D732" s="29" t="n">
        <v>0</v>
      </c>
      <c r="E732" s="29" t="n">
        <v>0</v>
      </c>
      <c r="F732" s="31">
        <f>D732-E732</f>
        <v/>
      </c>
    </row>
    <row r="733">
      <c r="C733" s="42" t="inlineStr">
        <is>
          <t>MINB%</t>
        </is>
      </c>
      <c r="D733" s="29" t="n">
        <v>0</v>
      </c>
      <c r="E733" s="29" t="n">
        <v>0.09234972677595628</v>
      </c>
      <c r="F733" s="31">
        <f>D733-E733</f>
        <v/>
      </c>
    </row>
    <row r="734">
      <c r="C734" s="42" t="inlineStr">
        <is>
          <t>Asian%</t>
        </is>
      </c>
      <c r="D734" s="29" t="n">
        <v>0</v>
      </c>
      <c r="E734" s="29" t="n">
        <v>0</v>
      </c>
      <c r="F734" s="31">
        <f>D734-E734</f>
        <v/>
      </c>
    </row>
    <row r="735">
      <c r="C735" s="42" t="inlineStr">
        <is>
          <t>Black%</t>
        </is>
      </c>
      <c r="D735" s="29" t="n">
        <v>0</v>
      </c>
      <c r="E735" s="29" t="n">
        <v>0</v>
      </c>
      <c r="F735" s="31">
        <f>D735-E735</f>
        <v/>
      </c>
    </row>
    <row r="736" ht="21.75" customHeight="1" s="47">
      <c r="C736" s="42" t="inlineStr">
        <is>
          <t>Native American%</t>
        </is>
      </c>
      <c r="D736" s="29" t="n">
        <v>0</v>
      </c>
      <c r="E736" s="29" t="n">
        <v>0</v>
      </c>
      <c r="F736" s="31">
        <f>D736-E736</f>
        <v/>
      </c>
    </row>
    <row r="737">
      <c r="C737" s="42" t="inlineStr">
        <is>
          <t>HoPI%</t>
        </is>
      </c>
      <c r="D737" s="29" t="n">
        <v>0</v>
      </c>
      <c r="E737" s="29" t="n">
        <v>0</v>
      </c>
      <c r="F737" s="31">
        <f>D737-E737</f>
        <v/>
      </c>
    </row>
    <row r="738">
      <c r="C738" s="42" t="inlineStr">
        <is>
          <t>Hispanic%</t>
        </is>
      </c>
      <c r="D738" s="29" t="n">
        <v>0</v>
      </c>
      <c r="E738" s="29" t="n">
        <v>0.09234972677595628</v>
      </c>
      <c r="F738" s="31">
        <f>D738-E738</f>
        <v/>
      </c>
    </row>
    <row r="739">
      <c r="B739" s="42" t="inlineStr">
        <is>
          <t>Punta Gorda, FL</t>
        </is>
      </c>
      <c r="C739" s="42" t="inlineStr">
        <is>
          <t>Loans</t>
        </is>
      </c>
      <c r="D739" s="46" t="n">
        <v>61</v>
      </c>
      <c r="E739" s="25" t="n">
        <v>3660</v>
      </c>
    </row>
    <row r="740">
      <c r="C740" s="42" t="inlineStr">
        <is>
          <t xml:space="preserve">LMICT% </t>
        </is>
      </c>
      <c r="D740" s="29" t="n">
        <v>0.1338582677165354</v>
      </c>
      <c r="E740" s="29" t="n">
        <v>0.2073378839590444</v>
      </c>
      <c r="F740" s="31">
        <f>D740-E740</f>
        <v/>
      </c>
    </row>
    <row r="741">
      <c r="C741" s="42" t="inlineStr">
        <is>
          <t>LMIB%</t>
        </is>
      </c>
      <c r="D741" s="29" t="n">
        <v>0.3622047244094488</v>
      </c>
      <c r="E741" s="29" t="n">
        <v>0.2397610921501706</v>
      </c>
      <c r="F741" s="31">
        <f>D741-E741</f>
        <v/>
      </c>
    </row>
    <row r="742">
      <c r="C742" s="42" t="inlineStr">
        <is>
          <t>LMIB$</t>
        </is>
      </c>
      <c r="D742" s="48" t="n">
        <v>6830000</v>
      </c>
      <c r="E742" s="48" t="n">
        <v>160005000</v>
      </c>
      <c r="F742" s="31" t="n"/>
    </row>
    <row r="743">
      <c r="C743" s="42" t="inlineStr">
        <is>
          <t>MMCT%</t>
        </is>
      </c>
      <c r="D743" s="29" t="n">
        <v>0.03149606299212598</v>
      </c>
      <c r="E743" s="29" t="n">
        <v>0.06342434584755403</v>
      </c>
      <c r="F743" s="31">
        <f>D743-E743</f>
        <v/>
      </c>
    </row>
    <row r="744">
      <c r="C744" s="42" t="inlineStr">
        <is>
          <t>MINB%</t>
        </is>
      </c>
      <c r="D744" s="29" t="n">
        <v>0.09448818897637795</v>
      </c>
      <c r="E744" s="29" t="n">
        <v>0.108646188850967</v>
      </c>
      <c r="F744" s="31">
        <f>D744-E744</f>
        <v/>
      </c>
    </row>
    <row r="745">
      <c r="C745" s="42" t="inlineStr">
        <is>
          <t>Asian%</t>
        </is>
      </c>
      <c r="D745" s="29" t="n">
        <v>0</v>
      </c>
      <c r="E745" s="29" t="n">
        <v>0</v>
      </c>
      <c r="F745" s="31">
        <f>D745-E745</f>
        <v/>
      </c>
    </row>
    <row r="746">
      <c r="C746" s="42" t="inlineStr">
        <is>
          <t>Black%</t>
        </is>
      </c>
      <c r="D746" s="29" t="n">
        <v>0</v>
      </c>
      <c r="E746" s="29" t="n">
        <v>0</v>
      </c>
      <c r="F746" s="31">
        <f>D746-E746</f>
        <v/>
      </c>
    </row>
    <row r="747" ht="21.75" customHeight="1" s="47">
      <c r="C747" s="42" t="inlineStr">
        <is>
          <t>Native American%</t>
        </is>
      </c>
      <c r="D747" s="29" t="n">
        <v>0</v>
      </c>
      <c r="E747" s="29" t="n">
        <v>0</v>
      </c>
      <c r="F747" s="31">
        <f>D747-E747</f>
        <v/>
      </c>
    </row>
    <row r="748">
      <c r="C748" s="42" t="inlineStr">
        <is>
          <t>HoPI%</t>
        </is>
      </c>
      <c r="D748" s="29" t="n">
        <v>0</v>
      </c>
      <c r="E748" s="29" t="n">
        <v>0</v>
      </c>
      <c r="F748" s="31">
        <f>D748-E748</f>
        <v/>
      </c>
    </row>
    <row r="749">
      <c r="C749" s="42" t="inlineStr">
        <is>
          <t>Hispanic%</t>
        </is>
      </c>
      <c r="D749" s="29" t="n">
        <v>0.09448818897637795</v>
      </c>
      <c r="E749" s="29" t="n">
        <v>0.108646188850967</v>
      </c>
      <c r="F749" s="31">
        <f>D749-E749</f>
        <v/>
      </c>
    </row>
    <row r="750">
      <c r="B750" s="42" t="inlineStr">
        <is>
          <t>Sebastian-Vero Beach, FL</t>
        </is>
      </c>
      <c r="C750" s="42" t="inlineStr">
        <is>
          <t>Loans</t>
        </is>
      </c>
      <c r="D750" s="46" t="n">
        <v>127</v>
      </c>
      <c r="E750" s="25" t="n">
        <v>3516</v>
      </c>
    </row>
    <row r="751">
      <c r="C751" s="42" t="inlineStr">
        <is>
          <t xml:space="preserve">LMICT% </t>
        </is>
      </c>
      <c r="D751" s="29" t="n">
        <v>0.1783088235294118</v>
      </c>
      <c r="E751" s="29" t="n">
        <v>0.2315726648761564</v>
      </c>
      <c r="F751" s="31">
        <f>D751-E751</f>
        <v/>
      </c>
    </row>
    <row r="752">
      <c r="C752" s="42" t="inlineStr">
        <is>
          <t>LMIB%</t>
        </is>
      </c>
      <c r="D752" s="29" t="n">
        <v>0.1452205882352941</v>
      </c>
      <c r="E752" s="29" t="n">
        <v>0.2186321586500637</v>
      </c>
      <c r="F752" s="31">
        <f>D752-E752</f>
        <v/>
      </c>
    </row>
    <row r="753">
      <c r="C753" s="42" t="inlineStr">
        <is>
          <t>LMIB$</t>
        </is>
      </c>
      <c r="D753" s="48" t="n">
        <v>18885000</v>
      </c>
      <c r="E753" s="48" t="n">
        <v>1564405000</v>
      </c>
      <c r="F753" s="49" t="n"/>
    </row>
    <row r="754">
      <c r="C754" s="42" t="inlineStr">
        <is>
          <t>MMCT%</t>
        </is>
      </c>
      <c r="D754" s="29" t="n">
        <v>0.1470588235294118</v>
      </c>
      <c r="E754" s="29" t="n">
        <v>0.2566940668999756</v>
      </c>
      <c r="F754" s="31">
        <f>D754-E754</f>
        <v/>
      </c>
    </row>
    <row r="755">
      <c r="C755" s="42" t="inlineStr">
        <is>
          <t>MINB%</t>
        </is>
      </c>
      <c r="D755" s="29" t="n">
        <v>0.07169117647058823</v>
      </c>
      <c r="E755" s="29" t="n">
        <v>0.1905265728005209</v>
      </c>
      <c r="F755" s="31">
        <f>D755-E755</f>
        <v/>
      </c>
    </row>
    <row r="756">
      <c r="C756" s="42" t="inlineStr">
        <is>
          <t>Asian%</t>
        </is>
      </c>
      <c r="D756" s="29" t="n">
        <v>0</v>
      </c>
      <c r="E756" s="29" t="n">
        <v>0</v>
      </c>
      <c r="F756" s="31">
        <f>D756-E756</f>
        <v/>
      </c>
    </row>
    <row r="757">
      <c r="C757" s="42" t="inlineStr">
        <is>
          <t>Black%</t>
        </is>
      </c>
      <c r="D757" s="29" t="n">
        <v>0</v>
      </c>
      <c r="E757" s="29" t="n">
        <v>0</v>
      </c>
      <c r="F757" s="31">
        <f>D757-E757</f>
        <v/>
      </c>
    </row>
    <row r="758" ht="21.75" customHeight="1" s="47">
      <c r="C758" s="42" t="inlineStr">
        <is>
          <t>Native American%</t>
        </is>
      </c>
      <c r="D758" s="29" t="n">
        <v>0</v>
      </c>
      <c r="E758" s="29" t="n">
        <v>0</v>
      </c>
      <c r="F758" s="31">
        <f>D758-E758</f>
        <v/>
      </c>
    </row>
    <row r="759">
      <c r="C759" s="42" t="inlineStr">
        <is>
          <t>HoPI%</t>
        </is>
      </c>
      <c r="D759" s="29" t="n">
        <v>0</v>
      </c>
      <c r="E759" s="29" t="n">
        <v>0</v>
      </c>
      <c r="F759" s="31">
        <f>D759-E759</f>
        <v/>
      </c>
    </row>
    <row r="760">
      <c r="C760" s="42" t="inlineStr">
        <is>
          <t>Hispanic%</t>
        </is>
      </c>
      <c r="D760" s="29" t="n">
        <v>0.07169117647058823</v>
      </c>
      <c r="E760" s="29" t="n">
        <v>0.1905265728005209</v>
      </c>
      <c r="F760" s="31">
        <f>D760-E760</f>
        <v/>
      </c>
    </row>
    <row r="761">
      <c r="B761" s="42" t="inlineStr">
        <is>
          <t>Tampa-St. Petersburg-Clearwater, FL</t>
        </is>
      </c>
      <c r="C761" s="42" t="inlineStr">
        <is>
          <t>Loans</t>
        </is>
      </c>
      <c r="D761" s="46" t="n">
        <v>544</v>
      </c>
      <c r="E761" s="25" t="n">
        <v>36861</v>
      </c>
    </row>
    <row r="762">
      <c r="C762" s="42" t="inlineStr">
        <is>
          <t xml:space="preserve">LMICT% </t>
        </is>
      </c>
      <c r="D762" s="29" t="n">
        <v>0.1304926764314248</v>
      </c>
      <c r="E762" s="29" t="n">
        <v>0.1972692517749864</v>
      </c>
      <c r="F762" s="31">
        <f>D762-E762</f>
        <v/>
      </c>
    </row>
    <row r="763">
      <c r="C763" s="42" t="inlineStr">
        <is>
          <t>LMIB%</t>
        </is>
      </c>
      <c r="D763" s="29" t="n">
        <v>0.137150466045273</v>
      </c>
      <c r="E763" s="29" t="n">
        <v>0.2477152739850719</v>
      </c>
      <c r="F763" s="31">
        <f>D763-E763</f>
        <v/>
      </c>
    </row>
    <row r="764">
      <c r="C764" s="42" t="inlineStr">
        <is>
          <t>LMIB$</t>
        </is>
      </c>
      <c r="D764" s="48" t="n">
        <v>23375000</v>
      </c>
      <c r="E764" s="48" t="n">
        <v>3304555000</v>
      </c>
      <c r="F764" s="49" t="n"/>
    </row>
    <row r="765">
      <c r="C765" s="42" t="inlineStr">
        <is>
          <t>MMCT%</t>
        </is>
      </c>
      <c r="D765" s="29" t="n">
        <v>0.3581890812250333</v>
      </c>
      <c r="E765" s="29" t="n">
        <v>0.438467139996359</v>
      </c>
      <c r="F765" s="31">
        <f>D765-E765</f>
        <v/>
      </c>
    </row>
    <row r="766">
      <c r="C766" s="42" t="inlineStr">
        <is>
          <t>MINB%</t>
        </is>
      </c>
      <c r="D766" s="29" t="n">
        <v>0.05992010652463382</v>
      </c>
      <c r="E766" s="29" t="n">
        <v>0.1096668487165483</v>
      </c>
      <c r="F766" s="31">
        <f>D766-E766</f>
        <v/>
      </c>
    </row>
    <row r="767">
      <c r="C767" s="42" t="inlineStr">
        <is>
          <t>Asian%</t>
        </is>
      </c>
      <c r="D767" s="29" t="n">
        <v>0</v>
      </c>
      <c r="E767" s="29" t="n">
        <v>0</v>
      </c>
      <c r="F767" s="31">
        <f>D767-E767</f>
        <v/>
      </c>
    </row>
    <row r="768">
      <c r="C768" s="42" t="inlineStr">
        <is>
          <t>Black%</t>
        </is>
      </c>
      <c r="D768" s="29" t="n">
        <v>0</v>
      </c>
      <c r="E768" s="29" t="n">
        <v>0</v>
      </c>
      <c r="F768" s="31">
        <f>D768-E768</f>
        <v/>
      </c>
    </row>
    <row r="769" ht="21.75" customHeight="1" s="47">
      <c r="C769" s="42" t="inlineStr">
        <is>
          <t>Native American%</t>
        </is>
      </c>
      <c r="D769" s="29" t="n">
        <v>0</v>
      </c>
      <c r="E769" s="29" t="n">
        <v>0</v>
      </c>
      <c r="F769" s="31">
        <f>D769-E769</f>
        <v/>
      </c>
    </row>
    <row r="770">
      <c r="C770" s="42" t="inlineStr">
        <is>
          <t>HoPI%</t>
        </is>
      </c>
      <c r="D770" s="29" t="n">
        <v>0</v>
      </c>
      <c r="E770" s="29" t="n">
        <v>0</v>
      </c>
      <c r="F770" s="31">
        <f>D770-E770</f>
        <v/>
      </c>
    </row>
    <row r="771">
      <c r="C771" s="42" t="inlineStr">
        <is>
          <t>Hispanic%</t>
        </is>
      </c>
      <c r="D771" s="29" t="n">
        <v>0.05992010652463382</v>
      </c>
      <c r="E771" s="29" t="n">
        <v>0.1096668487165483</v>
      </c>
      <c r="F771" s="31">
        <f>D771-E771</f>
        <v/>
      </c>
    </row>
    <row r="772">
      <c r="B772" s="42" t="inlineStr">
        <is>
          <t>Atlanta-Sandy Springs-Alpharetta, GA</t>
        </is>
      </c>
      <c r="C772" s="42" t="inlineStr">
        <is>
          <t>Loans</t>
        </is>
      </c>
      <c r="D772" s="46" t="n">
        <v>751</v>
      </c>
      <c r="E772" s="25" t="n">
        <v>54930</v>
      </c>
    </row>
    <row r="773">
      <c r="C773" s="42" t="inlineStr">
        <is>
          <t xml:space="preserve">LMICT% </t>
        </is>
      </c>
      <c r="D773" s="29" t="n">
        <v>0</v>
      </c>
      <c r="E773" s="29" t="n">
        <v>0.07530647985989491</v>
      </c>
      <c r="F773" s="31">
        <f>D773-E773</f>
        <v/>
      </c>
    </row>
    <row r="774">
      <c r="C774" s="42" t="inlineStr">
        <is>
          <t>LMIB%</t>
        </is>
      </c>
      <c r="D774" s="29" t="n">
        <v>0.2352941176470588</v>
      </c>
      <c r="E774" s="29" t="n">
        <v>0.2276707530647986</v>
      </c>
      <c r="F774" s="31">
        <f>D774-E774</f>
        <v/>
      </c>
    </row>
    <row r="775">
      <c r="C775" s="42" t="inlineStr">
        <is>
          <t>LMIB$</t>
        </is>
      </c>
      <c r="D775" s="48" t="n">
        <v>580000</v>
      </c>
      <c r="E775" s="48" t="n">
        <v>19360000</v>
      </c>
      <c r="F775" s="49" t="n"/>
    </row>
    <row r="776">
      <c r="C776" s="42" t="inlineStr">
        <is>
          <t>MMCT%</t>
        </is>
      </c>
      <c r="D776" s="29" t="n">
        <v>0.2941176470588235</v>
      </c>
      <c r="E776" s="29" t="n">
        <v>0.3204903677758319</v>
      </c>
      <c r="F776" s="31">
        <f>D776-E776</f>
        <v/>
      </c>
    </row>
    <row r="777">
      <c r="C777" s="42" t="inlineStr">
        <is>
          <t>MINB%</t>
        </is>
      </c>
      <c r="D777" s="29" t="n">
        <v>0.0588235294117647</v>
      </c>
      <c r="E777" s="29" t="n">
        <v>0.05253940455341506</v>
      </c>
      <c r="F777" s="31">
        <f>D777-E777</f>
        <v/>
      </c>
    </row>
    <row r="778">
      <c r="C778" s="42" t="inlineStr">
        <is>
          <t>Asian%</t>
        </is>
      </c>
      <c r="D778" s="29" t="n">
        <v>0</v>
      </c>
      <c r="E778" s="29" t="n">
        <v>0</v>
      </c>
      <c r="F778" s="31">
        <f>D778-E778</f>
        <v/>
      </c>
    </row>
    <row r="779">
      <c r="C779" s="42" t="inlineStr">
        <is>
          <t>Black%</t>
        </is>
      </c>
      <c r="D779" s="29" t="n">
        <v>0</v>
      </c>
      <c r="E779" s="29" t="n">
        <v>0</v>
      </c>
      <c r="F779" s="31">
        <f>D779-E779</f>
        <v/>
      </c>
    </row>
    <row r="780" ht="21.75" customHeight="1" s="47">
      <c r="C780" s="42" t="inlineStr">
        <is>
          <t>Native American%</t>
        </is>
      </c>
      <c r="D780" s="29" t="n">
        <v>0</v>
      </c>
      <c r="E780" s="29" t="n">
        <v>0</v>
      </c>
      <c r="F780" s="31">
        <f>D780-E780</f>
        <v/>
      </c>
    </row>
    <row r="781">
      <c r="C781" s="42" t="inlineStr">
        <is>
          <t>HoPI%</t>
        </is>
      </c>
      <c r="D781" s="29" t="n">
        <v>0</v>
      </c>
      <c r="E781" s="29" t="n">
        <v>0</v>
      </c>
      <c r="F781" s="31">
        <f>D781-E781</f>
        <v/>
      </c>
    </row>
    <row r="782">
      <c r="C782" s="42" t="inlineStr">
        <is>
          <t>Hispanic%</t>
        </is>
      </c>
      <c r="D782" s="29" t="n">
        <v>0.0588235294117647</v>
      </c>
      <c r="E782" s="29" t="n">
        <v>0.05253940455341506</v>
      </c>
      <c r="F782" s="31">
        <f>D782-E782</f>
        <v/>
      </c>
    </row>
    <row r="783">
      <c r="A783" s="46" t="inlineStr">
        <is>
          <t>Massachusetts</t>
        </is>
      </c>
      <c r="B783" s="42" t="inlineStr">
        <is>
          <t>Georgia Non-MSA</t>
        </is>
      </c>
      <c r="C783" s="42" t="inlineStr">
        <is>
          <t>Loans</t>
        </is>
      </c>
      <c r="D783" s="46" t="n">
        <v>17</v>
      </c>
      <c r="E783" s="25" t="n">
        <v>571</v>
      </c>
    </row>
    <row r="784">
      <c r="C784" s="42" t="inlineStr">
        <is>
          <t xml:space="preserve">LMICT% </t>
        </is>
      </c>
      <c r="D784" s="29" t="n">
        <v>0.2507739938080495</v>
      </c>
      <c r="E784" s="29" t="n">
        <v>0.21486969851814</v>
      </c>
      <c r="F784" s="31">
        <f>D784-E784</f>
        <v/>
      </c>
    </row>
    <row r="785">
      <c r="C785" s="42" t="inlineStr">
        <is>
          <t>LMIB%</t>
        </is>
      </c>
      <c r="D785" s="29" t="n">
        <v>0.5263157894736842</v>
      </c>
      <c r="E785" s="29" t="n">
        <v>0.4890137966274911</v>
      </c>
      <c r="F785" s="31">
        <f>D785-E785</f>
        <v/>
      </c>
    </row>
    <row r="786">
      <c r="C786" s="42" t="inlineStr">
        <is>
          <t>LMIB$</t>
        </is>
      </c>
      <c r="D786" s="48" t="n">
        <v>23200000</v>
      </c>
      <c r="E786" s="48" t="n">
        <v>253520000</v>
      </c>
      <c r="F786" s="49" t="n"/>
    </row>
    <row r="787">
      <c r="C787" s="42" t="inlineStr">
        <is>
          <t>MMCT%</t>
        </is>
      </c>
      <c r="D787" s="29" t="n">
        <v>0.01857585139318885</v>
      </c>
      <c r="E787" s="29" t="n">
        <v>0.006642820643842616</v>
      </c>
      <c r="F787" s="31">
        <f>D787-E787</f>
        <v/>
      </c>
    </row>
    <row r="788">
      <c r="C788" s="42" t="inlineStr">
        <is>
          <t>MINB%</t>
        </is>
      </c>
      <c r="D788" s="29" t="n">
        <v>0.04024767801857585</v>
      </c>
      <c r="E788" s="29" t="n">
        <v>0.06080735820132856</v>
      </c>
      <c r="F788" s="31">
        <f>D788-E788</f>
        <v/>
      </c>
    </row>
    <row r="789">
      <c r="C789" s="42" t="inlineStr">
        <is>
          <t>Asian%</t>
        </is>
      </c>
      <c r="D789" s="29" t="n">
        <v>0</v>
      </c>
      <c r="E789" s="29" t="n">
        <v>0</v>
      </c>
      <c r="F789" s="31">
        <f>D789-E789</f>
        <v/>
      </c>
    </row>
    <row r="790">
      <c r="C790" s="42" t="inlineStr">
        <is>
          <t>Black%</t>
        </is>
      </c>
      <c r="D790" s="29" t="n">
        <v>0</v>
      </c>
      <c r="E790" s="29" t="n">
        <v>0</v>
      </c>
      <c r="F790" s="31">
        <f>D790-E790</f>
        <v/>
      </c>
    </row>
    <row r="791" ht="21.75" customHeight="1" s="47">
      <c r="C791" s="42" t="inlineStr">
        <is>
          <t>Native American%</t>
        </is>
      </c>
      <c r="D791" s="29" t="n">
        <v>0</v>
      </c>
      <c r="E791" s="29" t="n">
        <v>0</v>
      </c>
      <c r="F791" s="31">
        <f>D791-E791</f>
        <v/>
      </c>
    </row>
    <row r="792">
      <c r="C792" s="42" t="inlineStr">
        <is>
          <t>HoPI%</t>
        </is>
      </c>
      <c r="D792" s="29" t="n">
        <v>0</v>
      </c>
      <c r="E792" s="29" t="n">
        <v>0</v>
      </c>
      <c r="F792" s="31">
        <f>D792-E792</f>
        <v/>
      </c>
    </row>
    <row r="793">
      <c r="C793" s="42" t="inlineStr">
        <is>
          <t>Hispanic%</t>
        </is>
      </c>
      <c r="D793" s="29" t="n">
        <v>0.04024767801857585</v>
      </c>
      <c r="E793" s="29" t="n">
        <v>0.06080735820132856</v>
      </c>
      <c r="F793" s="31">
        <f>D793-E793</f>
        <v/>
      </c>
    </row>
    <row r="794">
      <c r="A794" s="46" t="inlineStr">
        <is>
          <t>Indiana</t>
        </is>
      </c>
      <c r="B794" s="42" t="inlineStr">
        <is>
          <t>Bloomington, IL</t>
        </is>
      </c>
      <c r="C794" s="42" t="inlineStr">
        <is>
          <t>Loans</t>
        </is>
      </c>
      <c r="D794" s="46" t="n">
        <v>323</v>
      </c>
      <c r="E794" s="25" t="n">
        <v>3914</v>
      </c>
    </row>
    <row r="795">
      <c r="C795" s="42" t="inlineStr">
        <is>
          <t xml:space="preserve">LMICT% </t>
        </is>
      </c>
      <c r="D795" s="29" t="n">
        <v>0.1338582677165354</v>
      </c>
      <c r="E795" s="29" t="n">
        <v>0.2019047619047619</v>
      </c>
      <c r="F795" s="31">
        <f>D795-E795</f>
        <v/>
      </c>
    </row>
    <row r="796">
      <c r="C796" s="42" t="inlineStr">
        <is>
          <t>LMIB%</t>
        </is>
      </c>
      <c r="D796" s="29" t="n">
        <v>0.3307086614173229</v>
      </c>
      <c r="E796" s="29" t="n">
        <v>0.4080952380952381</v>
      </c>
      <c r="F796" s="31">
        <f>D796-E796</f>
        <v/>
      </c>
    </row>
    <row r="797">
      <c r="C797" s="42" t="inlineStr">
        <is>
          <t>LMIB$</t>
        </is>
      </c>
      <c r="D797" s="48" t="n">
        <v>5810000</v>
      </c>
      <c r="E797" s="48" t="n">
        <v>115135000</v>
      </c>
      <c r="F797" s="49" t="n"/>
    </row>
    <row r="798">
      <c r="C798" s="42" t="inlineStr">
        <is>
          <t>MMCT%</t>
        </is>
      </c>
      <c r="D798" s="29" t="n">
        <v>0.05511811023622047</v>
      </c>
      <c r="E798" s="29" t="n">
        <v>0.08619047619047619</v>
      </c>
      <c r="F798" s="31">
        <f>D798-E798</f>
        <v/>
      </c>
    </row>
    <row r="799">
      <c r="C799" s="42" t="inlineStr">
        <is>
          <t>MINB%</t>
        </is>
      </c>
      <c r="D799" s="29" t="n">
        <v>0.03149606299212598</v>
      </c>
      <c r="E799" s="29" t="n">
        <v>0.05666666666666666</v>
      </c>
      <c r="F799" s="31">
        <f>D799-E799</f>
        <v/>
      </c>
    </row>
    <row r="800">
      <c r="C800" s="42" t="inlineStr">
        <is>
          <t>Asian%</t>
        </is>
      </c>
      <c r="D800" s="29" t="n">
        <v>0</v>
      </c>
      <c r="E800" s="29" t="n">
        <v>0</v>
      </c>
      <c r="F800" s="31">
        <f>D800-E800</f>
        <v/>
      </c>
    </row>
    <row r="801">
      <c r="C801" s="42" t="inlineStr">
        <is>
          <t>Black%</t>
        </is>
      </c>
      <c r="D801" s="29" t="n">
        <v>0</v>
      </c>
      <c r="E801" s="29" t="n">
        <v>0</v>
      </c>
      <c r="F801" s="31">
        <f>D801-E801</f>
        <v/>
      </c>
    </row>
    <row r="802" ht="21.75" customHeight="1" s="47">
      <c r="C802" s="42" t="inlineStr">
        <is>
          <t>Native American%</t>
        </is>
      </c>
      <c r="D802" s="29" t="n">
        <v>0</v>
      </c>
      <c r="E802" s="29" t="n">
        <v>0</v>
      </c>
      <c r="F802" s="31">
        <f>D802-E802</f>
        <v/>
      </c>
    </row>
    <row r="803">
      <c r="C803" s="42" t="inlineStr">
        <is>
          <t>HoPI%</t>
        </is>
      </c>
      <c r="D803" s="29" t="n">
        <v>0</v>
      </c>
      <c r="E803" s="29" t="n">
        <v>0</v>
      </c>
      <c r="F803" s="31">
        <f>D803-E803</f>
        <v/>
      </c>
    </row>
    <row r="804">
      <c r="C804" s="42" t="inlineStr">
        <is>
          <t>Hispanic%</t>
        </is>
      </c>
      <c r="D804" s="29" t="n">
        <v>0.03149606299212598</v>
      </c>
      <c r="E804" s="29" t="n">
        <v>0.05666666666666666</v>
      </c>
      <c r="F804" s="31">
        <f>D804-E804</f>
        <v/>
      </c>
    </row>
    <row r="805">
      <c r="B805" s="42" t="inlineStr">
        <is>
          <t>Champaign-Urbana, IL</t>
        </is>
      </c>
      <c r="C805" s="42" t="inlineStr">
        <is>
          <t>Loans</t>
        </is>
      </c>
      <c r="D805" s="46" t="n">
        <v>127</v>
      </c>
      <c r="E805" s="25" t="n">
        <v>2100</v>
      </c>
    </row>
    <row r="806">
      <c r="C806" s="42" t="inlineStr">
        <is>
          <t xml:space="preserve">LMICT% </t>
        </is>
      </c>
      <c r="D806" s="29" t="n">
        <v>0.1725967540574282</v>
      </c>
      <c r="E806" s="29" t="n">
        <v>0.2031653972468731</v>
      </c>
      <c r="F806" s="31">
        <f>D806-E806</f>
        <v/>
      </c>
    </row>
    <row r="807">
      <c r="C807" s="42" t="inlineStr">
        <is>
          <t>LMIB%</t>
        </is>
      </c>
      <c r="D807" s="29" t="n">
        <v>0.3448813982521848</v>
      </c>
      <c r="E807" s="29" t="n">
        <v>0.3467262944588079</v>
      </c>
      <c r="F807" s="31">
        <f>D807-E807</f>
        <v/>
      </c>
    </row>
    <row r="808">
      <c r="C808" s="42" t="inlineStr">
        <is>
          <t>LMIB$</t>
        </is>
      </c>
      <c r="D808" s="48" t="n">
        <v>205295000</v>
      </c>
      <c r="E808" s="48" t="n">
        <v>7805220000</v>
      </c>
      <c r="F808" s="49" t="n"/>
    </row>
    <row r="809">
      <c r="C809" s="42" t="inlineStr">
        <is>
          <t>MMCT%</t>
        </is>
      </c>
      <c r="D809" s="29" t="n">
        <v>0.2247191011235955</v>
      </c>
      <c r="E809" s="29" t="n">
        <v>0.2870606526448187</v>
      </c>
      <c r="F809" s="31">
        <f>D809-E809</f>
        <v/>
      </c>
    </row>
    <row r="810">
      <c r="C810" s="42" t="inlineStr">
        <is>
          <t>MINB%</t>
        </is>
      </c>
      <c r="D810" s="29" t="n">
        <v>0.1604244694132334</v>
      </c>
      <c r="E810" s="29" t="n">
        <v>0.1789794563622388</v>
      </c>
      <c r="F810" s="31">
        <f>D810-E810</f>
        <v/>
      </c>
    </row>
    <row r="811">
      <c r="C811" s="42" t="inlineStr">
        <is>
          <t>Asian%</t>
        </is>
      </c>
      <c r="D811" s="29" t="n">
        <v>0</v>
      </c>
      <c r="E811" s="29" t="n">
        <v>0</v>
      </c>
      <c r="F811" s="31">
        <f>D811-E811</f>
        <v/>
      </c>
    </row>
    <row r="812">
      <c r="C812" s="42" t="inlineStr">
        <is>
          <t>Black%</t>
        </is>
      </c>
      <c r="D812" s="29" t="n">
        <v>0</v>
      </c>
      <c r="E812" s="29" t="n">
        <v>0</v>
      </c>
      <c r="F812" s="31">
        <f>D812-E812</f>
        <v/>
      </c>
    </row>
    <row r="813" ht="21.75" customHeight="1" s="47">
      <c r="C813" s="42" t="inlineStr">
        <is>
          <t>Native American%</t>
        </is>
      </c>
      <c r="D813" s="29" t="n">
        <v>0</v>
      </c>
      <c r="E813" s="29" t="n">
        <v>0</v>
      </c>
      <c r="F813" s="31">
        <f>D813-E813</f>
        <v/>
      </c>
    </row>
    <row r="814">
      <c r="C814" s="42" t="inlineStr">
        <is>
          <t>HoPI%</t>
        </is>
      </c>
      <c r="D814" s="29" t="n">
        <v>0</v>
      </c>
      <c r="E814" s="29" t="n">
        <v>0</v>
      </c>
      <c r="F814" s="31">
        <f>D814-E814</f>
        <v/>
      </c>
    </row>
    <row r="815">
      <c r="C815" s="42" t="inlineStr">
        <is>
          <t>Hispanic%</t>
        </is>
      </c>
      <c r="D815" s="29" t="n">
        <v>0.1604244694132334</v>
      </c>
      <c r="E815" s="29" t="n">
        <v>0.1789794563622388</v>
      </c>
      <c r="F815" s="31">
        <f>D815-E815</f>
        <v/>
      </c>
    </row>
    <row r="816">
      <c r="B816" s="42" t="inlineStr">
        <is>
          <t>Chicago-Naperville-Elgin, IL-IN-WI</t>
        </is>
      </c>
      <c r="C816" s="42" t="inlineStr">
        <is>
          <t>Loans</t>
        </is>
      </c>
      <c r="D816" s="46" t="n">
        <v>3204</v>
      </c>
      <c r="E816" s="25" t="n">
        <v>114488</v>
      </c>
    </row>
    <row r="817">
      <c r="C817" s="42" t="inlineStr">
        <is>
          <t xml:space="preserve">LMICT% </t>
        </is>
      </c>
      <c r="D817" s="29" t="n">
        <v>0.5833333333333334</v>
      </c>
      <c r="E817" s="29" t="n">
        <v>0.1548556430446194</v>
      </c>
      <c r="F817" s="31">
        <f>D817-E817</f>
        <v/>
      </c>
    </row>
    <row r="818">
      <c r="C818" s="42" t="inlineStr">
        <is>
          <t>LMIB%</t>
        </is>
      </c>
      <c r="D818" s="29" t="n">
        <v>0.5833333333333334</v>
      </c>
      <c r="E818" s="29" t="n">
        <v>0.4934383202099737</v>
      </c>
      <c r="F818" s="31">
        <f>D818-E818</f>
        <v/>
      </c>
    </row>
    <row r="819">
      <c r="C819" s="42" t="inlineStr">
        <is>
          <t>LMIB$</t>
        </is>
      </c>
      <c r="D819" s="48" t="n">
        <v>515000</v>
      </c>
      <c r="E819" s="48" t="n">
        <v>19560000</v>
      </c>
      <c r="F819" s="49" t="n"/>
    </row>
    <row r="820">
      <c r="C820" s="42" t="inlineStr">
        <is>
          <t>MMCT%</t>
        </is>
      </c>
      <c r="D820" s="29" t="n">
        <v>0</v>
      </c>
      <c r="E820" s="29" t="n">
        <v>0</v>
      </c>
      <c r="F820" s="31">
        <f>D820-E820</f>
        <v/>
      </c>
    </row>
    <row r="821">
      <c r="C821" s="42" t="inlineStr">
        <is>
          <t>MINB%</t>
        </is>
      </c>
      <c r="D821" s="29" t="n">
        <v>0.08333333333333331</v>
      </c>
      <c r="E821" s="29" t="n">
        <v>0.06299212598425197</v>
      </c>
      <c r="F821" s="31">
        <f>D821-E821</f>
        <v/>
      </c>
    </row>
    <row r="822">
      <c r="C822" s="42" t="inlineStr">
        <is>
          <t>Asian%</t>
        </is>
      </c>
      <c r="D822" s="29" t="n">
        <v>0</v>
      </c>
      <c r="E822" s="29" t="n">
        <v>0</v>
      </c>
      <c r="F822" s="31">
        <f>D822-E822</f>
        <v/>
      </c>
    </row>
    <row r="823">
      <c r="C823" s="42" t="inlineStr">
        <is>
          <t>Black%</t>
        </is>
      </c>
      <c r="D823" s="29" t="n">
        <v>0</v>
      </c>
      <c r="E823" s="29" t="n">
        <v>0</v>
      </c>
      <c r="F823" s="31">
        <f>D823-E823</f>
        <v/>
      </c>
    </row>
    <row r="824" ht="21.75" customHeight="1" s="47">
      <c r="C824" s="42" t="inlineStr">
        <is>
          <t>Native American%</t>
        </is>
      </c>
      <c r="D824" s="29" t="n">
        <v>0</v>
      </c>
      <c r="E824" s="29" t="n">
        <v>0</v>
      </c>
      <c r="F824" s="31">
        <f>D824-E824</f>
        <v/>
      </c>
    </row>
    <row r="825">
      <c r="C825" s="42" t="inlineStr">
        <is>
          <t>HoPI%</t>
        </is>
      </c>
      <c r="D825" s="29" t="n">
        <v>0</v>
      </c>
      <c r="E825" s="29" t="n">
        <v>0</v>
      </c>
      <c r="F825" s="31">
        <f>D825-E825</f>
        <v/>
      </c>
    </row>
    <row r="826">
      <c r="C826" s="42" t="inlineStr">
        <is>
          <t>Hispanic%</t>
        </is>
      </c>
      <c r="D826" s="29" t="n">
        <v>0.08333333333333331</v>
      </c>
      <c r="E826" s="29" t="n">
        <v>0.06299212598425197</v>
      </c>
      <c r="F826" s="31">
        <f>D826-E826</f>
        <v/>
      </c>
    </row>
    <row r="827">
      <c r="B827" s="42" t="inlineStr">
        <is>
          <t>Illinois Non-MSA</t>
        </is>
      </c>
      <c r="C827" s="42" t="inlineStr">
        <is>
          <t>Loans</t>
        </is>
      </c>
      <c r="D827" s="25" t="n">
        <v>12</v>
      </c>
      <c r="E827" s="25" t="n">
        <v>381</v>
      </c>
    </row>
    <row r="828">
      <c r="C828" s="42" t="inlineStr">
        <is>
          <t xml:space="preserve">LMICT% </t>
        </is>
      </c>
      <c r="D828" s="29" t="n">
        <v>0.1684210526315789</v>
      </c>
      <c r="E828" s="29" t="n">
        <v>0.1117370892018779</v>
      </c>
      <c r="F828" s="31">
        <f>D828-E828</f>
        <v/>
      </c>
    </row>
    <row r="829">
      <c r="C829" s="42" t="inlineStr">
        <is>
          <t>LMIB%</t>
        </is>
      </c>
      <c r="D829" s="29" t="n">
        <v>0.4210526315789473</v>
      </c>
      <c r="E829" s="29" t="n">
        <v>0.4300469483568075</v>
      </c>
      <c r="F829" s="31">
        <f>D829-E829</f>
        <v/>
      </c>
    </row>
    <row r="830">
      <c r="C830" s="42" t="inlineStr">
        <is>
          <t>LMIB$</t>
        </is>
      </c>
      <c r="D830" s="48" t="n">
        <v>3800000</v>
      </c>
      <c r="E830" s="48" t="n">
        <v>44090000</v>
      </c>
      <c r="F830" s="49" t="n"/>
    </row>
    <row r="831">
      <c r="C831" s="42" t="inlineStr">
        <is>
          <t>MMCT%</t>
        </is>
      </c>
      <c r="D831" s="29" t="n">
        <v>0.05263157894736842</v>
      </c>
      <c r="E831" s="29" t="n">
        <v>0.01784037558685446</v>
      </c>
      <c r="F831" s="31">
        <f>D831-E831</f>
        <v/>
      </c>
    </row>
    <row r="832">
      <c r="C832" s="42" t="inlineStr">
        <is>
          <t>MINB%</t>
        </is>
      </c>
      <c r="D832" s="29" t="n">
        <v>0.03157894736842105</v>
      </c>
      <c r="E832" s="29" t="n">
        <v>0.03380281690140845</v>
      </c>
      <c r="F832" s="31">
        <f>D832-E832</f>
        <v/>
      </c>
    </row>
    <row r="833">
      <c r="C833" s="42" t="inlineStr">
        <is>
          <t>Asian%</t>
        </is>
      </c>
      <c r="D833" s="29" t="n">
        <v>0</v>
      </c>
      <c r="E833" s="29" t="n">
        <v>0</v>
      </c>
      <c r="F833" s="31">
        <f>D833-E833</f>
        <v/>
      </c>
    </row>
    <row r="834">
      <c r="C834" s="42" t="inlineStr">
        <is>
          <t>Black%</t>
        </is>
      </c>
      <c r="D834" s="29" t="n">
        <v>0</v>
      </c>
      <c r="E834" s="29" t="n">
        <v>0</v>
      </c>
      <c r="F834" s="31">
        <f>D834-E834</f>
        <v/>
      </c>
    </row>
    <row r="835" ht="21.75" customHeight="1" s="47">
      <c r="C835" s="42" t="inlineStr">
        <is>
          <t>Native American%</t>
        </is>
      </c>
      <c r="D835" s="29" t="n">
        <v>0</v>
      </c>
      <c r="E835" s="29" t="n">
        <v>0</v>
      </c>
      <c r="F835" s="31">
        <f>D835-E835</f>
        <v/>
      </c>
    </row>
    <row r="836">
      <c r="C836" s="42" t="inlineStr">
        <is>
          <t>HoPI%</t>
        </is>
      </c>
      <c r="D836" s="29" t="n">
        <v>0</v>
      </c>
      <c r="E836" s="29" t="n">
        <v>0</v>
      </c>
      <c r="F836" s="31">
        <f>D836-E836</f>
        <v/>
      </c>
    </row>
    <row r="837">
      <c r="C837" s="42" t="inlineStr">
        <is>
          <t>Hispanic%</t>
        </is>
      </c>
      <c r="D837" s="29" t="n">
        <v>0.03157894736842105</v>
      </c>
      <c r="E837" s="29" t="n">
        <v>0.03380281690140845</v>
      </c>
      <c r="F837" s="31">
        <f>D837-E837</f>
        <v/>
      </c>
    </row>
    <row r="838">
      <c r="B838" s="42" t="inlineStr">
        <is>
          <t>Decatur, IL</t>
        </is>
      </c>
      <c r="C838" s="42" t="inlineStr">
        <is>
          <t>Loans</t>
        </is>
      </c>
      <c r="D838" s="46" t="n">
        <v>95</v>
      </c>
      <c r="E838" s="25" t="n">
        <v>1065</v>
      </c>
    </row>
    <row r="839">
      <c r="C839" s="42" t="inlineStr">
        <is>
          <t xml:space="preserve">LMICT% </t>
        </is>
      </c>
      <c r="D839" s="29" t="n">
        <v>0.1666666666666666</v>
      </c>
      <c r="E839" s="29" t="n">
        <v>0.1627906976744186</v>
      </c>
      <c r="F839" s="31">
        <f>D839-E839</f>
        <v/>
      </c>
    </row>
    <row r="840">
      <c r="C840" s="42" t="inlineStr">
        <is>
          <t>LMIB%</t>
        </is>
      </c>
      <c r="D840" s="29" t="n">
        <v>0.8333333333333335</v>
      </c>
      <c r="E840" s="29" t="n">
        <v>0.4604651162790698</v>
      </c>
      <c r="F840" s="31">
        <f>D840-E840</f>
        <v/>
      </c>
    </row>
    <row r="841">
      <c r="C841" s="42" t="inlineStr">
        <is>
          <t>LMIB$</t>
        </is>
      </c>
      <c r="D841" s="48" t="n">
        <v>505000</v>
      </c>
      <c r="E841" s="48" t="n">
        <v>8475000</v>
      </c>
      <c r="F841" s="31" t="n"/>
    </row>
    <row r="842">
      <c r="C842" s="42" t="inlineStr">
        <is>
          <t>MMCT%</t>
        </is>
      </c>
      <c r="D842" s="29" t="n">
        <v>0</v>
      </c>
      <c r="E842" s="29" t="n">
        <v>0</v>
      </c>
      <c r="F842" s="31">
        <f>D842-E842</f>
        <v/>
      </c>
    </row>
    <row r="843">
      <c r="C843" s="42" t="inlineStr">
        <is>
          <t>MINB%</t>
        </is>
      </c>
      <c r="D843" s="29" t="n">
        <v>0</v>
      </c>
      <c r="E843" s="29" t="n">
        <v>0.05116279069767442</v>
      </c>
      <c r="F843" s="31">
        <f>D843-E843</f>
        <v/>
      </c>
    </row>
    <row r="844">
      <c r="C844" s="42" t="inlineStr">
        <is>
          <t>Asian%</t>
        </is>
      </c>
      <c r="D844" s="29" t="n">
        <v>0</v>
      </c>
      <c r="E844" s="29" t="n">
        <v>0</v>
      </c>
      <c r="F844" s="31">
        <f>D844-E844</f>
        <v/>
      </c>
    </row>
    <row r="845">
      <c r="C845" s="42" t="inlineStr">
        <is>
          <t>Black%</t>
        </is>
      </c>
      <c r="D845" s="29" t="n">
        <v>0</v>
      </c>
      <c r="E845" s="29" t="n">
        <v>0</v>
      </c>
      <c r="F845" s="31">
        <f>D845-E845</f>
        <v/>
      </c>
    </row>
    <row r="846" ht="21.75" customHeight="1" s="47">
      <c r="C846" s="42" t="inlineStr">
        <is>
          <t>Native American%</t>
        </is>
      </c>
      <c r="D846" s="29" t="n">
        <v>0</v>
      </c>
      <c r="E846" s="29" t="n">
        <v>0</v>
      </c>
      <c r="F846" s="31">
        <f>D846-E846</f>
        <v/>
      </c>
    </row>
    <row r="847">
      <c r="C847" s="42" t="inlineStr">
        <is>
          <t>HoPI%</t>
        </is>
      </c>
      <c r="D847" s="29" t="n">
        <v>0</v>
      </c>
      <c r="E847" s="29" t="n">
        <v>0</v>
      </c>
      <c r="F847" s="31">
        <f>D847-E847</f>
        <v/>
      </c>
    </row>
    <row r="848">
      <c r="C848" s="42" t="inlineStr">
        <is>
          <t>Hispanic%</t>
        </is>
      </c>
      <c r="D848" s="29" t="n">
        <v>0</v>
      </c>
      <c r="E848" s="29" t="n">
        <v>0.05116279069767442</v>
      </c>
      <c r="F848" s="31">
        <f>D848-E848</f>
        <v/>
      </c>
    </row>
    <row r="849" ht="15" customHeight="1" s="47">
      <c r="B849" s="42" t="inlineStr">
        <is>
          <t>Illinois Non-MSA</t>
        </is>
      </c>
      <c r="C849" s="42" t="inlineStr">
        <is>
          <t>Loans</t>
        </is>
      </c>
      <c r="D849" s="46" t="n">
        <v>6</v>
      </c>
      <c r="E849" s="25" t="n">
        <v>215</v>
      </c>
    </row>
    <row r="850" ht="15" customHeight="1" s="47">
      <c r="C850" s="42" t="inlineStr">
        <is>
          <t xml:space="preserve">LMICT% </t>
        </is>
      </c>
      <c r="D850" s="29" t="n">
        <v>0.1923076923076923</v>
      </c>
      <c r="E850" s="29" t="n">
        <v>0.2116182572614108</v>
      </c>
      <c r="F850" s="31">
        <f>D850-E850</f>
        <v/>
      </c>
    </row>
    <row r="851" ht="15" customHeight="1" s="47">
      <c r="C851" s="42" t="inlineStr">
        <is>
          <t>LMIB%</t>
        </is>
      </c>
      <c r="D851" s="29" t="n">
        <v>0.3846153846153847</v>
      </c>
      <c r="E851" s="29" t="n">
        <v>0.4410195613515115</v>
      </c>
      <c r="F851" s="31">
        <f>D851-E851</f>
        <v/>
      </c>
    </row>
    <row r="852" ht="15" customHeight="1" s="47">
      <c r="C852" s="42" t="inlineStr">
        <is>
          <t>LMIB$</t>
        </is>
      </c>
      <c r="D852" s="48" t="n">
        <v>3800000</v>
      </c>
      <c r="E852" s="48" t="n">
        <v>100480000</v>
      </c>
      <c r="F852" s="49" t="n"/>
    </row>
    <row r="853" ht="15" customHeight="1" s="47">
      <c r="C853" s="42" t="inlineStr">
        <is>
          <t>MMCT%</t>
        </is>
      </c>
      <c r="D853" s="29" t="n">
        <v>0.08974358974358974</v>
      </c>
      <c r="E853" s="29" t="n">
        <v>0.09365737996443391</v>
      </c>
      <c r="F853" s="31">
        <f>D853-E853</f>
        <v/>
      </c>
    </row>
    <row r="854" ht="15" customHeight="1" s="47">
      <c r="C854" s="42" t="inlineStr">
        <is>
          <t>MINB%</t>
        </is>
      </c>
      <c r="D854" s="29" t="n">
        <v>0.07692307692307693</v>
      </c>
      <c r="E854" s="29" t="n">
        <v>0.1280379371665679</v>
      </c>
      <c r="F854" s="31">
        <f>D854-E854</f>
        <v/>
      </c>
    </row>
    <row r="855" ht="15" customHeight="1" s="47">
      <c r="C855" s="42" t="inlineStr">
        <is>
          <t>Asian%</t>
        </is>
      </c>
      <c r="D855" s="29" t="n">
        <v>0</v>
      </c>
      <c r="E855" s="29" t="n">
        <v>0</v>
      </c>
      <c r="F855" s="31">
        <f>D855-E855</f>
        <v/>
      </c>
    </row>
    <row r="856" ht="15" customHeight="1" s="47">
      <c r="C856" s="42" t="inlineStr">
        <is>
          <t>Black%</t>
        </is>
      </c>
      <c r="D856" s="29" t="n">
        <v>0</v>
      </c>
      <c r="E856" s="29" t="n">
        <v>0</v>
      </c>
      <c r="F856" s="31">
        <f>D856-E856</f>
        <v/>
      </c>
    </row>
    <row r="857" ht="15" customHeight="1" s="47">
      <c r="C857" s="42" t="inlineStr">
        <is>
          <t>Native American%</t>
        </is>
      </c>
      <c r="D857" s="29" t="n">
        <v>0</v>
      </c>
      <c r="E857" s="29" t="n">
        <v>0</v>
      </c>
      <c r="F857" s="31">
        <f>D857-E857</f>
        <v/>
      </c>
    </row>
    <row r="858" ht="15" customHeight="1" s="47">
      <c r="C858" s="42" t="inlineStr">
        <is>
          <t>HoPI%</t>
        </is>
      </c>
      <c r="D858" s="29" t="n">
        <v>0</v>
      </c>
      <c r="E858" s="29" t="n">
        <v>0</v>
      </c>
      <c r="F858" s="31">
        <f>D858-E858</f>
        <v/>
      </c>
    </row>
    <row r="859" ht="15" customHeight="1" s="47">
      <c r="C859" s="42" t="inlineStr">
        <is>
          <t>Hispanic%</t>
        </is>
      </c>
      <c r="D859" s="29" t="n">
        <v>0.07692307692307693</v>
      </c>
      <c r="E859" s="29" t="n">
        <v>0.1280379371665679</v>
      </c>
      <c r="F859" s="31">
        <f>D859-E859</f>
        <v/>
      </c>
    </row>
    <row r="860" ht="15" customHeight="1" s="47">
      <c r="B860" s="42" t="inlineStr">
        <is>
          <t>Kankakee, IL</t>
        </is>
      </c>
      <c r="C860" s="42" t="inlineStr">
        <is>
          <t>Loans</t>
        </is>
      </c>
      <c r="D860" s="46" t="n">
        <v>78</v>
      </c>
      <c r="E860" s="25" t="n">
        <v>1687</v>
      </c>
    </row>
    <row r="861" ht="15" customHeight="1" s="47">
      <c r="C861" s="42" t="inlineStr">
        <is>
          <t xml:space="preserve">LMICT% </t>
        </is>
      </c>
      <c r="D861" s="29" t="n">
        <v>0.1243093922651934</v>
      </c>
      <c r="E861" s="29" t="n">
        <v>0.1840212040893601</v>
      </c>
      <c r="F861" s="31">
        <f>D861-E861</f>
        <v/>
      </c>
    </row>
    <row r="862" ht="15" customHeight="1" s="47">
      <c r="C862" s="42" t="inlineStr">
        <is>
          <t>LMIB%</t>
        </is>
      </c>
      <c r="D862" s="29" t="n">
        <v>0.4088397790055249</v>
      </c>
      <c r="E862" s="29" t="n">
        <v>0.5102234002271867</v>
      </c>
      <c r="F862" s="31">
        <f>D862-E862</f>
        <v/>
      </c>
    </row>
    <row r="863" ht="15" customHeight="1" s="47">
      <c r="C863" s="42" t="inlineStr">
        <is>
          <t>LMIB$</t>
        </is>
      </c>
      <c r="D863" s="48" t="n">
        <v>15880000</v>
      </c>
      <c r="E863" s="48" t="n">
        <v>265435000</v>
      </c>
      <c r="F863" s="49" t="n"/>
    </row>
    <row r="864" ht="15" customHeight="1" s="47">
      <c r="C864" s="42" t="inlineStr">
        <is>
          <t>MMCT%</t>
        </is>
      </c>
      <c r="D864" s="29" t="n">
        <v>0.03038674033149171</v>
      </c>
      <c r="E864" s="29" t="n">
        <v>0.04524801211662249</v>
      </c>
      <c r="F864" s="31">
        <f>D864-E864</f>
        <v/>
      </c>
    </row>
    <row r="865" ht="15" customHeight="1" s="47">
      <c r="C865" s="42" t="inlineStr">
        <is>
          <t>MINB%</t>
        </is>
      </c>
      <c r="D865" s="29" t="n">
        <v>0.04143646408839778</v>
      </c>
      <c r="E865" s="29" t="n">
        <v>0.04051495645588792</v>
      </c>
      <c r="F865" s="31">
        <f>D865-E865</f>
        <v/>
      </c>
    </row>
    <row r="866" ht="15" customHeight="1" s="47">
      <c r="C866" s="42" t="inlineStr">
        <is>
          <t>Asian%</t>
        </is>
      </c>
      <c r="D866" s="29" t="n">
        <v>0</v>
      </c>
      <c r="E866" s="29" t="n">
        <v>0</v>
      </c>
      <c r="F866" s="31">
        <f>D866-E866</f>
        <v/>
      </c>
    </row>
    <row r="867" ht="15" customHeight="1" s="47">
      <c r="C867" s="42" t="inlineStr">
        <is>
          <t>Black%</t>
        </is>
      </c>
      <c r="D867" s="29" t="n">
        <v>0</v>
      </c>
      <c r="E867" s="29" t="n">
        <v>0</v>
      </c>
      <c r="F867" s="31">
        <f>D867-E867</f>
        <v/>
      </c>
    </row>
    <row r="868" ht="15" customHeight="1" s="47">
      <c r="C868" s="42" t="inlineStr">
        <is>
          <t>Native American%</t>
        </is>
      </c>
      <c r="D868" s="29" t="n">
        <v>0</v>
      </c>
      <c r="E868" s="29" t="n">
        <v>0</v>
      </c>
      <c r="F868" s="31">
        <f>D868-E868</f>
        <v/>
      </c>
    </row>
    <row r="869" ht="15" customHeight="1" s="47">
      <c r="C869" s="42" t="inlineStr">
        <is>
          <t>HoPI%</t>
        </is>
      </c>
      <c r="D869" s="29" t="n">
        <v>0</v>
      </c>
      <c r="E869" s="29" t="n">
        <v>0</v>
      </c>
      <c r="F869" s="31">
        <f>D869-E869</f>
        <v/>
      </c>
    </row>
    <row r="870" ht="15" customHeight="1" s="47">
      <c r="C870" s="42" t="inlineStr">
        <is>
          <t>Hispanic%</t>
        </is>
      </c>
      <c r="D870" s="29" t="n">
        <v>0.04143646408839778</v>
      </c>
      <c r="E870" s="29" t="n">
        <v>0.04051495645588792</v>
      </c>
      <c r="F870" s="31">
        <f>D870-E870</f>
        <v/>
      </c>
    </row>
    <row r="871" ht="15" customHeight="1" s="47">
      <c r="B871" s="42" t="inlineStr">
        <is>
          <t>Peoria, IL</t>
        </is>
      </c>
      <c r="C871" s="42" t="inlineStr">
        <is>
          <t>Loans</t>
        </is>
      </c>
      <c r="D871" s="46" t="n">
        <v>362</v>
      </c>
      <c r="E871" s="25" t="n">
        <v>5282</v>
      </c>
    </row>
    <row r="872" ht="15" customHeight="1" s="47">
      <c r="C872" s="42" t="inlineStr">
        <is>
          <t xml:space="preserve">LMICT% </t>
        </is>
      </c>
      <c r="D872" s="29" t="n">
        <v>0.2621951219512195</v>
      </c>
      <c r="E872" s="29" t="n">
        <v>0.189324437030859</v>
      </c>
      <c r="F872" s="31">
        <f>D872-E872</f>
        <v/>
      </c>
    </row>
    <row r="873" ht="15" customHeight="1" s="47">
      <c r="C873" s="42" t="inlineStr">
        <is>
          <t>LMIB%</t>
        </is>
      </c>
      <c r="D873" s="29" t="n">
        <v>0.5</v>
      </c>
      <c r="E873" s="29" t="n">
        <v>0.4528773978315263</v>
      </c>
      <c r="F873" s="31">
        <f>D873-E873</f>
        <v/>
      </c>
    </row>
    <row r="874" ht="15" customHeight="1" s="47">
      <c r="C874" s="42" t="inlineStr">
        <is>
          <t>LMIB$</t>
        </is>
      </c>
      <c r="D874" s="48" t="n">
        <v>9250000</v>
      </c>
      <c r="E874" s="48" t="n">
        <v>196665000</v>
      </c>
      <c r="F874" s="49" t="n"/>
    </row>
    <row r="875" ht="15" customHeight="1" s="47">
      <c r="C875" s="42" t="inlineStr">
        <is>
          <t>MMCT%</t>
        </is>
      </c>
      <c r="D875" s="29" t="n">
        <v>0.1097560975609756</v>
      </c>
      <c r="E875" s="29" t="n">
        <v>0.08284681679177092</v>
      </c>
      <c r="F875" s="31">
        <f>D875-E875</f>
        <v/>
      </c>
    </row>
    <row r="876" ht="15" customHeight="1" s="47">
      <c r="C876" s="42" t="inlineStr">
        <is>
          <t>MINB%</t>
        </is>
      </c>
      <c r="D876" s="29" t="n">
        <v>0.1707317073170732</v>
      </c>
      <c r="E876" s="29" t="n">
        <v>0.2098971365026411</v>
      </c>
      <c r="F876" s="31">
        <f>D876-E876</f>
        <v/>
      </c>
    </row>
    <row r="877" ht="15" customHeight="1" s="47">
      <c r="C877" s="42" t="inlineStr">
        <is>
          <t>Asian%</t>
        </is>
      </c>
      <c r="D877" s="29" t="n">
        <v>0</v>
      </c>
      <c r="E877" s="29" t="n">
        <v>0</v>
      </c>
      <c r="F877" s="31">
        <f>D877-E877</f>
        <v/>
      </c>
    </row>
    <row r="878" ht="15" customHeight="1" s="47">
      <c r="C878" s="42" t="inlineStr">
        <is>
          <t>Black%</t>
        </is>
      </c>
      <c r="D878" s="29" t="n">
        <v>0</v>
      </c>
      <c r="E878" s="29" t="n">
        <v>0</v>
      </c>
      <c r="F878" s="31">
        <f>D878-E878</f>
        <v/>
      </c>
    </row>
    <row r="879" ht="15" customHeight="1" s="47">
      <c r="C879" s="42" t="inlineStr">
        <is>
          <t>Native American%</t>
        </is>
      </c>
      <c r="D879" s="29" t="n">
        <v>0</v>
      </c>
      <c r="E879" s="29" t="n">
        <v>0</v>
      </c>
      <c r="F879" s="31">
        <f>D879-E879</f>
        <v/>
      </c>
    </row>
    <row r="880" ht="15" customHeight="1" s="47">
      <c r="C880" s="42" t="inlineStr">
        <is>
          <t>HoPI%</t>
        </is>
      </c>
      <c r="D880" s="29" t="n">
        <v>0</v>
      </c>
      <c r="E880" s="29" t="n">
        <v>0</v>
      </c>
      <c r="F880" s="31">
        <f>D880-E880</f>
        <v/>
      </c>
    </row>
    <row r="881" ht="15" customHeight="1" s="47">
      <c r="C881" s="42" t="inlineStr">
        <is>
          <t>Hispanic%</t>
        </is>
      </c>
      <c r="D881" s="29" t="n">
        <v>0.1707317073170732</v>
      </c>
      <c r="E881" s="29" t="n">
        <v>0.2098971365026411</v>
      </c>
      <c r="F881" s="31">
        <f>D881-E881</f>
        <v/>
      </c>
    </row>
    <row r="882" ht="15" customHeight="1" s="47">
      <c r="B882" s="42" t="inlineStr">
        <is>
          <t>Rockford, IL</t>
        </is>
      </c>
      <c r="C882" s="42" t="inlineStr">
        <is>
          <t>Loans</t>
        </is>
      </c>
      <c r="D882" s="46" t="n">
        <v>164</v>
      </c>
      <c r="E882" s="25" t="n">
        <v>3597</v>
      </c>
    </row>
    <row r="883" ht="15" customHeight="1" s="47">
      <c r="C883" s="42" t="inlineStr">
        <is>
          <t xml:space="preserve">LMICT% </t>
        </is>
      </c>
      <c r="D883" s="29" t="n">
        <v>0.3015267175572519</v>
      </c>
      <c r="E883" s="29" t="n">
        <v>0.2694688823721082</v>
      </c>
      <c r="F883" s="31">
        <f>D883-E883</f>
        <v/>
      </c>
    </row>
    <row r="884" ht="15" customHeight="1" s="47">
      <c r="C884" s="42" t="inlineStr">
        <is>
          <t>LMIB%</t>
        </is>
      </c>
      <c r="D884" s="29" t="n">
        <v>0.5267175572519084</v>
      </c>
      <c r="E884" s="29" t="n">
        <v>0.494297816878462</v>
      </c>
      <c r="F884" s="31">
        <f>D884-E884</f>
        <v/>
      </c>
    </row>
    <row r="885" ht="15" customHeight="1" s="47">
      <c r="C885" s="42" t="inlineStr">
        <is>
          <t>LMIB$</t>
        </is>
      </c>
      <c r="D885" s="48" t="n">
        <v>17040000</v>
      </c>
      <c r="E885" s="48" t="n">
        <v>176315000</v>
      </c>
      <c r="F885" s="49" t="n"/>
    </row>
    <row r="886" ht="15" customHeight="1" s="47">
      <c r="C886" s="42" t="inlineStr">
        <is>
          <t>MMCT%</t>
        </is>
      </c>
      <c r="D886" s="29" t="n">
        <v>0.01908396946564886</v>
      </c>
      <c r="E886" s="29" t="n">
        <v>0.01955034213098729</v>
      </c>
      <c r="F886" s="31">
        <f>D886-E886</f>
        <v/>
      </c>
    </row>
    <row r="887" ht="15" customHeight="1" s="47">
      <c r="C887" s="42" t="inlineStr">
        <is>
          <t>MINB%</t>
        </is>
      </c>
      <c r="D887" s="29" t="n">
        <v>0.01526717557251908</v>
      </c>
      <c r="E887" s="29" t="n">
        <v>0.03421309872922776</v>
      </c>
      <c r="F887" s="31">
        <f>D887-E887</f>
        <v/>
      </c>
    </row>
    <row r="888" ht="15" customHeight="1" s="47">
      <c r="C888" s="42" t="inlineStr">
        <is>
          <t>Asian%</t>
        </is>
      </c>
      <c r="D888" s="29" t="n">
        <v>0</v>
      </c>
      <c r="E888" s="29" t="n">
        <v>0</v>
      </c>
      <c r="F888" s="31">
        <f>D888-E888</f>
        <v/>
      </c>
    </row>
    <row r="889" ht="15" customHeight="1" s="47">
      <c r="C889" s="42" t="inlineStr">
        <is>
          <t>Black%</t>
        </is>
      </c>
      <c r="D889" s="29" t="n">
        <v>0</v>
      </c>
      <c r="E889" s="29" t="n">
        <v>0</v>
      </c>
      <c r="F889" s="31">
        <f>D889-E889</f>
        <v/>
      </c>
    </row>
    <row r="890" ht="15" customHeight="1" s="47">
      <c r="C890" s="42" t="inlineStr">
        <is>
          <t>Native American%</t>
        </is>
      </c>
      <c r="D890" s="29" t="n">
        <v>0</v>
      </c>
      <c r="E890" s="29" t="n">
        <v>0</v>
      </c>
      <c r="F890" s="31">
        <f>D890-E890</f>
        <v/>
      </c>
    </row>
    <row r="891" ht="15" customHeight="1" s="47">
      <c r="C891" s="42" t="inlineStr">
        <is>
          <t>HoPI%</t>
        </is>
      </c>
      <c r="D891" s="29" t="n">
        <v>0</v>
      </c>
      <c r="E891" s="29" t="n">
        <v>0</v>
      </c>
      <c r="F891" s="31">
        <f>D891-E891</f>
        <v/>
      </c>
    </row>
    <row r="892" ht="15" customHeight="1" s="47">
      <c r="C892" s="42" t="inlineStr">
        <is>
          <t>Hispanic%</t>
        </is>
      </c>
      <c r="D892" s="29" t="n">
        <v>0.01526717557251908</v>
      </c>
      <c r="E892" s="29" t="n">
        <v>0.03421309872922776</v>
      </c>
      <c r="F892" s="31">
        <f>D892-E892</f>
        <v/>
      </c>
    </row>
    <row r="893" ht="15" customHeight="1" s="47">
      <c r="B893" s="42" t="inlineStr">
        <is>
          <t>Springfield, IL</t>
        </is>
      </c>
      <c r="C893" s="42" t="inlineStr">
        <is>
          <t>Loans</t>
        </is>
      </c>
      <c r="D893" s="46" t="n">
        <v>262</v>
      </c>
      <c r="E893" s="25" t="n">
        <v>3069</v>
      </c>
    </row>
    <row r="894" ht="15" customHeight="1" s="47">
      <c r="C894" s="42" t="inlineStr">
        <is>
          <t xml:space="preserve">LMICT% </t>
        </is>
      </c>
      <c r="D894" s="29" t="n">
        <v>0.3333333333333333</v>
      </c>
      <c r="E894" s="29" t="n">
        <v>0.1203703703703704</v>
      </c>
      <c r="F894" s="31">
        <f>D894-E894</f>
        <v/>
      </c>
    </row>
    <row r="895" ht="15" customHeight="1" s="47">
      <c r="C895" s="42" t="inlineStr">
        <is>
          <t>LMIB%</t>
        </is>
      </c>
      <c r="D895" s="29" t="n">
        <v>0.3333333333333333</v>
      </c>
      <c r="E895" s="29" t="n">
        <v>0.244212962962963</v>
      </c>
      <c r="F895" s="31">
        <f>D895-E895</f>
        <v/>
      </c>
    </row>
    <row r="896" ht="15" customHeight="1" s="47">
      <c r="C896" s="42" t="inlineStr">
        <is>
          <t>LMIB$</t>
        </is>
      </c>
      <c r="D896" s="48" t="n">
        <v>730000</v>
      </c>
      <c r="E896" s="48" t="n">
        <v>40435000</v>
      </c>
      <c r="F896" s="49" t="n"/>
    </row>
    <row r="897" ht="15" customHeight="1" s="47">
      <c r="C897" s="42" t="inlineStr">
        <is>
          <t>MMCT%</t>
        </is>
      </c>
      <c r="D897" s="29" t="n">
        <v>0</v>
      </c>
      <c r="E897" s="29" t="n">
        <v>0</v>
      </c>
      <c r="F897" s="31">
        <f>D897-E897</f>
        <v/>
      </c>
    </row>
    <row r="898" ht="15" customHeight="1" s="47">
      <c r="C898" s="42" t="inlineStr">
        <is>
          <t>MINB%</t>
        </is>
      </c>
      <c r="D898" s="29" t="n">
        <v>0</v>
      </c>
      <c r="E898" s="29" t="n">
        <v>0.05092592592592592</v>
      </c>
      <c r="F898" s="31">
        <f>D898-E898</f>
        <v/>
      </c>
    </row>
    <row r="899" ht="15" customHeight="1" s="47">
      <c r="C899" s="42" t="inlineStr">
        <is>
          <t>Asian%</t>
        </is>
      </c>
      <c r="D899" s="29" t="n">
        <v>0</v>
      </c>
      <c r="E899" s="29" t="n">
        <v>0</v>
      </c>
      <c r="F899" s="31">
        <f>D899-E899</f>
        <v/>
      </c>
    </row>
    <row r="900" ht="15" customHeight="1" s="47">
      <c r="C900" s="42" t="inlineStr">
        <is>
          <t>Black%</t>
        </is>
      </c>
      <c r="D900" s="29" t="n">
        <v>0</v>
      </c>
      <c r="E900" s="29" t="n">
        <v>0</v>
      </c>
      <c r="F900" s="31">
        <f>D900-E900</f>
        <v/>
      </c>
    </row>
    <row r="901" ht="15" customHeight="1" s="47">
      <c r="C901" s="42" t="inlineStr">
        <is>
          <t>Native American%</t>
        </is>
      </c>
      <c r="D901" s="29" t="n">
        <v>0</v>
      </c>
      <c r="E901" s="29" t="n">
        <v>0</v>
      </c>
      <c r="F901" s="31">
        <f>D901-E901</f>
        <v/>
      </c>
    </row>
    <row r="902" ht="15" customHeight="1" s="47">
      <c r="C902" s="42" t="inlineStr">
        <is>
          <t>HoPI%</t>
        </is>
      </c>
      <c r="D902" s="29" t="n">
        <v>0</v>
      </c>
      <c r="E902" s="29" t="n">
        <v>0</v>
      </c>
      <c r="F902" s="31">
        <f>D902-E902</f>
        <v/>
      </c>
    </row>
    <row r="903" ht="15" customHeight="1" s="47">
      <c r="C903" s="42" t="inlineStr">
        <is>
          <t>Hispanic%</t>
        </is>
      </c>
      <c r="D903" s="29" t="n">
        <v>0</v>
      </c>
      <c r="E903" s="29" t="n">
        <v>0.05092592592592592</v>
      </c>
      <c r="F903" s="31">
        <f>D903-E903</f>
        <v/>
      </c>
    </row>
    <row r="904" ht="15" customHeight="1" s="47">
      <c r="B904" s="42" t="inlineStr">
        <is>
          <t>Bloomington, IN</t>
        </is>
      </c>
      <c r="C904" s="42" t="inlineStr">
        <is>
          <t>Loans</t>
        </is>
      </c>
      <c r="D904" s="46" t="n">
        <v>18</v>
      </c>
      <c r="E904" s="25" t="n">
        <v>864</v>
      </c>
    </row>
    <row r="905" ht="15" customHeight="1" s="47">
      <c r="C905" s="42" t="inlineStr">
        <is>
          <t xml:space="preserve">LMICT% </t>
        </is>
      </c>
      <c r="D905" s="29" t="n">
        <v>0.1666666666666666</v>
      </c>
      <c r="E905" s="29" t="n">
        <v>0.1657608695652174</v>
      </c>
      <c r="F905" s="31">
        <f>D905-E905</f>
        <v/>
      </c>
    </row>
    <row r="906" ht="15" customHeight="1" s="47">
      <c r="C906" s="42" t="inlineStr">
        <is>
          <t>LMIB%</t>
        </is>
      </c>
      <c r="D906" s="29" t="n">
        <v>0.3333333333333333</v>
      </c>
      <c r="E906" s="29" t="n">
        <v>0.4402173913043478</v>
      </c>
      <c r="F906" s="31">
        <f>D906-E906</f>
        <v/>
      </c>
    </row>
    <row r="907" ht="15" customHeight="1" s="47">
      <c r="C907" s="42" t="inlineStr">
        <is>
          <t>LMIB$</t>
        </is>
      </c>
      <c r="D907" s="48" t="n">
        <v>1000000</v>
      </c>
      <c r="E907" s="48" t="n">
        <v>21530000</v>
      </c>
      <c r="F907" s="49" t="n"/>
    </row>
    <row r="908" ht="15" customHeight="1" s="47">
      <c r="C908" s="42" t="inlineStr">
        <is>
          <t>MMCT%</t>
        </is>
      </c>
      <c r="D908" s="29" t="n">
        <v>0</v>
      </c>
      <c r="E908" s="29" t="n">
        <v>0</v>
      </c>
      <c r="F908" s="31">
        <f>D908-E908</f>
        <v/>
      </c>
    </row>
    <row r="909" ht="15" customHeight="1" s="47">
      <c r="C909" s="42" t="inlineStr">
        <is>
          <t>MINB%</t>
        </is>
      </c>
      <c r="D909" s="29" t="n">
        <v>0.04166666666666666</v>
      </c>
      <c r="E909" s="29" t="n">
        <v>0.02989130434782609</v>
      </c>
      <c r="F909" s="31">
        <f>D909-E909</f>
        <v/>
      </c>
    </row>
    <row r="910" ht="15" customHeight="1" s="47">
      <c r="C910" s="42" t="inlineStr">
        <is>
          <t>Asian%</t>
        </is>
      </c>
      <c r="D910" s="29" t="n">
        <v>0</v>
      </c>
      <c r="E910" s="29" t="n">
        <v>0</v>
      </c>
      <c r="F910" s="31">
        <f>D910-E910</f>
        <v/>
      </c>
    </row>
    <row r="911" ht="15" customHeight="1" s="47">
      <c r="C911" s="42" t="inlineStr">
        <is>
          <t>Black%</t>
        </is>
      </c>
      <c r="D911" s="29" t="n">
        <v>0</v>
      </c>
      <c r="E911" s="29" t="n">
        <v>0</v>
      </c>
      <c r="F911" s="31">
        <f>D911-E911</f>
        <v/>
      </c>
    </row>
    <row r="912" ht="15" customHeight="1" s="47">
      <c r="C912" s="42" t="inlineStr">
        <is>
          <t>Native American%</t>
        </is>
      </c>
      <c r="D912" s="29" t="n">
        <v>0</v>
      </c>
      <c r="E912" s="29" t="n">
        <v>0</v>
      </c>
      <c r="F912" s="31">
        <f>D912-E912</f>
        <v/>
      </c>
    </row>
    <row r="913" ht="15" customHeight="1" s="47">
      <c r="C913" s="42" t="inlineStr">
        <is>
          <t>HoPI%</t>
        </is>
      </c>
      <c r="D913" s="29" t="n">
        <v>0</v>
      </c>
      <c r="E913" s="29" t="n">
        <v>0</v>
      </c>
      <c r="F913" s="31">
        <f>D913-E913</f>
        <v/>
      </c>
    </row>
    <row r="914" ht="15" customHeight="1" s="47">
      <c r="C914" s="42" t="inlineStr">
        <is>
          <t>Hispanic%</t>
        </is>
      </c>
      <c r="D914" s="29" t="n">
        <v>0.04166666666666666</v>
      </c>
      <c r="E914" s="29" t="n">
        <v>0.02989130434782609</v>
      </c>
      <c r="F914" s="31">
        <f>D914-E914</f>
        <v/>
      </c>
    </row>
    <row r="915" ht="15" customHeight="1" s="47">
      <c r="B915" s="42" t="inlineStr">
        <is>
          <t>Indiana Non-MSA</t>
        </is>
      </c>
      <c r="C915" s="42" t="inlineStr">
        <is>
          <t>Loans</t>
        </is>
      </c>
      <c r="D915" s="46" t="n">
        <v>24</v>
      </c>
      <c r="E915" s="25" t="n">
        <v>368</v>
      </c>
    </row>
    <row r="916" ht="15" customHeight="1" s="47">
      <c r="C916" s="42" t="inlineStr">
        <is>
          <t xml:space="preserve">LMICT% </t>
        </is>
      </c>
      <c r="D916" s="29" t="n">
        <v>0.0975609756097561</v>
      </c>
      <c r="E916" s="29" t="n">
        <v>0.1796407185628743</v>
      </c>
      <c r="F916" s="31">
        <f>D916-E916</f>
        <v/>
      </c>
    </row>
    <row r="917" ht="15" customHeight="1" s="47">
      <c r="C917" s="42" t="inlineStr">
        <is>
          <t>LMIB%</t>
        </is>
      </c>
      <c r="D917" s="29" t="n">
        <v>0.3658536585365854</v>
      </c>
      <c r="E917" s="29" t="n">
        <v>0.375748502994012</v>
      </c>
      <c r="F917" s="31">
        <f>D917-E917</f>
        <v/>
      </c>
    </row>
    <row r="918" ht="15" customHeight="1" s="47">
      <c r="C918" s="42" t="inlineStr">
        <is>
          <t>LMIB$</t>
        </is>
      </c>
      <c r="D918" s="48" t="n">
        <v>2335000</v>
      </c>
      <c r="E918" s="48" t="n">
        <v>42485000</v>
      </c>
      <c r="F918" s="49" t="n"/>
    </row>
    <row r="919" ht="15" customHeight="1" s="47">
      <c r="C919" s="42" t="inlineStr">
        <is>
          <t>MMCT%</t>
        </is>
      </c>
      <c r="D919" s="29" t="n">
        <v>0</v>
      </c>
      <c r="E919" s="29" t="n">
        <v>0</v>
      </c>
      <c r="F919" s="31">
        <f>D919-E919</f>
        <v/>
      </c>
    </row>
    <row r="920" ht="15" customHeight="1" s="47">
      <c r="C920" s="42" t="inlineStr">
        <is>
          <t>MINB%</t>
        </is>
      </c>
      <c r="D920" s="29" t="n">
        <v>0.1463414634146341</v>
      </c>
      <c r="E920" s="29" t="n">
        <v>0.125748502994012</v>
      </c>
      <c r="F920" s="31">
        <f>D920-E920</f>
        <v/>
      </c>
    </row>
    <row r="921" ht="15" customHeight="1" s="47">
      <c r="C921" s="42" t="inlineStr">
        <is>
          <t>Asian%</t>
        </is>
      </c>
      <c r="D921" s="29" t="n">
        <v>0</v>
      </c>
      <c r="E921" s="29" t="n">
        <v>0</v>
      </c>
      <c r="F921" s="31">
        <f>D921-E921</f>
        <v/>
      </c>
    </row>
    <row r="922" ht="15" customHeight="1" s="47">
      <c r="C922" s="42" t="inlineStr">
        <is>
          <t>Black%</t>
        </is>
      </c>
      <c r="D922" s="29" t="n">
        <v>0</v>
      </c>
      <c r="E922" s="29" t="n">
        <v>0</v>
      </c>
      <c r="F922" s="31">
        <f>D922-E922</f>
        <v/>
      </c>
    </row>
    <row r="923" ht="15" customHeight="1" s="47">
      <c r="C923" s="42" t="inlineStr">
        <is>
          <t>Native American%</t>
        </is>
      </c>
      <c r="D923" s="29" t="n">
        <v>0</v>
      </c>
      <c r="E923" s="29" t="n">
        <v>0</v>
      </c>
      <c r="F923" s="31">
        <f>D923-E923</f>
        <v/>
      </c>
    </row>
    <row r="924" ht="15" customHeight="1" s="47">
      <c r="C924" s="42" t="inlineStr">
        <is>
          <t>HoPI%</t>
        </is>
      </c>
      <c r="D924" s="29" t="n">
        <v>0</v>
      </c>
      <c r="E924" s="29" t="n">
        <v>0</v>
      </c>
      <c r="F924" s="31">
        <f>D924-E924</f>
        <v/>
      </c>
    </row>
    <row r="925" ht="15" customHeight="1" s="47">
      <c r="C925" s="42" t="inlineStr">
        <is>
          <t>Hispanic%</t>
        </is>
      </c>
      <c r="D925" s="29" t="n">
        <v>0.1463414634146341</v>
      </c>
      <c r="E925" s="29" t="n">
        <v>0.125748502994012</v>
      </c>
      <c r="F925" s="31">
        <f>D925-E925</f>
        <v/>
      </c>
    </row>
    <row r="926" ht="15" customHeight="1" s="47">
      <c r="B926" s="42" t="inlineStr">
        <is>
          <t>Columbus, IN</t>
        </is>
      </c>
      <c r="C926" s="42" t="inlineStr">
        <is>
          <t>Loans</t>
        </is>
      </c>
      <c r="D926" s="46" t="n">
        <v>41</v>
      </c>
      <c r="E926" s="25" t="n">
        <v>668</v>
      </c>
    </row>
    <row r="927" ht="15" customHeight="1" s="47">
      <c r="C927" s="42" t="inlineStr">
        <is>
          <t xml:space="preserve">LMICT% </t>
        </is>
      </c>
      <c r="D927" s="29" t="n">
        <v>0.2011494252873563</v>
      </c>
      <c r="E927" s="29" t="n">
        <v>0.1485411140583554</v>
      </c>
      <c r="F927" s="31">
        <f>D927-E927</f>
        <v/>
      </c>
    </row>
    <row r="928" ht="15" customHeight="1" s="47">
      <c r="C928" s="42" t="inlineStr">
        <is>
          <t>LMIB%</t>
        </is>
      </c>
      <c r="D928" s="29" t="n">
        <v>0.3620689655172413</v>
      </c>
      <c r="E928" s="29" t="n">
        <v>0.4893899204244032</v>
      </c>
      <c r="F928" s="31">
        <f>D928-E928</f>
        <v/>
      </c>
    </row>
    <row r="929" ht="15" customHeight="1" s="47">
      <c r="C929" s="42" t="inlineStr">
        <is>
          <t>LMIB$</t>
        </is>
      </c>
      <c r="D929" s="48" t="n">
        <v>7885000</v>
      </c>
      <c r="E929" s="48" t="n">
        <v>51085000</v>
      </c>
      <c r="F929" s="49" t="n"/>
    </row>
    <row r="930" ht="15" customHeight="1" s="47">
      <c r="C930" s="42" t="inlineStr">
        <is>
          <t>MMCT%</t>
        </is>
      </c>
      <c r="D930" s="29" t="n">
        <v>0</v>
      </c>
      <c r="E930" s="29" t="n">
        <v>0</v>
      </c>
      <c r="F930" s="31">
        <f>D930-E930</f>
        <v/>
      </c>
    </row>
    <row r="931" ht="15" customHeight="1" s="47">
      <c r="C931" s="42" t="inlineStr">
        <is>
          <t>MINB%</t>
        </is>
      </c>
      <c r="D931" s="29" t="n">
        <v>0.04022988505747126</v>
      </c>
      <c r="E931" s="29" t="n">
        <v>0.04111405835543767</v>
      </c>
      <c r="F931" s="31">
        <f>D931-E931</f>
        <v/>
      </c>
    </row>
    <row r="932" ht="15" customHeight="1" s="47">
      <c r="C932" s="42" t="inlineStr">
        <is>
          <t>Asian%</t>
        </is>
      </c>
      <c r="D932" s="29" t="n">
        <v>0</v>
      </c>
      <c r="E932" s="29" t="n">
        <v>0</v>
      </c>
      <c r="F932" s="31">
        <f>D932-E932</f>
        <v/>
      </c>
    </row>
    <row r="933" ht="15" customHeight="1" s="47">
      <c r="C933" s="42" t="inlineStr">
        <is>
          <t>Black%</t>
        </is>
      </c>
      <c r="D933" s="29" t="n">
        <v>0</v>
      </c>
      <c r="E933" s="29" t="n">
        <v>0</v>
      </c>
      <c r="F933" s="31">
        <f>D933-E933</f>
        <v/>
      </c>
    </row>
    <row r="934" ht="15" customHeight="1" s="47">
      <c r="C934" s="42" t="inlineStr">
        <is>
          <t>Native American%</t>
        </is>
      </c>
      <c r="D934" s="29" t="n">
        <v>0</v>
      </c>
      <c r="E934" s="29" t="n">
        <v>0</v>
      </c>
      <c r="F934" s="31">
        <f>D934-E934</f>
        <v/>
      </c>
    </row>
    <row r="935" ht="15" customHeight="1" s="47">
      <c r="C935" s="42" t="inlineStr">
        <is>
          <t>HoPI%</t>
        </is>
      </c>
      <c r="D935" s="29" t="n">
        <v>0</v>
      </c>
      <c r="E935" s="29" t="n">
        <v>0</v>
      </c>
      <c r="F935" s="31">
        <f>D935-E935</f>
        <v/>
      </c>
    </row>
    <row r="936" ht="15" customHeight="1" s="47">
      <c r="C936" s="42" t="inlineStr">
        <is>
          <t>Hispanic%</t>
        </is>
      </c>
      <c r="D936" s="29" t="n">
        <v>0.04022988505747126</v>
      </c>
      <c r="E936" s="29" t="n">
        <v>0.04111405835543767</v>
      </c>
      <c r="F936" s="31">
        <f>D936-E936</f>
        <v/>
      </c>
    </row>
    <row r="937" ht="15" customHeight="1" s="47">
      <c r="B937" s="42" t="inlineStr">
        <is>
          <t>Indiana Non-MSA</t>
        </is>
      </c>
      <c r="C937" s="42" t="inlineStr">
        <is>
          <t>Loans</t>
        </is>
      </c>
      <c r="D937" s="46" t="n">
        <v>174</v>
      </c>
      <c r="E937" s="25" t="n">
        <v>754</v>
      </c>
    </row>
    <row r="938" ht="15" customHeight="1" s="47">
      <c r="C938" s="42" t="inlineStr">
        <is>
          <t xml:space="preserve">LMICT% </t>
        </is>
      </c>
      <c r="D938" s="29" t="n">
        <v>0.09375</v>
      </c>
      <c r="E938" s="29" t="n">
        <v>0.1267748478701826</v>
      </c>
      <c r="F938" s="31">
        <f>D938-E938</f>
        <v/>
      </c>
    </row>
    <row r="939" ht="15" customHeight="1" s="47">
      <c r="C939" s="42" t="inlineStr">
        <is>
          <t>LMIB%</t>
        </is>
      </c>
      <c r="D939" s="29" t="n">
        <v>0.40625</v>
      </c>
      <c r="E939" s="29" t="n">
        <v>0.3529411764705883</v>
      </c>
      <c r="F939" s="31">
        <f>D939-E939</f>
        <v/>
      </c>
    </row>
    <row r="940" ht="15" customHeight="1" s="47">
      <c r="C940" s="42" t="inlineStr">
        <is>
          <t>LMIB$</t>
        </is>
      </c>
      <c r="D940" s="48" t="n">
        <v>1605000</v>
      </c>
      <c r="E940" s="48" t="n">
        <v>53010000</v>
      </c>
      <c r="F940" s="31" t="n"/>
    </row>
    <row r="941" ht="15" customHeight="1" s="47">
      <c r="C941" s="42" t="inlineStr">
        <is>
          <t>MMCT%</t>
        </is>
      </c>
      <c r="D941" s="29" t="n">
        <v>0.0625</v>
      </c>
      <c r="E941" s="29" t="n">
        <v>0.08417849898580122</v>
      </c>
      <c r="F941" s="31">
        <f>D941-E941</f>
        <v/>
      </c>
    </row>
    <row r="942" ht="15" customHeight="1" s="47">
      <c r="C942" s="42" t="inlineStr">
        <is>
          <t>MINB%</t>
        </is>
      </c>
      <c r="D942" s="29" t="n">
        <v>0.125</v>
      </c>
      <c r="E942" s="29" t="n">
        <v>0.1328600405679513</v>
      </c>
      <c r="F942" s="31">
        <f>D942-E942</f>
        <v/>
      </c>
    </row>
    <row r="943" ht="15" customHeight="1" s="47">
      <c r="C943" s="42" t="inlineStr">
        <is>
          <t>Asian%</t>
        </is>
      </c>
      <c r="D943" s="29" t="n">
        <v>0</v>
      </c>
      <c r="E943" s="29" t="n">
        <v>0</v>
      </c>
      <c r="F943" s="31">
        <f>D943-E943</f>
        <v/>
      </c>
    </row>
    <row r="944" ht="15" customHeight="1" s="47">
      <c r="C944" s="42" t="inlineStr">
        <is>
          <t>Black%</t>
        </is>
      </c>
      <c r="D944" s="29" t="n">
        <v>0</v>
      </c>
      <c r="E944" s="29" t="n">
        <v>0</v>
      </c>
      <c r="F944" s="31">
        <f>D944-E944</f>
        <v/>
      </c>
    </row>
    <row r="945" ht="15" customHeight="1" s="47">
      <c r="C945" s="42" t="inlineStr">
        <is>
          <t>Native American%</t>
        </is>
      </c>
      <c r="D945" s="29" t="n">
        <v>0</v>
      </c>
      <c r="E945" s="29" t="n">
        <v>0</v>
      </c>
      <c r="F945" s="31">
        <f>D945-E945</f>
        <v/>
      </c>
    </row>
    <row r="946" ht="15" customHeight="1" s="47">
      <c r="C946" s="42" t="inlineStr">
        <is>
          <t>HoPI%</t>
        </is>
      </c>
      <c r="D946" s="29" t="n">
        <v>0</v>
      </c>
      <c r="E946" s="29" t="n">
        <v>0</v>
      </c>
      <c r="F946" s="31">
        <f>D946-E946</f>
        <v/>
      </c>
    </row>
    <row r="947" ht="15" customHeight="1" s="47">
      <c r="C947" s="42" t="inlineStr">
        <is>
          <t>Hispanic%</t>
        </is>
      </c>
      <c r="D947" s="29" t="n">
        <v>0.125</v>
      </c>
      <c r="E947" s="29" t="n">
        <v>0.1328600405679513</v>
      </c>
      <c r="F947" s="31">
        <f>D947-E947</f>
        <v/>
      </c>
    </row>
    <row r="948" ht="15" customHeight="1" s="47">
      <c r="A948" s="46" t="inlineStr">
        <is>
          <t>Missouri</t>
        </is>
      </c>
      <c r="B948" s="42" t="inlineStr">
        <is>
          <t>Elkhart-Goshen, IN</t>
        </is>
      </c>
      <c r="C948" s="42" t="inlineStr">
        <is>
          <t>Loans</t>
        </is>
      </c>
      <c r="D948" s="46" t="n">
        <v>32</v>
      </c>
      <c r="E948" s="25" t="n">
        <v>986</v>
      </c>
    </row>
    <row r="949" ht="15" customHeight="1" s="47">
      <c r="C949" s="42" t="inlineStr">
        <is>
          <t xml:space="preserve">LMICT% </t>
        </is>
      </c>
      <c r="D949" s="29" t="n">
        <v>0.1898305084745763</v>
      </c>
      <c r="E949" s="29" t="n">
        <v>0.1842768129391489</v>
      </c>
      <c r="F949" s="31">
        <f>D949-E949</f>
        <v/>
      </c>
    </row>
    <row r="950" ht="15" customHeight="1" s="47">
      <c r="C950" s="42" t="inlineStr">
        <is>
          <t>LMIB%</t>
        </is>
      </c>
      <c r="D950" s="29" t="n">
        <v>0.4440677966101695</v>
      </c>
      <c r="E950" s="29" t="n">
        <v>0.42410181625348</v>
      </c>
      <c r="F950" s="31">
        <f>D950-E950</f>
        <v/>
      </c>
    </row>
    <row r="951" ht="15" customHeight="1" s="47">
      <c r="C951" s="42" t="inlineStr">
        <is>
          <t>LMIB$</t>
        </is>
      </c>
      <c r="D951" s="48" t="n">
        <v>17885000</v>
      </c>
      <c r="E951" s="48" t="n">
        <v>461905000</v>
      </c>
      <c r="F951" s="49" t="n"/>
    </row>
    <row r="952" ht="15" customHeight="1" s="47">
      <c r="C952" s="42" t="inlineStr">
        <is>
          <t>MMCT%</t>
        </is>
      </c>
      <c r="D952" s="29" t="n">
        <v>0.0576271186440678</v>
      </c>
      <c r="E952" s="29" t="n">
        <v>0.07410844491581599</v>
      </c>
      <c r="F952" s="31">
        <f>D952-E952</f>
        <v/>
      </c>
    </row>
    <row r="953" ht="15" customHeight="1" s="47">
      <c r="C953" s="42" t="inlineStr">
        <is>
          <t>MINB%</t>
        </is>
      </c>
      <c r="D953" s="29" t="n">
        <v>0.05084745762711865</v>
      </c>
      <c r="E953" s="29" t="n">
        <v>0.07344557868222193</v>
      </c>
      <c r="F953" s="31">
        <f>D953-E953</f>
        <v/>
      </c>
    </row>
    <row r="954" ht="15" customHeight="1" s="47">
      <c r="C954" s="42" t="inlineStr">
        <is>
          <t>Asian%</t>
        </is>
      </c>
      <c r="D954" s="29" t="n">
        <v>0</v>
      </c>
      <c r="E954" s="29" t="n">
        <v>0</v>
      </c>
      <c r="F954" s="31">
        <f>D954-E954</f>
        <v/>
      </c>
    </row>
    <row r="955" ht="15" customHeight="1" s="47">
      <c r="C955" s="42" t="inlineStr">
        <is>
          <t>Black%</t>
        </is>
      </c>
      <c r="D955" s="29" t="n">
        <v>0</v>
      </c>
      <c r="E955" s="29" t="n">
        <v>0</v>
      </c>
      <c r="F955" s="31">
        <f>D955-E955</f>
        <v/>
      </c>
    </row>
    <row r="956" ht="15" customHeight="1" s="47">
      <c r="C956" s="42" t="inlineStr">
        <is>
          <t>Native American%</t>
        </is>
      </c>
      <c r="D956" s="29" t="n">
        <v>0</v>
      </c>
      <c r="E956" s="29" t="n">
        <v>0</v>
      </c>
      <c r="F956" s="31">
        <f>D956-E956</f>
        <v/>
      </c>
    </row>
    <row r="957" ht="15" customHeight="1" s="47">
      <c r="C957" s="42" t="inlineStr">
        <is>
          <t>HoPI%</t>
        </is>
      </c>
      <c r="D957" s="29" t="n">
        <v>0</v>
      </c>
      <c r="E957" s="29" t="n">
        <v>0</v>
      </c>
      <c r="F957" s="31">
        <f>D957-E957</f>
        <v/>
      </c>
    </row>
    <row r="958" ht="15" customHeight="1" s="47">
      <c r="C958" s="42" t="inlineStr">
        <is>
          <t>Hispanic%</t>
        </is>
      </c>
      <c r="D958" s="29" t="n">
        <v>0.05084745762711865</v>
      </c>
      <c r="E958" s="29" t="n">
        <v>0.07344557868222193</v>
      </c>
      <c r="F958" s="31">
        <f>D958-E958</f>
        <v/>
      </c>
    </row>
    <row r="959" ht="15" customHeight="1" s="47">
      <c r="B959" s="42" t="inlineStr">
        <is>
          <t>Fort Wayne, IN</t>
        </is>
      </c>
      <c r="C959" s="42" t="inlineStr">
        <is>
          <t>Loans</t>
        </is>
      </c>
      <c r="D959" s="46" t="n">
        <v>295</v>
      </c>
      <c r="E959" s="25" t="n">
        <v>7543</v>
      </c>
    </row>
    <row r="960" ht="15" customHeight="1" s="47">
      <c r="C960" s="42" t="inlineStr">
        <is>
          <t xml:space="preserve">LMICT% </t>
        </is>
      </c>
      <c r="D960" s="29" t="n">
        <v>0.09090909090909091</v>
      </c>
      <c r="E960" s="29" t="n">
        <v>0.1284403669724771</v>
      </c>
      <c r="F960" s="31">
        <f>D960-E960</f>
        <v/>
      </c>
    </row>
    <row r="961" ht="15" customHeight="1" s="47">
      <c r="C961" s="42" t="inlineStr">
        <is>
          <t>LMIB%</t>
        </is>
      </c>
      <c r="D961" s="29" t="n">
        <v>0.4848484848484849</v>
      </c>
      <c r="E961" s="29" t="n">
        <v>0.4862385321100918</v>
      </c>
      <c r="F961" s="31">
        <f>D961-E961</f>
        <v/>
      </c>
    </row>
    <row r="962" ht="15" customHeight="1" s="47">
      <c r="C962" s="42" t="inlineStr">
        <is>
          <t>LMIB$</t>
        </is>
      </c>
      <c r="D962" s="48" t="n">
        <v>1930000</v>
      </c>
      <c r="E962" s="48" t="n">
        <v>38240000</v>
      </c>
      <c r="F962" s="49" t="n"/>
    </row>
    <row r="963" ht="15" customHeight="1" s="47">
      <c r="C963" s="42" t="inlineStr">
        <is>
          <t>MMCT%</t>
        </is>
      </c>
      <c r="D963" s="29" t="n">
        <v>0</v>
      </c>
      <c r="E963" s="29" t="n">
        <v>0</v>
      </c>
      <c r="F963" s="31">
        <f>D963-E963</f>
        <v/>
      </c>
    </row>
    <row r="964" ht="15" customHeight="1" s="47">
      <c r="C964" s="42" t="inlineStr">
        <is>
          <t>MINB%</t>
        </is>
      </c>
      <c r="D964" s="29" t="n">
        <v>0.06060606060606061</v>
      </c>
      <c r="E964" s="29" t="n">
        <v>0.03058103975535168</v>
      </c>
      <c r="F964" s="31">
        <f>D964-E964</f>
        <v/>
      </c>
    </row>
    <row r="965" ht="15" customHeight="1" s="47">
      <c r="C965" s="42" t="inlineStr">
        <is>
          <t>Asian%</t>
        </is>
      </c>
      <c r="D965" s="29" t="n">
        <v>0</v>
      </c>
      <c r="E965" s="29" t="n">
        <v>0</v>
      </c>
      <c r="F965" s="31">
        <f>D965-E965</f>
        <v/>
      </c>
    </row>
    <row r="966" ht="15" customHeight="1" s="47">
      <c r="C966" s="42" t="inlineStr">
        <is>
          <t>Black%</t>
        </is>
      </c>
      <c r="D966" s="29" t="n">
        <v>0</v>
      </c>
      <c r="E966" s="29" t="n">
        <v>0</v>
      </c>
      <c r="F966" s="31">
        <f>D966-E966</f>
        <v/>
      </c>
    </row>
    <row r="967" ht="15" customHeight="1" s="47">
      <c r="C967" s="42" t="inlineStr">
        <is>
          <t>Native American%</t>
        </is>
      </c>
      <c r="D967" s="29" t="n">
        <v>0</v>
      </c>
      <c r="E967" s="29" t="n">
        <v>0</v>
      </c>
      <c r="F967" s="31">
        <f>D967-E967</f>
        <v/>
      </c>
    </row>
    <row r="968" ht="15" customHeight="1" s="47">
      <c r="C968" s="42" t="inlineStr">
        <is>
          <t>HoPI%</t>
        </is>
      </c>
      <c r="D968" s="29" t="n">
        <v>0</v>
      </c>
      <c r="E968" s="29" t="n">
        <v>0</v>
      </c>
      <c r="F968" s="31">
        <f>D968-E968</f>
        <v/>
      </c>
    </row>
    <row r="969" ht="15" customHeight="1" s="47">
      <c r="C969" s="42" t="inlineStr">
        <is>
          <t>Hispanic%</t>
        </is>
      </c>
      <c r="D969" s="29" t="n">
        <v>0.06060606060606061</v>
      </c>
      <c r="E969" s="29" t="n">
        <v>0.03058103975535168</v>
      </c>
      <c r="F969" s="31">
        <f>D969-E969</f>
        <v/>
      </c>
    </row>
    <row r="970" ht="15" customHeight="1" s="47">
      <c r="A970" s="46" t="inlineStr">
        <is>
          <t>New Jersey</t>
        </is>
      </c>
      <c r="B970" s="42" t="inlineStr">
        <is>
          <t>Indiana Non-MSA</t>
        </is>
      </c>
      <c r="C970" s="42" t="inlineStr">
        <is>
          <t>Loans</t>
        </is>
      </c>
      <c r="D970" s="46" t="n">
        <v>33</v>
      </c>
      <c r="E970" s="25" t="n">
        <v>654</v>
      </c>
    </row>
    <row r="971" ht="15" customHeight="1" s="47">
      <c r="C971" s="42" t="inlineStr">
        <is>
          <t xml:space="preserve">LMICT% </t>
        </is>
      </c>
      <c r="D971" s="29" t="n">
        <v>0.2141527001862197</v>
      </c>
      <c r="E971" s="29" t="n">
        <v>0.2107490283559092</v>
      </c>
      <c r="F971" s="31">
        <f>D971-E971</f>
        <v/>
      </c>
    </row>
    <row r="972" ht="15" customHeight="1" s="47">
      <c r="C972" s="42" t="inlineStr">
        <is>
          <t>LMIB%</t>
        </is>
      </c>
      <c r="D972" s="29" t="n">
        <v>0.4068901303538175</v>
      </c>
      <c r="E972" s="29" t="n">
        <v>0.3997424280753398</v>
      </c>
      <c r="F972" s="31">
        <f>D972-E972</f>
        <v/>
      </c>
    </row>
    <row r="973" ht="15" customHeight="1" s="47">
      <c r="C973" s="42" t="inlineStr">
        <is>
          <t>LMIB$</t>
        </is>
      </c>
      <c r="D973" s="48" t="n">
        <v>67135000</v>
      </c>
      <c r="E973" s="48" t="n">
        <v>3133120000</v>
      </c>
      <c r="F973" s="49" t="n"/>
    </row>
    <row r="974" ht="15" customHeight="1" s="47">
      <c r="C974" s="42" t="inlineStr">
        <is>
          <t>MMCT%</t>
        </is>
      </c>
      <c r="D974" s="29" t="n">
        <v>0.08007448789571696</v>
      </c>
      <c r="E974" s="29" t="n">
        <v>0.113101671917761</v>
      </c>
      <c r="F974" s="31">
        <f>D974-E974</f>
        <v/>
      </c>
    </row>
    <row r="975" ht="15" customHeight="1" s="47">
      <c r="C975" s="42" t="inlineStr">
        <is>
          <t>MINB%</t>
        </is>
      </c>
      <c r="D975" s="29" t="n">
        <v>0.06052141527001862</v>
      </c>
      <c r="E975" s="29" t="n">
        <v>0.07423590828599683</v>
      </c>
      <c r="F975" s="31">
        <f>D975-E975</f>
        <v/>
      </c>
    </row>
    <row r="976" ht="15" customHeight="1" s="47">
      <c r="C976" s="42" t="inlineStr">
        <is>
          <t>Asian%</t>
        </is>
      </c>
      <c r="D976" s="29" t="n">
        <v>0</v>
      </c>
      <c r="E976" s="29" t="n">
        <v>0</v>
      </c>
      <c r="F976" s="31">
        <f>D976-E976</f>
        <v/>
      </c>
    </row>
    <row r="977" ht="15" customHeight="1" s="47">
      <c r="C977" s="42" t="inlineStr">
        <is>
          <t>Black%</t>
        </is>
      </c>
      <c r="D977" s="29" t="n">
        <v>0</v>
      </c>
      <c r="E977" s="29" t="n">
        <v>0</v>
      </c>
      <c r="F977" s="31">
        <f>D977-E977</f>
        <v/>
      </c>
    </row>
    <row r="978" ht="15" customHeight="1" s="47">
      <c r="C978" s="42" t="inlineStr">
        <is>
          <t>Native American%</t>
        </is>
      </c>
      <c r="D978" s="29" t="n">
        <v>0</v>
      </c>
      <c r="E978" s="29" t="n">
        <v>0</v>
      </c>
      <c r="F978" s="31">
        <f>D978-E978</f>
        <v/>
      </c>
    </row>
    <row r="979" ht="15" customHeight="1" s="47">
      <c r="C979" s="42" t="inlineStr">
        <is>
          <t>HoPI%</t>
        </is>
      </c>
      <c r="D979" s="29" t="n">
        <v>0</v>
      </c>
      <c r="E979" s="29" t="n">
        <v>0</v>
      </c>
      <c r="F979" s="31">
        <f>D979-E979</f>
        <v/>
      </c>
    </row>
    <row r="980" ht="15" customHeight="1" s="47">
      <c r="C980" s="42" t="inlineStr">
        <is>
          <t>Hispanic%</t>
        </is>
      </c>
      <c r="D980" s="29" t="n">
        <v>0.06052141527001862</v>
      </c>
      <c r="E980" s="29" t="n">
        <v>0.07423590828599683</v>
      </c>
      <c r="F980" s="31">
        <f>D980-E980</f>
        <v/>
      </c>
    </row>
    <row r="981" ht="15" customHeight="1" s="47">
      <c r="B981" s="42" t="inlineStr">
        <is>
          <t>Indianapolis-Carmel-Anderson, IN</t>
        </is>
      </c>
      <c r="C981" s="42" t="inlineStr">
        <is>
          <t>Loans</t>
        </is>
      </c>
      <c r="D981" s="46" t="n">
        <v>1074</v>
      </c>
      <c r="E981" s="25" t="n">
        <v>43483</v>
      </c>
    </row>
    <row r="982" ht="15" customHeight="1" s="47">
      <c r="C982" s="42" t="inlineStr">
        <is>
          <t xml:space="preserve">LMICT% </t>
        </is>
      </c>
      <c r="D982" s="29" t="n">
        <v>0.2241379310344828</v>
      </c>
      <c r="E982" s="29" t="n">
        <v>0.1681922196796339</v>
      </c>
      <c r="F982" s="31">
        <f>D982-E982</f>
        <v/>
      </c>
    </row>
    <row r="983" ht="15" customHeight="1" s="47">
      <c r="C983" s="42" t="inlineStr">
        <is>
          <t>LMIB%</t>
        </is>
      </c>
      <c r="D983" s="29" t="n">
        <v>0.396551724137931</v>
      </c>
      <c r="E983" s="29" t="n">
        <v>0.4233409610983982</v>
      </c>
      <c r="F983" s="31">
        <f>D983-E983</f>
        <v/>
      </c>
    </row>
    <row r="984" ht="15" customHeight="1" s="47">
      <c r="C984" s="42" t="inlineStr">
        <is>
          <t>LMIB$</t>
        </is>
      </c>
      <c r="D984" s="48" t="n">
        <v>2255000</v>
      </c>
      <c r="E984" s="48" t="n">
        <v>41790000</v>
      </c>
      <c r="F984" s="49" t="n"/>
    </row>
    <row r="985" ht="15" customHeight="1" s="47">
      <c r="C985" s="42" t="inlineStr">
        <is>
          <t>MMCT%</t>
        </is>
      </c>
      <c r="D985" s="29" t="n">
        <v>0.01724137931034483</v>
      </c>
      <c r="E985" s="29" t="n">
        <v>0.02517162471395881</v>
      </c>
      <c r="F985" s="31">
        <f>D985-E985</f>
        <v/>
      </c>
    </row>
    <row r="986" ht="15" customHeight="1" s="47">
      <c r="C986" s="42" t="inlineStr">
        <is>
          <t>MINB%</t>
        </is>
      </c>
      <c r="D986" s="29" t="n">
        <v>0.08620689655172414</v>
      </c>
      <c r="E986" s="29" t="n">
        <v>0.04118993135011442</v>
      </c>
      <c r="F986" s="31">
        <f>D986-E986</f>
        <v/>
      </c>
    </row>
    <row r="987" ht="15" customHeight="1" s="47">
      <c r="C987" s="42" t="inlineStr">
        <is>
          <t>Asian%</t>
        </is>
      </c>
      <c r="D987" s="29" t="n">
        <v>0</v>
      </c>
      <c r="E987" s="29" t="n">
        <v>0</v>
      </c>
      <c r="F987" s="31">
        <f>D987-E987</f>
        <v/>
      </c>
    </row>
    <row r="988" ht="15" customHeight="1" s="47">
      <c r="C988" s="42" t="inlineStr">
        <is>
          <t>Black%</t>
        </is>
      </c>
      <c r="D988" s="29" t="n">
        <v>0</v>
      </c>
      <c r="E988" s="29" t="n">
        <v>0</v>
      </c>
      <c r="F988" s="31">
        <f>D988-E988</f>
        <v/>
      </c>
    </row>
    <row r="989" ht="15" customHeight="1" s="47">
      <c r="C989" s="42" t="inlineStr">
        <is>
          <t>Native American%</t>
        </is>
      </c>
      <c r="D989" s="29" t="n">
        <v>0</v>
      </c>
      <c r="E989" s="29" t="n">
        <v>0</v>
      </c>
      <c r="F989" s="31">
        <f>D989-E989</f>
        <v/>
      </c>
    </row>
    <row r="990" ht="15" customHeight="1" s="47">
      <c r="C990" s="42" t="inlineStr">
        <is>
          <t>HoPI%</t>
        </is>
      </c>
      <c r="D990" s="29" t="n">
        <v>0</v>
      </c>
      <c r="E990" s="29" t="n">
        <v>0</v>
      </c>
      <c r="F990" s="31">
        <f>D990-E990</f>
        <v/>
      </c>
    </row>
    <row r="991" ht="15" customHeight="1" s="47">
      <c r="C991" s="42" t="inlineStr">
        <is>
          <t>Hispanic%</t>
        </is>
      </c>
      <c r="D991" s="29" t="n">
        <v>0.08620689655172414</v>
      </c>
      <c r="E991" s="29" t="n">
        <v>0.04118993135011442</v>
      </c>
      <c r="F991" s="31">
        <f>D991-E991</f>
        <v/>
      </c>
    </row>
    <row r="992" ht="15" customHeight="1" s="47">
      <c r="B992" s="42" t="inlineStr">
        <is>
          <t>Kokomo, IN</t>
        </is>
      </c>
      <c r="C992" s="42" t="inlineStr">
        <is>
          <t>Loans</t>
        </is>
      </c>
      <c r="D992" s="25" t="n">
        <v>58</v>
      </c>
      <c r="E992" s="25" t="n">
        <v>874</v>
      </c>
    </row>
    <row r="993" ht="15" customHeight="1" s="47">
      <c r="C993" s="42" t="inlineStr">
        <is>
          <t xml:space="preserve">LMICT% </t>
        </is>
      </c>
      <c r="D993" s="29" t="n">
        <v>0</v>
      </c>
      <c r="E993" s="29" t="n">
        <v>0.1379310344827586</v>
      </c>
      <c r="F993" s="31">
        <f>D993-E993</f>
        <v/>
      </c>
    </row>
    <row r="994" ht="15" customHeight="1" s="47">
      <c r="C994" s="42" t="inlineStr">
        <is>
          <t>LMIB%</t>
        </is>
      </c>
      <c r="D994" s="29" t="n">
        <v>0.25</v>
      </c>
      <c r="E994" s="29" t="n">
        <v>0.2717241379310345</v>
      </c>
      <c r="F994" s="31">
        <f>D994-E994</f>
        <v/>
      </c>
    </row>
    <row r="995" ht="15" customHeight="1" s="47">
      <c r="C995" s="42" t="inlineStr">
        <is>
          <t>LMIB$</t>
        </is>
      </c>
      <c r="D995" s="48" t="n">
        <v>1490000</v>
      </c>
      <c r="E995" s="48" t="n">
        <v>32465000</v>
      </c>
      <c r="F995" s="49" t="n"/>
    </row>
    <row r="996" ht="15" customHeight="1" s="47">
      <c r="C996" s="42" t="inlineStr">
        <is>
          <t>MMCT%</t>
        </is>
      </c>
      <c r="D996" s="29" t="n">
        <v>0</v>
      </c>
      <c r="E996" s="29" t="n">
        <v>0.002758620689655172</v>
      </c>
      <c r="F996" s="31">
        <f>D996-E996</f>
        <v/>
      </c>
    </row>
    <row r="997" ht="15" customHeight="1" s="47">
      <c r="C997" s="42" t="inlineStr">
        <is>
          <t>MINB%</t>
        </is>
      </c>
      <c r="D997" s="29" t="n">
        <v>0.125</v>
      </c>
      <c r="E997" s="29" t="n">
        <v>0.07448275862068965</v>
      </c>
      <c r="F997" s="31">
        <f>D997-E997</f>
        <v/>
      </c>
    </row>
    <row r="998" ht="15" customHeight="1" s="47">
      <c r="C998" s="42" t="inlineStr">
        <is>
          <t>Asian%</t>
        </is>
      </c>
      <c r="D998" s="29" t="n">
        <v>0</v>
      </c>
      <c r="E998" s="29" t="n">
        <v>0</v>
      </c>
      <c r="F998" s="31">
        <f>D998-E998</f>
        <v/>
      </c>
    </row>
    <row r="999" ht="15" customHeight="1" s="47">
      <c r="C999" s="42" t="inlineStr">
        <is>
          <t>Black%</t>
        </is>
      </c>
      <c r="D999" s="29" t="n">
        <v>0</v>
      </c>
      <c r="E999" s="29" t="n">
        <v>0</v>
      </c>
      <c r="F999" s="31">
        <f>D999-E999</f>
        <v/>
      </c>
    </row>
    <row r="1000" ht="15" customHeight="1" s="47">
      <c r="C1000" s="42" t="inlineStr">
        <is>
          <t>Native American%</t>
        </is>
      </c>
      <c r="D1000" s="29" t="n">
        <v>0</v>
      </c>
      <c r="E1000" s="29" t="n">
        <v>0</v>
      </c>
      <c r="F1000" s="31">
        <f>D1000-E1000</f>
        <v/>
      </c>
    </row>
    <row r="1001" ht="15" customHeight="1" s="47">
      <c r="C1001" s="42" t="inlineStr">
        <is>
          <t>HoPI%</t>
        </is>
      </c>
      <c r="D1001" s="29" t="n">
        <v>0</v>
      </c>
      <c r="E1001" s="29" t="n">
        <v>0</v>
      </c>
      <c r="F1001" s="31">
        <f>D1001-E1001</f>
        <v/>
      </c>
    </row>
    <row r="1002" ht="15" customHeight="1" s="47">
      <c r="C1002" s="42" t="inlineStr">
        <is>
          <t>Hispanic%</t>
        </is>
      </c>
      <c r="D1002" s="29" t="n">
        <v>0.125</v>
      </c>
      <c r="E1002" s="29" t="n">
        <v>0.07448275862068965</v>
      </c>
      <c r="F1002" s="31">
        <f>D1002-E1002</f>
        <v/>
      </c>
    </row>
    <row r="1003" ht="15" customHeight="1" s="47">
      <c r="B1003" s="42" t="inlineStr">
        <is>
          <t>Lafayette-West Lafayette, IN</t>
        </is>
      </c>
      <c r="C1003" s="42" t="inlineStr">
        <is>
          <t>Loans</t>
        </is>
      </c>
      <c r="D1003" s="46" t="n">
        <v>24</v>
      </c>
      <c r="E1003" s="25" t="n">
        <v>725</v>
      </c>
    </row>
    <row r="1004" ht="15" customHeight="1" s="47">
      <c r="C1004" s="42" t="inlineStr">
        <is>
          <t xml:space="preserve">LMICT% </t>
        </is>
      </c>
      <c r="D1004" s="29" t="n">
        <v>0.3333333333333333</v>
      </c>
      <c r="E1004" s="29" t="n">
        <v>0.181360201511335</v>
      </c>
      <c r="F1004" s="31">
        <f>D1004-E1004</f>
        <v/>
      </c>
    </row>
    <row r="1005" ht="15" customHeight="1" s="47">
      <c r="C1005" s="42" t="inlineStr">
        <is>
          <t>LMIB%</t>
        </is>
      </c>
      <c r="D1005" s="29" t="n">
        <v>0.8055555555555556</v>
      </c>
      <c r="E1005" s="29" t="n">
        <v>0.5365239294710328</v>
      </c>
      <c r="F1005" s="31">
        <f>D1005-E1005</f>
        <v/>
      </c>
    </row>
    <row r="1006" ht="15" customHeight="1" s="47">
      <c r="C1006" s="42" t="inlineStr">
        <is>
          <t>LMIB$</t>
        </is>
      </c>
      <c r="D1006" s="48" t="n">
        <v>2795000</v>
      </c>
      <c r="E1006" s="48" t="n">
        <v>24185000</v>
      </c>
      <c r="F1006" s="49" t="n"/>
    </row>
    <row r="1007" ht="15" customHeight="1" s="47">
      <c r="C1007" s="42" t="inlineStr">
        <is>
          <t>MMCT%</t>
        </is>
      </c>
      <c r="D1007" s="29" t="n">
        <v>0</v>
      </c>
      <c r="E1007" s="29" t="n">
        <v>0.04785894206549118</v>
      </c>
      <c r="F1007" s="31">
        <f>D1007-E1007</f>
        <v/>
      </c>
    </row>
    <row r="1008" ht="15" customHeight="1" s="47">
      <c r="C1008" s="42" t="inlineStr">
        <is>
          <t>MINB%</t>
        </is>
      </c>
      <c r="D1008" s="29" t="n">
        <v>0.4444444444444444</v>
      </c>
      <c r="E1008" s="29" t="n">
        <v>0.1057934508816121</v>
      </c>
      <c r="F1008" s="31">
        <f>D1008-E1008</f>
        <v/>
      </c>
    </row>
    <row r="1009" ht="15" customHeight="1" s="47">
      <c r="C1009" s="42" t="inlineStr">
        <is>
          <t>Asian%</t>
        </is>
      </c>
      <c r="D1009" s="29" t="n">
        <v>0</v>
      </c>
      <c r="E1009" s="29" t="n">
        <v>0</v>
      </c>
      <c r="F1009" s="31">
        <f>D1009-E1009</f>
        <v/>
      </c>
    </row>
    <row r="1010" ht="15" customHeight="1" s="47">
      <c r="C1010" s="42" t="inlineStr">
        <is>
          <t>Black%</t>
        </is>
      </c>
      <c r="D1010" s="29" t="n">
        <v>0</v>
      </c>
      <c r="E1010" s="29" t="n">
        <v>0</v>
      </c>
      <c r="F1010" s="31">
        <f>D1010-E1010</f>
        <v/>
      </c>
    </row>
    <row r="1011" ht="15" customHeight="1" s="47">
      <c r="C1011" s="42" t="inlineStr">
        <is>
          <t>Native American%</t>
        </is>
      </c>
      <c r="D1011" s="29" t="n">
        <v>0</v>
      </c>
      <c r="E1011" s="29" t="n">
        <v>0</v>
      </c>
      <c r="F1011" s="31">
        <f>D1011-E1011</f>
        <v/>
      </c>
    </row>
    <row r="1012" ht="15" customHeight="1" s="47">
      <c r="C1012" s="42" t="inlineStr">
        <is>
          <t>HoPI%</t>
        </is>
      </c>
      <c r="D1012" s="29" t="n">
        <v>0</v>
      </c>
      <c r="E1012" s="29" t="n">
        <v>0</v>
      </c>
      <c r="F1012" s="31">
        <f>D1012-E1012</f>
        <v/>
      </c>
    </row>
    <row r="1013" ht="15" customHeight="1" s="47">
      <c r="C1013" s="42" t="inlineStr">
        <is>
          <t>Hispanic%</t>
        </is>
      </c>
      <c r="D1013" s="29" t="n">
        <v>0.4444444444444444</v>
      </c>
      <c r="E1013" s="29" t="n">
        <v>0.1057934508816121</v>
      </c>
      <c r="F1013" s="31">
        <f>D1013-E1013</f>
        <v/>
      </c>
    </row>
    <row r="1014" ht="15" customHeight="1" s="47">
      <c r="B1014" s="42" t="inlineStr">
        <is>
          <t>Indiana Non-MSA</t>
        </is>
      </c>
      <c r="C1014" s="42" t="inlineStr">
        <is>
          <t>Loans</t>
        </is>
      </c>
      <c r="D1014" s="46" t="n">
        <v>36</v>
      </c>
      <c r="E1014" s="25" t="n">
        <v>397</v>
      </c>
    </row>
    <row r="1015" ht="15" customHeight="1" s="47">
      <c r="C1015" s="42" t="inlineStr">
        <is>
          <t xml:space="preserve">LMICT% </t>
        </is>
      </c>
      <c r="D1015" s="29" t="n">
        <v>0.1551987767584098</v>
      </c>
      <c r="E1015" s="29" t="n">
        <v>0.2017719590305014</v>
      </c>
      <c r="F1015" s="31">
        <f>D1015-E1015</f>
        <v/>
      </c>
    </row>
    <row r="1016" ht="15" customHeight="1" s="47">
      <c r="C1016" s="42" t="inlineStr">
        <is>
          <t>LMIB%</t>
        </is>
      </c>
      <c r="D1016" s="29" t="n">
        <v>0.4067278287461774</v>
      </c>
      <c r="E1016" s="29" t="n">
        <v>0.4355407578792924</v>
      </c>
      <c r="F1016" s="31">
        <f>D1016-E1016</f>
        <v/>
      </c>
    </row>
    <row r="1017" ht="15" customHeight="1" s="47">
      <c r="C1017" s="42" t="inlineStr">
        <is>
          <t>LMIB$</t>
        </is>
      </c>
      <c r="D1017" s="48" t="n">
        <v>82680000</v>
      </c>
      <c r="E1017" s="48" t="n">
        <v>2497380000</v>
      </c>
      <c r="F1017" s="49" t="n"/>
    </row>
    <row r="1018" ht="15" customHeight="1" s="47">
      <c r="C1018" s="42" t="inlineStr">
        <is>
          <t>MMCT%</t>
        </is>
      </c>
      <c r="D1018" s="29" t="n">
        <v>0.05581039755351682</v>
      </c>
      <c r="E1018" s="29" t="n">
        <v>0.07621116785643746</v>
      </c>
      <c r="F1018" s="31">
        <f>D1018-E1018</f>
        <v/>
      </c>
    </row>
    <row r="1019" ht="15" customHeight="1" s="47">
      <c r="C1019" s="42" t="inlineStr">
        <is>
          <t>MINB%</t>
        </is>
      </c>
      <c r="D1019" s="29" t="n">
        <v>0.02599388379204893</v>
      </c>
      <c r="E1019" s="29" t="n">
        <v>0.1067125645438898</v>
      </c>
      <c r="F1019" s="31">
        <f>D1019-E1019</f>
        <v/>
      </c>
    </row>
    <row r="1020" ht="15" customHeight="1" s="47">
      <c r="C1020" s="42" t="inlineStr">
        <is>
          <t>Asian%</t>
        </is>
      </c>
      <c r="D1020" s="29" t="n">
        <v>0</v>
      </c>
      <c r="E1020" s="29" t="n">
        <v>0</v>
      </c>
      <c r="F1020" s="31">
        <f>D1020-E1020</f>
        <v/>
      </c>
    </row>
    <row r="1021" ht="15" customHeight="1" s="47">
      <c r="C1021" s="42" t="inlineStr">
        <is>
          <t>Black%</t>
        </is>
      </c>
      <c r="D1021" s="29" t="n">
        <v>0</v>
      </c>
      <c r="E1021" s="29" t="n">
        <v>0</v>
      </c>
      <c r="F1021" s="31">
        <f>D1021-E1021</f>
        <v/>
      </c>
    </row>
    <row r="1022" ht="15" customHeight="1" s="47">
      <c r="C1022" s="42" t="inlineStr">
        <is>
          <t>Native American%</t>
        </is>
      </c>
      <c r="D1022" s="29" t="n">
        <v>0</v>
      </c>
      <c r="E1022" s="29" t="n">
        <v>0</v>
      </c>
      <c r="F1022" s="31">
        <f>D1022-E1022</f>
        <v/>
      </c>
    </row>
    <row r="1023" ht="15" customHeight="1" s="47">
      <c r="C1023" s="42" t="inlineStr">
        <is>
          <t>HoPI%</t>
        </is>
      </c>
      <c r="D1023" s="29" t="n">
        <v>0</v>
      </c>
      <c r="E1023" s="29" t="n">
        <v>0</v>
      </c>
      <c r="F1023" s="31">
        <f>D1023-E1023</f>
        <v/>
      </c>
    </row>
    <row r="1024" ht="15" customHeight="1" s="47">
      <c r="C1024" s="42" t="inlineStr">
        <is>
          <t>Hispanic%</t>
        </is>
      </c>
      <c r="D1024" s="29" t="n">
        <v>0.02599388379204893</v>
      </c>
      <c r="E1024" s="29" t="n">
        <v>0.1067125645438898</v>
      </c>
      <c r="F1024" s="31">
        <f>D1024-E1024</f>
        <v/>
      </c>
    </row>
    <row r="1025" ht="15" customHeight="1" s="47">
      <c r="B1025" s="42" t="inlineStr">
        <is>
          <t>Louisville/Jefferson County, KY-IN</t>
        </is>
      </c>
      <c r="C1025" s="42" t="inlineStr">
        <is>
          <t>Loans</t>
        </is>
      </c>
      <c r="D1025" s="46" t="n">
        <v>1308</v>
      </c>
      <c r="E1025" s="25" t="n">
        <v>35441</v>
      </c>
    </row>
    <row r="1026" ht="15" customHeight="1" s="47">
      <c r="C1026" s="42" t="inlineStr">
        <is>
          <t xml:space="preserve">LMICT% </t>
        </is>
      </c>
      <c r="D1026" s="29" t="n">
        <v>0.2222222222222222</v>
      </c>
      <c r="E1026" s="29" t="n">
        <v>0.07211538461538461</v>
      </c>
      <c r="F1026" s="31">
        <f>D1026-E1026</f>
        <v/>
      </c>
    </row>
    <row r="1027" ht="15" customHeight="1" s="47">
      <c r="C1027" s="42" t="inlineStr">
        <is>
          <t>LMIB%</t>
        </is>
      </c>
      <c r="D1027" s="29" t="n">
        <v>0.5555555555555556</v>
      </c>
      <c r="E1027" s="29" t="n">
        <v>0.4471153846153847</v>
      </c>
      <c r="F1027" s="31">
        <f>D1027-E1027</f>
        <v/>
      </c>
    </row>
    <row r="1028" ht="15" customHeight="1" s="47">
      <c r="C1028" s="42" t="inlineStr">
        <is>
          <t>LMIB$</t>
        </is>
      </c>
      <c r="D1028" s="48" t="n">
        <v>485000</v>
      </c>
      <c r="E1028" s="48" t="n">
        <v>12825000</v>
      </c>
      <c r="F1028" s="49" t="n"/>
    </row>
    <row r="1029" ht="15" customHeight="1" s="47">
      <c r="C1029" s="42" t="inlineStr">
        <is>
          <t>MMCT%</t>
        </is>
      </c>
      <c r="D1029" s="29" t="n">
        <v>0</v>
      </c>
      <c r="E1029" s="29" t="n">
        <v>0</v>
      </c>
      <c r="F1029" s="31">
        <f>D1029-E1029</f>
        <v/>
      </c>
    </row>
    <row r="1030" ht="15" customHeight="1" s="47">
      <c r="C1030" s="42" t="inlineStr">
        <is>
          <t>MINB%</t>
        </is>
      </c>
      <c r="D1030" s="29" t="n">
        <v>0</v>
      </c>
      <c r="E1030" s="29" t="n">
        <v>0.01923076923076923</v>
      </c>
      <c r="F1030" s="31">
        <f>D1030-E1030</f>
        <v/>
      </c>
    </row>
    <row r="1031" ht="15" customHeight="1" s="47">
      <c r="C1031" s="42" t="inlineStr">
        <is>
          <t>Asian%</t>
        </is>
      </c>
      <c r="D1031" s="29" t="n">
        <v>0</v>
      </c>
      <c r="E1031" s="29" t="n">
        <v>0</v>
      </c>
      <c r="F1031" s="31">
        <f>D1031-E1031</f>
        <v/>
      </c>
    </row>
    <row r="1032" ht="15" customHeight="1" s="47">
      <c r="C1032" s="42" t="inlineStr">
        <is>
          <t>Black%</t>
        </is>
      </c>
      <c r="D1032" s="29" t="n">
        <v>0</v>
      </c>
      <c r="E1032" s="29" t="n">
        <v>0</v>
      </c>
      <c r="F1032" s="31">
        <f>D1032-E1032</f>
        <v/>
      </c>
    </row>
    <row r="1033" ht="15" customHeight="1" s="47">
      <c r="C1033" s="42" t="inlineStr">
        <is>
          <t>Native American%</t>
        </is>
      </c>
      <c r="D1033" s="29" t="n">
        <v>0</v>
      </c>
      <c r="E1033" s="29" t="n">
        <v>0</v>
      </c>
      <c r="F1033" s="31">
        <f>D1033-E1033</f>
        <v/>
      </c>
    </row>
    <row r="1034" ht="15" customHeight="1" s="47">
      <c r="C1034" s="42" t="inlineStr">
        <is>
          <t>HoPI%</t>
        </is>
      </c>
      <c r="D1034" s="29" t="n">
        <v>0</v>
      </c>
      <c r="E1034" s="29" t="n">
        <v>0</v>
      </c>
      <c r="F1034" s="31">
        <f>D1034-E1034</f>
        <v/>
      </c>
    </row>
    <row r="1035" ht="15" customHeight="1" s="47">
      <c r="C1035" s="42" t="inlineStr">
        <is>
          <t>Hispanic%</t>
        </is>
      </c>
      <c r="D1035" s="29" t="n">
        <v>0</v>
      </c>
      <c r="E1035" s="29" t="n">
        <v>0.01923076923076923</v>
      </c>
      <c r="F1035" s="31">
        <f>D1035-E1035</f>
        <v/>
      </c>
    </row>
    <row r="1036" ht="15" customHeight="1" s="47">
      <c r="B1036" s="42" t="inlineStr">
        <is>
          <t>Indiana Non-MSA</t>
        </is>
      </c>
      <c r="C1036" s="42" t="inlineStr">
        <is>
          <t>Loans</t>
        </is>
      </c>
      <c r="D1036" s="46" t="n">
        <v>9</v>
      </c>
      <c r="E1036" s="25" t="n">
        <v>208</v>
      </c>
    </row>
    <row r="1037" ht="15" customHeight="1" s="47">
      <c r="C1037" s="42" t="inlineStr">
        <is>
          <t xml:space="preserve">LMICT% </t>
        </is>
      </c>
      <c r="D1037" s="29" t="n">
        <v>0.52</v>
      </c>
      <c r="E1037" s="29" t="n">
        <v>0.2868421052631579</v>
      </c>
      <c r="F1037" s="31">
        <f>D1037-E1037</f>
        <v/>
      </c>
    </row>
    <row r="1038" ht="15" customHeight="1" s="47">
      <c r="C1038" s="42" t="inlineStr">
        <is>
          <t>LMIB%</t>
        </is>
      </c>
      <c r="D1038" s="29" t="n">
        <v>0.48</v>
      </c>
      <c r="E1038" s="29" t="n">
        <v>0.5684210526315789</v>
      </c>
      <c r="F1038" s="31">
        <f>D1038-E1038</f>
        <v/>
      </c>
    </row>
    <row r="1039" ht="15" customHeight="1" s="47">
      <c r="C1039" s="42" t="inlineStr">
        <is>
          <t>LMIB$</t>
        </is>
      </c>
      <c r="D1039" s="48" t="n">
        <v>1040000</v>
      </c>
      <c r="E1039" s="48" t="n">
        <v>23080000</v>
      </c>
      <c r="F1039" s="31" t="n"/>
    </row>
    <row r="1040" ht="15" customHeight="1" s="47">
      <c r="C1040" s="42" t="inlineStr">
        <is>
          <t>MMCT%</t>
        </is>
      </c>
      <c r="D1040" s="29" t="n">
        <v>0</v>
      </c>
      <c r="E1040" s="29" t="n">
        <v>0</v>
      </c>
      <c r="F1040" s="31">
        <f>D1040-E1040</f>
        <v/>
      </c>
    </row>
    <row r="1041" ht="15" customHeight="1" s="47">
      <c r="C1041" s="42" t="inlineStr">
        <is>
          <t>MINB%</t>
        </is>
      </c>
      <c r="D1041" s="29" t="n">
        <v>0.04</v>
      </c>
      <c r="E1041" s="29" t="n">
        <v>0.05</v>
      </c>
      <c r="F1041" s="31">
        <f>D1041-E1041</f>
        <v/>
      </c>
    </row>
    <row r="1042" ht="15" customHeight="1" s="47">
      <c r="C1042" s="42" t="inlineStr">
        <is>
          <t>Asian%</t>
        </is>
      </c>
      <c r="D1042" s="29" t="n">
        <v>0</v>
      </c>
      <c r="E1042" s="29" t="n">
        <v>0</v>
      </c>
      <c r="F1042" s="31">
        <f>D1042-E1042</f>
        <v/>
      </c>
    </row>
    <row r="1043" ht="15" customHeight="1" s="47">
      <c r="C1043" s="42" t="inlineStr">
        <is>
          <t>Black%</t>
        </is>
      </c>
      <c r="D1043" s="29" t="n">
        <v>0</v>
      </c>
      <c r="E1043" s="29" t="n">
        <v>0</v>
      </c>
      <c r="F1043" s="31">
        <f>D1043-E1043</f>
        <v/>
      </c>
    </row>
    <row r="1044" ht="15" customHeight="1" s="47">
      <c r="C1044" s="42" t="inlineStr">
        <is>
          <t>Native American%</t>
        </is>
      </c>
      <c r="D1044" s="29" t="n">
        <v>0</v>
      </c>
      <c r="E1044" s="29" t="n">
        <v>0</v>
      </c>
      <c r="F1044" s="31">
        <f>D1044-E1044</f>
        <v/>
      </c>
    </row>
    <row r="1045" ht="15" customHeight="1" s="47">
      <c r="C1045" s="42" t="inlineStr">
        <is>
          <t>HoPI%</t>
        </is>
      </c>
      <c r="D1045" s="29" t="n">
        <v>0</v>
      </c>
      <c r="E1045" s="29" t="n">
        <v>0</v>
      </c>
      <c r="F1045" s="31">
        <f>D1045-E1045</f>
        <v/>
      </c>
    </row>
    <row r="1046" ht="15" customHeight="1" s="47">
      <c r="C1046" s="42" t="inlineStr">
        <is>
          <t>Hispanic%</t>
        </is>
      </c>
      <c r="D1046" s="29" t="n">
        <v>0.04</v>
      </c>
      <c r="E1046" s="29" t="n">
        <v>0.05</v>
      </c>
      <c r="F1046" s="31">
        <f>D1046-E1046</f>
        <v/>
      </c>
    </row>
    <row r="1047" ht="15" customHeight="1" s="47">
      <c r="A1047" s="46" t="inlineStr">
        <is>
          <t>New York</t>
        </is>
      </c>
      <c r="B1047" s="42" t="inlineStr">
        <is>
          <t>Indiana Non-MSA</t>
        </is>
      </c>
      <c r="C1047" s="42" t="inlineStr">
        <is>
          <t>Loans</t>
        </is>
      </c>
      <c r="D1047" s="46" t="n">
        <v>25</v>
      </c>
      <c r="E1047" s="25" t="n">
        <v>380</v>
      </c>
    </row>
    <row r="1048" ht="15" customHeight="1" s="47">
      <c r="C1048" s="42" t="inlineStr">
        <is>
          <t xml:space="preserve">LMICT% </t>
        </is>
      </c>
      <c r="D1048" s="29" t="n">
        <v>0</v>
      </c>
      <c r="E1048" s="29" t="n">
        <v>0.07348242811501597</v>
      </c>
      <c r="F1048" s="31">
        <f>D1048-E1048</f>
        <v/>
      </c>
    </row>
    <row r="1049" ht="15" customHeight="1" s="47">
      <c r="C1049" s="42" t="inlineStr">
        <is>
          <t>LMIB%</t>
        </is>
      </c>
      <c r="D1049" s="29" t="n">
        <v>0.2857142857142857</v>
      </c>
      <c r="E1049" s="29" t="n">
        <v>0.3450479233226836</v>
      </c>
      <c r="F1049" s="31">
        <f>D1049-E1049</f>
        <v/>
      </c>
    </row>
    <row r="1050" ht="15" customHeight="1" s="47">
      <c r="C1050" s="42" t="inlineStr">
        <is>
          <t>LMIB$</t>
        </is>
      </c>
      <c r="D1050" s="48" t="n">
        <v>190000</v>
      </c>
      <c r="E1050" s="48" t="n">
        <v>15090000</v>
      </c>
      <c r="F1050" s="49" t="n"/>
    </row>
    <row r="1051" ht="15" customHeight="1" s="47">
      <c r="C1051" s="42" t="inlineStr">
        <is>
          <t>MMCT%</t>
        </is>
      </c>
      <c r="D1051" s="29" t="n">
        <v>0</v>
      </c>
      <c r="E1051" s="29" t="n">
        <v>0</v>
      </c>
      <c r="F1051" s="31">
        <f>D1051-E1051</f>
        <v/>
      </c>
    </row>
    <row r="1052" ht="15" customHeight="1" s="47">
      <c r="C1052" s="42" t="inlineStr">
        <is>
          <t>MINB%</t>
        </is>
      </c>
      <c r="D1052" s="29" t="n">
        <v>0</v>
      </c>
      <c r="E1052" s="29" t="n">
        <v>0.0926517571884984</v>
      </c>
      <c r="F1052" s="31">
        <f>D1052-E1052</f>
        <v/>
      </c>
    </row>
    <row r="1053" ht="15" customHeight="1" s="47">
      <c r="C1053" s="42" t="inlineStr">
        <is>
          <t>Asian%</t>
        </is>
      </c>
      <c r="D1053" s="29" t="n">
        <v>0</v>
      </c>
      <c r="E1053" s="29" t="n">
        <v>0</v>
      </c>
      <c r="F1053" s="31">
        <f>D1053-E1053</f>
        <v/>
      </c>
    </row>
    <row r="1054" ht="15" customHeight="1" s="47">
      <c r="C1054" s="42" t="inlineStr">
        <is>
          <t>Black%</t>
        </is>
      </c>
      <c r="D1054" s="29" t="n">
        <v>0</v>
      </c>
      <c r="E1054" s="29" t="n">
        <v>0</v>
      </c>
      <c r="F1054" s="31">
        <f>D1054-E1054</f>
        <v/>
      </c>
    </row>
    <row r="1055" ht="15" customHeight="1" s="47">
      <c r="C1055" s="42" t="inlineStr">
        <is>
          <t>Native American%</t>
        </is>
      </c>
      <c r="D1055" s="29" t="n">
        <v>0</v>
      </c>
      <c r="E1055" s="29" t="n">
        <v>0</v>
      </c>
      <c r="F1055" s="31">
        <f>D1055-E1055</f>
        <v/>
      </c>
    </row>
    <row r="1056" ht="15" customHeight="1" s="47">
      <c r="C1056" s="42" t="inlineStr">
        <is>
          <t>HoPI%</t>
        </is>
      </c>
      <c r="D1056" s="29" t="n">
        <v>0</v>
      </c>
      <c r="E1056" s="29" t="n">
        <v>0</v>
      </c>
      <c r="F1056" s="31">
        <f>D1056-E1056</f>
        <v/>
      </c>
    </row>
    <row r="1057" ht="15" customHeight="1" s="47">
      <c r="C1057" s="42" t="inlineStr">
        <is>
          <t>Hispanic%</t>
        </is>
      </c>
      <c r="D1057" s="29" t="n">
        <v>0</v>
      </c>
      <c r="E1057" s="29" t="n">
        <v>0.0926517571884984</v>
      </c>
      <c r="F1057" s="31">
        <f>D1057-E1057</f>
        <v/>
      </c>
    </row>
    <row r="1058" ht="15" customHeight="1" s="47">
      <c r="A1058" s="46" t="inlineStr">
        <is>
          <t>Kentucky</t>
        </is>
      </c>
      <c r="B1058" s="42" t="inlineStr">
        <is>
          <t>Indiana Non-MSA</t>
        </is>
      </c>
      <c r="C1058" s="42" t="inlineStr">
        <is>
          <t>Loans</t>
        </is>
      </c>
      <c r="D1058" s="46" t="n">
        <v>7</v>
      </c>
      <c r="E1058" s="25" t="n">
        <v>313</v>
      </c>
    </row>
    <row r="1059" ht="15" customHeight="1" s="47">
      <c r="C1059" s="42" t="inlineStr">
        <is>
          <t xml:space="preserve">LMICT% </t>
        </is>
      </c>
      <c r="D1059" s="29" t="n">
        <v>0.2222222222222222</v>
      </c>
      <c r="E1059" s="29" t="n">
        <v>0.1252796420581656</v>
      </c>
      <c r="F1059" s="31">
        <f>D1059-E1059</f>
        <v/>
      </c>
    </row>
    <row r="1060" ht="15" customHeight="1" s="47">
      <c r="C1060" s="42" t="inlineStr">
        <is>
          <t>LMIB%</t>
        </is>
      </c>
      <c r="D1060" s="29" t="n">
        <v>0.5185185185185185</v>
      </c>
      <c r="E1060" s="29" t="n">
        <v>0.4340044742729307</v>
      </c>
      <c r="F1060" s="31">
        <f>D1060-E1060</f>
        <v/>
      </c>
    </row>
    <row r="1061" ht="15" customHeight="1" s="47">
      <c r="C1061" s="42" t="inlineStr">
        <is>
          <t>LMIB$</t>
        </is>
      </c>
      <c r="D1061" s="48" t="n">
        <v>1670000</v>
      </c>
      <c r="E1061" s="48" t="n">
        <v>28370000</v>
      </c>
      <c r="F1061" s="49" t="n"/>
    </row>
    <row r="1062" ht="15" customHeight="1" s="47">
      <c r="C1062" s="42" t="inlineStr">
        <is>
          <t>MMCT%</t>
        </is>
      </c>
      <c r="D1062" s="29" t="n">
        <v>0.03703703703703703</v>
      </c>
      <c r="E1062" s="29" t="n">
        <v>0.01342281879194631</v>
      </c>
      <c r="F1062" s="31">
        <f>D1062-E1062</f>
        <v/>
      </c>
    </row>
    <row r="1063" ht="15" customHeight="1" s="47">
      <c r="C1063" s="42" t="inlineStr">
        <is>
          <t>MINB%</t>
        </is>
      </c>
      <c r="D1063" s="29" t="n">
        <v>0.2592592592592592</v>
      </c>
      <c r="E1063" s="29" t="n">
        <v>0.1073825503355705</v>
      </c>
      <c r="F1063" s="31">
        <f>D1063-E1063</f>
        <v/>
      </c>
    </row>
    <row r="1064" ht="15" customHeight="1" s="47">
      <c r="C1064" s="42" t="inlineStr">
        <is>
          <t>Asian%</t>
        </is>
      </c>
      <c r="D1064" s="29" t="n">
        <v>0</v>
      </c>
      <c r="E1064" s="29" t="n">
        <v>0</v>
      </c>
      <c r="F1064" s="31">
        <f>D1064-E1064</f>
        <v/>
      </c>
    </row>
    <row r="1065" ht="15" customHeight="1" s="47">
      <c r="C1065" s="42" t="inlineStr">
        <is>
          <t>Black%</t>
        </is>
      </c>
      <c r="D1065" s="29" t="n">
        <v>0</v>
      </c>
      <c r="E1065" s="29" t="n">
        <v>0</v>
      </c>
      <c r="F1065" s="31">
        <f>D1065-E1065</f>
        <v/>
      </c>
    </row>
    <row r="1066" ht="15" customHeight="1" s="47">
      <c r="C1066" s="42" t="inlineStr">
        <is>
          <t>Native American%</t>
        </is>
      </c>
      <c r="D1066" s="29" t="n">
        <v>0</v>
      </c>
      <c r="E1066" s="29" t="n">
        <v>0</v>
      </c>
      <c r="F1066" s="31">
        <f>D1066-E1066</f>
        <v/>
      </c>
    </row>
    <row r="1067" ht="15" customHeight="1" s="47">
      <c r="C1067" s="42" t="inlineStr">
        <is>
          <t>HoPI%</t>
        </is>
      </c>
      <c r="D1067" s="29" t="n">
        <v>0</v>
      </c>
      <c r="E1067" s="29" t="n">
        <v>0</v>
      </c>
      <c r="F1067" s="31">
        <f>D1067-E1067</f>
        <v/>
      </c>
    </row>
    <row r="1068" ht="15" customHeight="1" s="47">
      <c r="C1068" s="42" t="inlineStr">
        <is>
          <t>Hispanic%</t>
        </is>
      </c>
      <c r="D1068" s="29" t="n">
        <v>0.2592592592592592</v>
      </c>
      <c r="E1068" s="29" t="n">
        <v>0.1073825503355705</v>
      </c>
      <c r="F1068" s="31">
        <f>D1068-E1068</f>
        <v/>
      </c>
    </row>
    <row r="1069" ht="15" customHeight="1" s="47">
      <c r="B1069" s="42" t="inlineStr">
        <is>
          <t>Indiana Non-MSA</t>
        </is>
      </c>
      <c r="C1069" s="42" t="inlineStr">
        <is>
          <t>Loans</t>
        </is>
      </c>
      <c r="D1069" s="46" t="n">
        <v>27</v>
      </c>
      <c r="E1069" s="25" t="n">
        <v>447</v>
      </c>
    </row>
    <row r="1070" ht="15" customHeight="1" s="47">
      <c r="C1070" s="42" t="inlineStr">
        <is>
          <t xml:space="preserve">LMICT% </t>
        </is>
      </c>
      <c r="D1070" s="29" t="n">
        <v>0.2553191489361702</v>
      </c>
      <c r="E1070" s="29" t="n">
        <v>0.1937716262975778</v>
      </c>
      <c r="F1070" s="31">
        <f>D1070-E1070</f>
        <v/>
      </c>
    </row>
    <row r="1071" ht="15" customHeight="1" s="47">
      <c r="C1071" s="42" t="inlineStr">
        <is>
          <t>LMIB%</t>
        </is>
      </c>
      <c r="D1071" s="29" t="n">
        <v>0.4574468085106382</v>
      </c>
      <c r="E1071" s="29" t="n">
        <v>0.4226396440929313</v>
      </c>
      <c r="F1071" s="31">
        <f>D1071-E1071</f>
        <v/>
      </c>
    </row>
    <row r="1072" ht="15" customHeight="1" s="47">
      <c r="C1072" s="42" t="inlineStr">
        <is>
          <t>LMIB$</t>
        </is>
      </c>
      <c r="D1072" s="48" t="n">
        <v>5935000</v>
      </c>
      <c r="E1072" s="48" t="n">
        <v>111755000</v>
      </c>
      <c r="F1072" s="49" t="n"/>
    </row>
    <row r="1073" ht="15" customHeight="1" s="47">
      <c r="C1073" s="42" t="inlineStr">
        <is>
          <t>MMCT%</t>
        </is>
      </c>
      <c r="D1073" s="29" t="n">
        <v>0.07446808510638298</v>
      </c>
      <c r="E1073" s="29" t="n">
        <v>0.07711319822046465</v>
      </c>
      <c r="F1073" s="31">
        <f>D1073-E1073</f>
        <v/>
      </c>
    </row>
    <row r="1074" ht="15" customHeight="1" s="47">
      <c r="C1074" s="42" t="inlineStr">
        <is>
          <t>MINB%</t>
        </is>
      </c>
      <c r="D1074" s="29" t="n">
        <v>0.03191489361702127</v>
      </c>
      <c r="E1074" s="29" t="n">
        <v>0.07909045971329709</v>
      </c>
      <c r="F1074" s="31">
        <f>D1074-E1074</f>
        <v/>
      </c>
    </row>
    <row r="1075" ht="15" customHeight="1" s="47">
      <c r="C1075" s="42" t="inlineStr">
        <is>
          <t>Asian%</t>
        </is>
      </c>
      <c r="D1075" s="29" t="n">
        <v>0</v>
      </c>
      <c r="E1075" s="29" t="n">
        <v>0</v>
      </c>
      <c r="F1075" s="31">
        <f>D1075-E1075</f>
        <v/>
      </c>
    </row>
    <row r="1076" ht="15" customHeight="1" s="47">
      <c r="C1076" s="42" t="inlineStr">
        <is>
          <t>Black%</t>
        </is>
      </c>
      <c r="D1076" s="29" t="n">
        <v>0</v>
      </c>
      <c r="E1076" s="29" t="n">
        <v>0</v>
      </c>
      <c r="F1076" s="31">
        <f>D1076-E1076</f>
        <v/>
      </c>
    </row>
    <row r="1077" ht="15" customHeight="1" s="47">
      <c r="C1077" s="42" t="inlineStr">
        <is>
          <t>Native American%</t>
        </is>
      </c>
      <c r="D1077" s="29" t="n">
        <v>0</v>
      </c>
      <c r="E1077" s="29" t="n">
        <v>0</v>
      </c>
      <c r="F1077" s="31">
        <f>D1077-E1077</f>
        <v/>
      </c>
    </row>
    <row r="1078" ht="15" customHeight="1" s="47">
      <c r="C1078" s="42" t="inlineStr">
        <is>
          <t>HoPI%</t>
        </is>
      </c>
      <c r="D1078" s="29" t="n">
        <v>0</v>
      </c>
      <c r="E1078" s="29" t="n">
        <v>0</v>
      </c>
      <c r="F1078" s="31">
        <f>D1078-E1078</f>
        <v/>
      </c>
    </row>
    <row r="1079" ht="15" customHeight="1" s="47">
      <c r="C1079" s="42" t="inlineStr">
        <is>
          <t>Hispanic%</t>
        </is>
      </c>
      <c r="D1079" s="29" t="n">
        <v>0.03191489361702127</v>
      </c>
      <c r="E1079" s="29" t="n">
        <v>0.07909045971329709</v>
      </c>
      <c r="F1079" s="31">
        <f>D1079-E1079</f>
        <v/>
      </c>
    </row>
    <row r="1080" ht="15" customHeight="1" s="47">
      <c r="B1080" s="42" t="inlineStr">
        <is>
          <t>South Bend-Mishawaka, IN-MI</t>
        </is>
      </c>
      <c r="C1080" s="42" t="inlineStr">
        <is>
          <t>Loans</t>
        </is>
      </c>
      <c r="D1080" s="46" t="n">
        <v>94</v>
      </c>
      <c r="E1080" s="25" t="n">
        <v>2023</v>
      </c>
    </row>
    <row r="1081" ht="15" customHeight="1" s="47">
      <c r="C1081" s="42" t="inlineStr">
        <is>
          <t xml:space="preserve">LMICT% </t>
        </is>
      </c>
      <c r="D1081" s="29" t="n">
        <v>0.0588235294117647</v>
      </c>
      <c r="E1081" s="29" t="n">
        <v>0.05258302583025831</v>
      </c>
      <c r="F1081" s="31">
        <f>D1081-E1081</f>
        <v/>
      </c>
    </row>
    <row r="1082" ht="15" customHeight="1" s="47">
      <c r="C1082" s="42" t="inlineStr">
        <is>
          <t>LMIB%</t>
        </is>
      </c>
      <c r="D1082" s="29" t="n">
        <v>0.2549019607843137</v>
      </c>
      <c r="E1082" s="29" t="n">
        <v>0.3238007380073801</v>
      </c>
      <c r="F1082" s="31">
        <f>D1082-E1082</f>
        <v/>
      </c>
    </row>
    <row r="1083" ht="15" customHeight="1" s="47">
      <c r="C1083" s="42" t="inlineStr">
        <is>
          <t>LMIB$</t>
        </is>
      </c>
      <c r="D1083" s="48" t="n">
        <v>1925000</v>
      </c>
      <c r="E1083" s="48" t="n">
        <v>51545000</v>
      </c>
      <c r="F1083" s="49" t="n"/>
    </row>
    <row r="1084" ht="15" customHeight="1" s="47">
      <c r="C1084" s="42" t="inlineStr">
        <is>
          <t>MMCT%</t>
        </is>
      </c>
      <c r="D1084" s="29" t="n">
        <v>0</v>
      </c>
      <c r="E1084" s="29" t="n">
        <v>0</v>
      </c>
      <c r="F1084" s="31">
        <f>D1084-E1084</f>
        <v/>
      </c>
    </row>
    <row r="1085" ht="15" customHeight="1" s="47">
      <c r="C1085" s="42" t="inlineStr">
        <is>
          <t>MINB%</t>
        </is>
      </c>
      <c r="D1085" s="29" t="n">
        <v>0.0588235294117647</v>
      </c>
      <c r="E1085" s="29" t="n">
        <v>0.07011070110701106</v>
      </c>
      <c r="F1085" s="31">
        <f>D1085-E1085</f>
        <v/>
      </c>
    </row>
    <row r="1086" ht="15" customHeight="1" s="47">
      <c r="C1086" s="42" t="inlineStr">
        <is>
          <t>Asian%</t>
        </is>
      </c>
      <c r="D1086" s="29" t="n">
        <v>0</v>
      </c>
      <c r="E1086" s="29" t="n">
        <v>0</v>
      </c>
      <c r="F1086" s="31">
        <f>D1086-E1086</f>
        <v/>
      </c>
    </row>
    <row r="1087" ht="15" customHeight="1" s="47">
      <c r="C1087" s="42" t="inlineStr">
        <is>
          <t>Black%</t>
        </is>
      </c>
      <c r="D1087" s="29" t="n">
        <v>0</v>
      </c>
      <c r="E1087" s="29" t="n">
        <v>0</v>
      </c>
      <c r="F1087" s="31">
        <f>D1087-E1087</f>
        <v/>
      </c>
    </row>
    <row r="1088" ht="15" customHeight="1" s="47">
      <c r="C1088" s="42" t="inlineStr">
        <is>
          <t>Native American%</t>
        </is>
      </c>
      <c r="D1088" s="29" t="n">
        <v>0</v>
      </c>
      <c r="E1088" s="29" t="n">
        <v>0</v>
      </c>
      <c r="F1088" s="31">
        <f>D1088-E1088</f>
        <v/>
      </c>
    </row>
    <row r="1089" ht="15" customHeight="1" s="47">
      <c r="C1089" s="42" t="inlineStr">
        <is>
          <t>HoPI%</t>
        </is>
      </c>
      <c r="D1089" s="29" t="n">
        <v>0</v>
      </c>
      <c r="E1089" s="29" t="n">
        <v>0</v>
      </c>
      <c r="F1089" s="31">
        <f>D1089-E1089</f>
        <v/>
      </c>
    </row>
    <row r="1090" ht="15" customHeight="1" s="47">
      <c r="C1090" s="42" t="inlineStr">
        <is>
          <t>Hispanic%</t>
        </is>
      </c>
      <c r="D1090" s="29" t="n">
        <v>0.0588235294117647</v>
      </c>
      <c r="E1090" s="29" t="n">
        <v>0.07011070110701106</v>
      </c>
      <c r="F1090" s="31">
        <f>D1090-E1090</f>
        <v/>
      </c>
    </row>
    <row r="1091" ht="15" customHeight="1" s="47">
      <c r="B1091" s="42" t="inlineStr">
        <is>
          <t>Indiana Non-MSA</t>
        </is>
      </c>
      <c r="C1091" s="42" t="inlineStr">
        <is>
          <t>Loans</t>
        </is>
      </c>
      <c r="D1091" s="46" t="n">
        <v>51</v>
      </c>
      <c r="E1091" s="25" t="n">
        <v>1084</v>
      </c>
    </row>
    <row r="1092" ht="15" customHeight="1" s="47">
      <c r="C1092" s="42" t="inlineStr">
        <is>
          <t xml:space="preserve">LMICT% </t>
        </is>
      </c>
      <c r="D1092" s="29" t="n">
        <v>0.1891891891891892</v>
      </c>
      <c r="E1092" s="29" t="n">
        <v>0.184512050572896</v>
      </c>
      <c r="F1092" s="31">
        <f>D1092-E1092</f>
        <v/>
      </c>
    </row>
    <row r="1093" ht="15" customHeight="1" s="47">
      <c r="C1093" s="42" t="inlineStr">
        <is>
          <t>LMIB%</t>
        </is>
      </c>
      <c r="D1093" s="29" t="n">
        <v>0.3378378378378378</v>
      </c>
      <c r="E1093" s="29" t="n">
        <v>0.3476886606084552</v>
      </c>
      <c r="F1093" s="31">
        <f>D1093-E1093</f>
        <v/>
      </c>
    </row>
    <row r="1094" ht="15" customHeight="1" s="47">
      <c r="C1094" s="42" t="inlineStr">
        <is>
          <t>LMIB$</t>
        </is>
      </c>
      <c r="D1094" s="48" t="n">
        <v>3345000</v>
      </c>
      <c r="E1094" s="48" t="n">
        <v>161090000</v>
      </c>
      <c r="F1094" s="49" t="n"/>
    </row>
    <row r="1095" ht="15" customHeight="1" s="47">
      <c r="C1095" s="42" t="inlineStr">
        <is>
          <t>MMCT%</t>
        </is>
      </c>
      <c r="D1095" s="29" t="n">
        <v>0.2297297297297297</v>
      </c>
      <c r="E1095" s="29" t="n">
        <v>0.24930857368629</v>
      </c>
      <c r="F1095" s="31">
        <f>D1095-E1095</f>
        <v/>
      </c>
    </row>
    <row r="1096" ht="15" customHeight="1" s="47">
      <c r="C1096" s="42" t="inlineStr">
        <is>
          <t>MINB%</t>
        </is>
      </c>
      <c r="D1096" s="29" t="n">
        <v>0.06756756756756757</v>
      </c>
      <c r="E1096" s="29" t="n">
        <v>0.1442117740023706</v>
      </c>
      <c r="F1096" s="31">
        <f>D1096-E1096</f>
        <v/>
      </c>
    </row>
    <row r="1097" ht="15" customHeight="1" s="47">
      <c r="C1097" s="42" t="inlineStr">
        <is>
          <t>Asian%</t>
        </is>
      </c>
      <c r="D1097" s="29" t="n">
        <v>0</v>
      </c>
      <c r="E1097" s="29" t="n">
        <v>0</v>
      </c>
      <c r="F1097" s="31">
        <f>D1097-E1097</f>
        <v/>
      </c>
    </row>
    <row r="1098" ht="15" customHeight="1" s="47">
      <c r="C1098" s="42" t="inlineStr">
        <is>
          <t>Black%</t>
        </is>
      </c>
      <c r="D1098" s="29" t="n">
        <v>0</v>
      </c>
      <c r="E1098" s="29" t="n">
        <v>0</v>
      </c>
      <c r="F1098" s="31">
        <f>D1098-E1098</f>
        <v/>
      </c>
    </row>
    <row r="1099" ht="15" customHeight="1" s="47">
      <c r="C1099" s="42" t="inlineStr">
        <is>
          <t>Native American%</t>
        </is>
      </c>
      <c r="D1099" s="29" t="n">
        <v>0</v>
      </c>
      <c r="E1099" s="29" t="n">
        <v>0</v>
      </c>
      <c r="F1099" s="31">
        <f>D1099-E1099</f>
        <v/>
      </c>
    </row>
    <row r="1100" ht="15" customHeight="1" s="47">
      <c r="C1100" s="42" t="inlineStr">
        <is>
          <t>HoPI%</t>
        </is>
      </c>
      <c r="D1100" s="29" t="n">
        <v>0</v>
      </c>
      <c r="E1100" s="29" t="n">
        <v>0</v>
      </c>
      <c r="F1100" s="31">
        <f>D1100-E1100</f>
        <v/>
      </c>
    </row>
    <row r="1101" ht="15" customHeight="1" s="47">
      <c r="C1101" s="42" t="inlineStr">
        <is>
          <t>Hispanic%</t>
        </is>
      </c>
      <c r="D1101" s="29" t="n">
        <v>0.06756756756756757</v>
      </c>
      <c r="E1101" s="29" t="n">
        <v>0.1442117740023706</v>
      </c>
      <c r="F1101" s="31">
        <f>D1101-E1101</f>
        <v/>
      </c>
    </row>
    <row r="1102" ht="15" customHeight="1" s="47">
      <c r="B1102" s="42" t="inlineStr">
        <is>
          <t>Atlantic City-Hammonton, NJ</t>
        </is>
      </c>
      <c r="C1102" s="42" t="inlineStr">
        <is>
          <t>Loans</t>
        </is>
      </c>
      <c r="D1102" s="46" t="n">
        <v>74</v>
      </c>
      <c r="E1102" s="25" t="n">
        <v>2531</v>
      </c>
    </row>
    <row r="1103" ht="15" customHeight="1" s="47">
      <c r="C1103" s="42" t="inlineStr">
        <is>
          <t xml:space="preserve">LMICT% </t>
        </is>
      </c>
      <c r="D1103" s="29" t="n">
        <v>0.1258448664306405</v>
      </c>
      <c r="E1103" s="29" t="n">
        <v>0.206566044013938</v>
      </c>
      <c r="F1103" s="31">
        <f>D1103-E1103</f>
        <v/>
      </c>
    </row>
    <row r="1104" ht="15" customHeight="1" s="47">
      <c r="C1104" s="42" t="inlineStr">
        <is>
          <t>LMIB%</t>
        </is>
      </c>
      <c r="D1104" s="29" t="n">
        <v>0.1985838429353074</v>
      </c>
      <c r="E1104" s="29" t="n">
        <v>0.245875426321481</v>
      </c>
      <c r="F1104" s="31">
        <f>D1104-E1104</f>
        <v/>
      </c>
    </row>
    <row r="1105" ht="15" customHeight="1" s="47">
      <c r="C1105" s="42" t="inlineStr">
        <is>
          <t>LMIB$</t>
        </is>
      </c>
      <c r="D1105" s="48" t="n">
        <v>144365000</v>
      </c>
      <c r="E1105" s="48" t="n">
        <v>7327070000</v>
      </c>
      <c r="F1105" s="49" t="n"/>
    </row>
    <row r="1106" ht="15" customHeight="1" s="47">
      <c r="C1106" s="42" t="inlineStr">
        <is>
          <t>MMCT%</t>
        </is>
      </c>
      <c r="D1106" s="29" t="n">
        <v>0.2243321532024461</v>
      </c>
      <c r="E1106" s="29" t="n">
        <v>0.2867191038237224</v>
      </c>
      <c r="F1106" s="31">
        <f>D1106-E1106</f>
        <v/>
      </c>
    </row>
    <row r="1107" ht="15" customHeight="1" s="47">
      <c r="C1107" s="42" t="inlineStr">
        <is>
          <t>MINB%</t>
        </is>
      </c>
      <c r="D1107" s="29" t="n">
        <v>0.07756678467975539</v>
      </c>
      <c r="E1107" s="29" t="n">
        <v>0.1644745963232372</v>
      </c>
      <c r="F1107" s="31">
        <f>D1107-E1107</f>
        <v/>
      </c>
    </row>
    <row r="1108" ht="15" customHeight="1" s="47">
      <c r="C1108" s="42" t="inlineStr">
        <is>
          <t>Asian%</t>
        </is>
      </c>
      <c r="D1108" s="29" t="n">
        <v>0</v>
      </c>
      <c r="E1108" s="29" t="n">
        <v>0</v>
      </c>
      <c r="F1108" s="31">
        <f>D1108-E1108</f>
        <v/>
      </c>
    </row>
    <row r="1109" ht="15" customHeight="1" s="47">
      <c r="C1109" s="42" t="inlineStr">
        <is>
          <t>Black%</t>
        </is>
      </c>
      <c r="D1109" s="29" t="n">
        <v>0</v>
      </c>
      <c r="E1109" s="29" t="n">
        <v>0</v>
      </c>
      <c r="F1109" s="31">
        <f>D1109-E1109</f>
        <v/>
      </c>
    </row>
    <row r="1110" ht="15" customHeight="1" s="47">
      <c r="C1110" s="42" t="inlineStr">
        <is>
          <t>Native American%</t>
        </is>
      </c>
      <c r="D1110" s="29" t="n">
        <v>0</v>
      </c>
      <c r="E1110" s="29" t="n">
        <v>0</v>
      </c>
      <c r="F1110" s="31">
        <f>D1110-E1110</f>
        <v/>
      </c>
    </row>
    <row r="1111" ht="15" customHeight="1" s="47">
      <c r="C1111" s="42" t="inlineStr">
        <is>
          <t>HoPI%</t>
        </is>
      </c>
      <c r="D1111" s="29" t="n">
        <v>0</v>
      </c>
      <c r="E1111" s="29" t="n">
        <v>0</v>
      </c>
      <c r="F1111" s="31">
        <f>D1111-E1111</f>
        <v/>
      </c>
    </row>
    <row r="1112" ht="15" customHeight="1" s="47">
      <c r="C1112" s="42" t="inlineStr">
        <is>
          <t>Hispanic%</t>
        </is>
      </c>
      <c r="D1112" s="29" t="n">
        <v>0.07756678467975539</v>
      </c>
      <c r="E1112" s="29" t="n">
        <v>0.1644745963232372</v>
      </c>
      <c r="F1112" s="31">
        <f>D1112-E1112</f>
        <v/>
      </c>
    </row>
    <row r="1113" ht="15" customHeight="1" s="47">
      <c r="B1113" s="42" t="inlineStr">
        <is>
          <t>New York-Newark-Jersey City, NY-NJ-PA</t>
        </is>
      </c>
      <c r="C1113" s="42" t="inlineStr">
        <is>
          <t>Loans</t>
        </is>
      </c>
      <c r="D1113" s="46" t="n">
        <v>3107</v>
      </c>
      <c r="E1113" s="25" t="n">
        <v>108193</v>
      </c>
    </row>
    <row r="1114" ht="15" customHeight="1" s="47">
      <c r="C1114" s="42" t="inlineStr">
        <is>
          <t xml:space="preserve">LMICT% </t>
        </is>
      </c>
      <c r="D1114" s="29" t="n">
        <v>0.1764705882352941</v>
      </c>
      <c r="E1114" s="29" t="n">
        <v>0.1732706514439221</v>
      </c>
      <c r="F1114" s="31">
        <f>D1114-E1114</f>
        <v/>
      </c>
    </row>
    <row r="1115" ht="15" customHeight="1" s="47">
      <c r="C1115" s="42" t="inlineStr">
        <is>
          <t>LMIB%</t>
        </is>
      </c>
      <c r="D1115" s="29" t="n">
        <v>0.2549019607843137</v>
      </c>
      <c r="E1115" s="29" t="n">
        <v>0.2753525856279382</v>
      </c>
      <c r="F1115" s="31">
        <f>D1115-E1115</f>
        <v/>
      </c>
    </row>
    <row r="1116" ht="15" customHeight="1" s="47">
      <c r="C1116" s="42" t="inlineStr">
        <is>
          <t>LMIB$</t>
        </is>
      </c>
      <c r="D1116" s="48" t="n">
        <v>2555000</v>
      </c>
      <c r="E1116" s="48" t="n">
        <v>92340000</v>
      </c>
      <c r="F1116" s="49" t="n"/>
    </row>
    <row r="1117" ht="15" customHeight="1" s="47">
      <c r="C1117" s="42" t="inlineStr">
        <is>
          <t>MMCT%</t>
        </is>
      </c>
      <c r="D1117" s="29" t="n">
        <v>0.0392156862745098</v>
      </c>
      <c r="E1117" s="29" t="n">
        <v>0.01544660846205507</v>
      </c>
      <c r="F1117" s="31">
        <f>D1117-E1117</f>
        <v/>
      </c>
    </row>
    <row r="1118" ht="15" customHeight="1" s="47">
      <c r="C1118" s="42" t="inlineStr">
        <is>
          <t>MINB%</t>
        </is>
      </c>
      <c r="D1118" s="29" t="n">
        <v>0.0196078431372549</v>
      </c>
      <c r="E1118" s="29" t="n">
        <v>0.04365345869711215</v>
      </c>
      <c r="F1118" s="31">
        <f>D1118-E1118</f>
        <v/>
      </c>
    </row>
    <row r="1119" ht="15" customHeight="1" s="47">
      <c r="C1119" s="42" t="inlineStr">
        <is>
          <t>Asian%</t>
        </is>
      </c>
      <c r="D1119" s="29" t="n">
        <v>0</v>
      </c>
      <c r="E1119" s="29" t="n">
        <v>0</v>
      </c>
      <c r="F1119" s="31">
        <f>D1119-E1119</f>
        <v/>
      </c>
    </row>
    <row r="1120" ht="15" customHeight="1" s="47">
      <c r="C1120" s="42" t="inlineStr">
        <is>
          <t>Black%</t>
        </is>
      </c>
      <c r="D1120" s="29" t="n">
        <v>0</v>
      </c>
      <c r="E1120" s="29" t="n">
        <v>0</v>
      </c>
      <c r="F1120" s="31">
        <f>D1120-E1120</f>
        <v/>
      </c>
    </row>
    <row r="1121" ht="15" customHeight="1" s="47">
      <c r="C1121" s="42" t="inlineStr">
        <is>
          <t>Native American%</t>
        </is>
      </c>
      <c r="D1121" s="29" t="n">
        <v>0</v>
      </c>
      <c r="E1121" s="29" t="n">
        <v>0</v>
      </c>
      <c r="F1121" s="31">
        <f>D1121-E1121</f>
        <v/>
      </c>
    </row>
    <row r="1122" ht="15" customHeight="1" s="47">
      <c r="C1122" s="42" t="inlineStr">
        <is>
          <t>HoPI%</t>
        </is>
      </c>
      <c r="D1122" s="29" t="n">
        <v>0</v>
      </c>
      <c r="E1122" s="29" t="n">
        <v>0</v>
      </c>
      <c r="F1122" s="31">
        <f>D1122-E1122</f>
        <v/>
      </c>
    </row>
    <row r="1123" ht="15" customHeight="1" s="47">
      <c r="C1123" s="42" t="inlineStr">
        <is>
          <t>Hispanic%</t>
        </is>
      </c>
      <c r="D1123" s="29" t="n">
        <v>0.0196078431372549</v>
      </c>
      <c r="E1123" s="29" t="n">
        <v>0.04365345869711215</v>
      </c>
      <c r="F1123" s="31">
        <f>D1123-E1123</f>
        <v/>
      </c>
    </row>
    <row r="1124" ht="15" customHeight="1" s="47">
      <c r="B1124" s="42" t="inlineStr">
        <is>
          <t>Ocean City, NJ</t>
        </is>
      </c>
      <c r="C1124" s="42" t="inlineStr">
        <is>
          <t>Loans</t>
        </is>
      </c>
      <c r="D1124" s="46" t="n">
        <v>51</v>
      </c>
      <c r="E1124" s="25" t="n">
        <v>1489</v>
      </c>
    </row>
    <row r="1125" ht="15" customHeight="1" s="47">
      <c r="C1125" s="42" t="inlineStr">
        <is>
          <t xml:space="preserve">LMICT% </t>
        </is>
      </c>
      <c r="D1125" s="29" t="n">
        <v>0.1083333333333333</v>
      </c>
      <c r="E1125" s="29" t="n">
        <v>0.2216616212579886</v>
      </c>
      <c r="F1125" s="31">
        <f>D1125-E1125</f>
        <v/>
      </c>
    </row>
    <row r="1126" ht="15" customHeight="1" s="47">
      <c r="C1126" s="42" t="inlineStr">
        <is>
          <t>LMIB%</t>
        </is>
      </c>
      <c r="D1126" s="29" t="n">
        <v>0.2833333333333333</v>
      </c>
      <c r="E1126" s="29" t="n">
        <v>0.3683148335015136</v>
      </c>
      <c r="F1126" s="31">
        <f>D1126-E1126</f>
        <v/>
      </c>
    </row>
    <row r="1127" ht="15" customHeight="1" s="47">
      <c r="C1127" s="42" t="inlineStr">
        <is>
          <t>LMIB$</t>
        </is>
      </c>
      <c r="D1127" s="48" t="n">
        <v>19950000</v>
      </c>
      <c r="E1127" s="48" t="n">
        <v>484510000</v>
      </c>
      <c r="F1127" s="49" t="n"/>
    </row>
    <row r="1128" ht="15" customHeight="1" s="47">
      <c r="C1128" s="42" t="inlineStr">
        <is>
          <t>MMCT%</t>
        </is>
      </c>
      <c r="D1128" s="29" t="n">
        <v>0.2638888888888889</v>
      </c>
      <c r="E1128" s="29" t="n">
        <v>0.367305751765893</v>
      </c>
      <c r="F1128" s="31">
        <f>D1128-E1128</f>
        <v/>
      </c>
    </row>
    <row r="1129" ht="15" customHeight="1" s="47">
      <c r="C1129" s="42" t="inlineStr">
        <is>
          <t>MINB%</t>
        </is>
      </c>
      <c r="D1129" s="29" t="n">
        <v>0.08888888888888889</v>
      </c>
      <c r="E1129" s="29" t="n">
        <v>0.1508577194752775</v>
      </c>
      <c r="F1129" s="31">
        <f>D1129-E1129</f>
        <v/>
      </c>
    </row>
    <row r="1130" ht="15" customHeight="1" s="47">
      <c r="C1130" s="42" t="inlineStr">
        <is>
          <t>Asian%</t>
        </is>
      </c>
      <c r="D1130" s="29" t="n">
        <v>0</v>
      </c>
      <c r="E1130" s="29" t="n">
        <v>0</v>
      </c>
      <c r="F1130" s="31">
        <f>D1130-E1130</f>
        <v/>
      </c>
    </row>
    <row r="1131" ht="15" customHeight="1" s="47">
      <c r="C1131" s="42" t="inlineStr">
        <is>
          <t>Black%</t>
        </is>
      </c>
      <c r="D1131" s="29" t="n">
        <v>0</v>
      </c>
      <c r="E1131" s="29" t="n">
        <v>0</v>
      </c>
      <c r="F1131" s="31">
        <f>D1131-E1131</f>
        <v/>
      </c>
    </row>
    <row r="1132" ht="15" customHeight="1" s="47">
      <c r="C1132" s="42" t="inlineStr">
        <is>
          <t>Native American%</t>
        </is>
      </c>
      <c r="D1132" s="29" t="n">
        <v>0</v>
      </c>
      <c r="E1132" s="29" t="n">
        <v>0</v>
      </c>
      <c r="F1132" s="31">
        <f>D1132-E1132</f>
        <v/>
      </c>
    </row>
    <row r="1133" ht="15" customHeight="1" s="47">
      <c r="C1133" s="42" t="inlineStr">
        <is>
          <t>HoPI%</t>
        </is>
      </c>
      <c r="D1133" s="29" t="n">
        <v>0</v>
      </c>
      <c r="E1133" s="29" t="n">
        <v>0</v>
      </c>
      <c r="F1133" s="31">
        <f>D1133-E1133</f>
        <v/>
      </c>
    </row>
    <row r="1134" ht="15" customHeight="1" s="47">
      <c r="C1134" s="42" t="inlineStr">
        <is>
          <t>Hispanic%</t>
        </is>
      </c>
      <c r="D1134" s="29" t="n">
        <v>0.08888888888888889</v>
      </c>
      <c r="E1134" s="29" t="n">
        <v>0.1508577194752775</v>
      </c>
      <c r="F1134" s="31">
        <f>D1134-E1134</f>
        <v/>
      </c>
    </row>
    <row r="1135" ht="15" customHeight="1" s="47">
      <c r="B1135" s="42" t="inlineStr">
        <is>
          <t>Trenton-Princeton, NJ</t>
        </is>
      </c>
      <c r="C1135" s="42" t="inlineStr">
        <is>
          <t>Loans</t>
        </is>
      </c>
      <c r="D1135" s="46" t="n">
        <v>360</v>
      </c>
      <c r="E1135" s="25" t="n">
        <v>5946</v>
      </c>
    </row>
    <row r="1136" ht="15" customHeight="1" s="47">
      <c r="C1136" s="42" t="inlineStr">
        <is>
          <t xml:space="preserve">LMICT% </t>
        </is>
      </c>
      <c r="D1136" s="29" t="n">
        <v>0.2</v>
      </c>
      <c r="E1136" s="29" t="n">
        <v>0.09632034632034632</v>
      </c>
      <c r="F1136" s="31">
        <f>D1136-E1136</f>
        <v/>
      </c>
    </row>
    <row r="1137" ht="15" customHeight="1" s="47">
      <c r="C1137" s="42" t="inlineStr">
        <is>
          <t>LMIB%</t>
        </is>
      </c>
      <c r="D1137" s="29" t="n">
        <v>0.25</v>
      </c>
      <c r="E1137" s="29" t="n">
        <v>0.2445887445887446</v>
      </c>
      <c r="F1137" s="31">
        <f>D1137-E1137</f>
        <v/>
      </c>
    </row>
    <row r="1138" ht="15" customHeight="1" s="47">
      <c r="C1138" s="42" t="inlineStr">
        <is>
          <t>LMIB$</t>
        </is>
      </c>
      <c r="D1138" s="48" t="n">
        <v>675000</v>
      </c>
      <c r="E1138" s="48" t="n">
        <v>35250000</v>
      </c>
      <c r="F1138" s="31" t="n"/>
    </row>
    <row r="1139" ht="15" customHeight="1" s="47">
      <c r="C1139" s="42" t="inlineStr">
        <is>
          <t>MMCT%</t>
        </is>
      </c>
      <c r="D1139" s="29" t="n">
        <v>0.35</v>
      </c>
      <c r="E1139" s="29" t="n">
        <v>0.3809523809523809</v>
      </c>
      <c r="F1139" s="31">
        <f>D1139-E1139</f>
        <v/>
      </c>
    </row>
    <row r="1140" ht="15" customHeight="1" s="47">
      <c r="C1140" s="42" t="inlineStr">
        <is>
          <t>MINB%</t>
        </is>
      </c>
      <c r="D1140" s="29" t="n">
        <v>0.2</v>
      </c>
      <c r="E1140" s="29" t="n">
        <v>0.2067099567099567</v>
      </c>
      <c r="F1140" s="31">
        <f>D1140-E1140</f>
        <v/>
      </c>
    </row>
    <row r="1141" ht="15" customHeight="1" s="47">
      <c r="C1141" s="42" t="inlineStr">
        <is>
          <t>Asian%</t>
        </is>
      </c>
      <c r="D1141" s="29" t="n">
        <v>0</v>
      </c>
      <c r="E1141" s="29" t="n">
        <v>0</v>
      </c>
      <c r="F1141" s="31">
        <f>D1141-E1141</f>
        <v/>
      </c>
    </row>
    <row r="1142" ht="15" customHeight="1" s="47">
      <c r="C1142" s="42" t="inlineStr">
        <is>
          <t>Black%</t>
        </is>
      </c>
      <c r="D1142" s="29" t="n">
        <v>0</v>
      </c>
      <c r="E1142" s="29" t="n">
        <v>0</v>
      </c>
      <c r="F1142" s="31">
        <f>D1142-E1142</f>
        <v/>
      </c>
    </row>
    <row r="1143" ht="15" customHeight="1" s="47">
      <c r="C1143" s="42" t="inlineStr">
        <is>
          <t>Native American%</t>
        </is>
      </c>
      <c r="D1143" s="29" t="n">
        <v>0</v>
      </c>
      <c r="E1143" s="29" t="n">
        <v>0</v>
      </c>
      <c r="F1143" s="31">
        <f>D1143-E1143</f>
        <v/>
      </c>
    </row>
    <row r="1144" ht="15" customHeight="1" s="47">
      <c r="C1144" s="42" t="inlineStr">
        <is>
          <t>HoPI%</t>
        </is>
      </c>
      <c r="D1144" s="29" t="n">
        <v>0</v>
      </c>
      <c r="E1144" s="29" t="n">
        <v>0</v>
      </c>
      <c r="F1144" s="31">
        <f>D1144-E1144</f>
        <v/>
      </c>
    </row>
    <row r="1145" ht="15" customHeight="1" s="47">
      <c r="C1145" s="42" t="inlineStr">
        <is>
          <t>Hispanic%</t>
        </is>
      </c>
      <c r="D1145" s="29" t="n">
        <v>0.2</v>
      </c>
      <c r="E1145" s="29" t="n">
        <v>0.2067099567099567</v>
      </c>
      <c r="F1145" s="31">
        <f>D1145-E1145</f>
        <v/>
      </c>
    </row>
    <row r="1146" ht="15" customHeight="1" s="47">
      <c r="B1146" s="42" t="inlineStr">
        <is>
          <t>Vineland-Bridgeton, NJ</t>
        </is>
      </c>
      <c r="C1146" s="42" t="inlineStr">
        <is>
          <t>Loans</t>
        </is>
      </c>
      <c r="D1146" s="46" t="n">
        <v>20</v>
      </c>
      <c r="E1146" s="25" t="n">
        <v>924</v>
      </c>
    </row>
    <row r="1147" ht="15" customHeight="1" s="47">
      <c r="C1147" s="42" t="inlineStr">
        <is>
          <t xml:space="preserve">LMICT% </t>
        </is>
      </c>
      <c r="D1147" s="29" t="n">
        <v>0.03448275862068965</v>
      </c>
      <c r="E1147" s="29" t="n">
        <v>0.04829857299670692</v>
      </c>
      <c r="F1147" s="31">
        <f>D1147-E1147</f>
        <v/>
      </c>
    </row>
    <row r="1148" ht="15" customHeight="1" s="47">
      <c r="C1148" s="42" t="inlineStr">
        <is>
          <t>LMIB%</t>
        </is>
      </c>
      <c r="D1148" s="29" t="n">
        <v>0.2413793103448276</v>
      </c>
      <c r="E1148" s="29" t="n">
        <v>0.2206366630076839</v>
      </c>
      <c r="F1148" s="31">
        <f>D1148-E1148</f>
        <v/>
      </c>
    </row>
    <row r="1149" ht="15" customHeight="1" s="47">
      <c r="C1149" s="42" t="inlineStr">
        <is>
          <t>LMIB$</t>
        </is>
      </c>
      <c r="D1149" s="48" t="n">
        <v>775000</v>
      </c>
      <c r="E1149" s="48" t="n">
        <v>30265000</v>
      </c>
      <c r="F1149" s="49" t="n"/>
    </row>
    <row r="1150" ht="15" customHeight="1" s="47">
      <c r="C1150" s="42" t="inlineStr">
        <is>
          <t>MMCT%</t>
        </is>
      </c>
      <c r="D1150" s="29" t="n">
        <v>0</v>
      </c>
      <c r="E1150" s="29" t="n">
        <v>0</v>
      </c>
      <c r="F1150" s="31">
        <f>D1150-E1150</f>
        <v/>
      </c>
    </row>
    <row r="1151" ht="15" customHeight="1" s="47">
      <c r="C1151" s="42" t="inlineStr">
        <is>
          <t>MINB%</t>
        </is>
      </c>
      <c r="D1151" s="29" t="n">
        <v>0.03448275862068965</v>
      </c>
      <c r="E1151" s="29" t="n">
        <v>0.01975850713501646</v>
      </c>
      <c r="F1151" s="31">
        <f>D1151-E1151</f>
        <v/>
      </c>
    </row>
    <row r="1152" ht="15" customHeight="1" s="47">
      <c r="C1152" s="42" t="inlineStr">
        <is>
          <t>Asian%</t>
        </is>
      </c>
      <c r="D1152" s="29" t="n">
        <v>0</v>
      </c>
      <c r="E1152" s="29" t="n">
        <v>0</v>
      </c>
      <c r="F1152" s="31">
        <f>D1152-E1152</f>
        <v/>
      </c>
    </row>
    <row r="1153" ht="15" customHeight="1" s="47">
      <c r="C1153" s="42" t="inlineStr">
        <is>
          <t>Black%</t>
        </is>
      </c>
      <c r="D1153" s="29" t="n">
        <v>0</v>
      </c>
      <c r="E1153" s="29" t="n">
        <v>0</v>
      </c>
      <c r="F1153" s="31">
        <f>D1153-E1153</f>
        <v/>
      </c>
    </row>
    <row r="1154" ht="15" customHeight="1" s="47">
      <c r="C1154" s="42" t="inlineStr">
        <is>
          <t>Native American%</t>
        </is>
      </c>
      <c r="D1154" s="29" t="n">
        <v>0</v>
      </c>
      <c r="E1154" s="29" t="n">
        <v>0</v>
      </c>
      <c r="F1154" s="31">
        <f>D1154-E1154</f>
        <v/>
      </c>
    </row>
    <row r="1155" ht="15" customHeight="1" s="47">
      <c r="C1155" s="42" t="inlineStr">
        <is>
          <t>HoPI%</t>
        </is>
      </c>
      <c r="D1155" s="29" t="n">
        <v>0</v>
      </c>
      <c r="E1155" s="29" t="n">
        <v>0</v>
      </c>
      <c r="F1155" s="31">
        <f>D1155-E1155</f>
        <v/>
      </c>
    </row>
    <row r="1156" ht="15" customHeight="1" s="47">
      <c r="C1156" s="42" t="inlineStr">
        <is>
          <t>Hispanic%</t>
        </is>
      </c>
      <c r="D1156" s="29" t="n">
        <v>0.03448275862068965</v>
      </c>
      <c r="E1156" s="29" t="n">
        <v>0.01975850713501646</v>
      </c>
      <c r="F1156" s="31">
        <f>D1156-E1156</f>
        <v/>
      </c>
    </row>
    <row r="1157" ht="15" customHeight="1" s="47">
      <c r="B1157" s="42" t="inlineStr">
        <is>
          <t>Kentucky Non-MSA</t>
        </is>
      </c>
      <c r="C1157" s="42" t="inlineStr">
        <is>
          <t>Loans</t>
        </is>
      </c>
      <c r="D1157" s="46" t="n">
        <v>29</v>
      </c>
      <c r="E1157" s="25" t="n">
        <v>911</v>
      </c>
    </row>
    <row r="1158" ht="15" customHeight="1" s="47">
      <c r="C1158" s="42" t="inlineStr">
        <is>
          <t xml:space="preserve">LMICT% </t>
        </is>
      </c>
      <c r="D1158" s="29" t="n">
        <v>0.1052631578947368</v>
      </c>
      <c r="E1158" s="29" t="n">
        <v>0.1279239766081871</v>
      </c>
      <c r="F1158" s="31">
        <f>D1158-E1158</f>
        <v/>
      </c>
    </row>
    <row r="1159" ht="15" customHeight="1" s="47">
      <c r="C1159" s="42" t="inlineStr">
        <is>
          <t>LMIB%</t>
        </is>
      </c>
      <c r="D1159" s="29" t="n">
        <v>0.3157894736842105</v>
      </c>
      <c r="E1159" s="29" t="n">
        <v>0.2288011695906433</v>
      </c>
      <c r="F1159" s="31">
        <f>D1159-E1159</f>
        <v/>
      </c>
    </row>
    <row r="1160" ht="15" customHeight="1" s="47">
      <c r="C1160" s="42" t="inlineStr">
        <is>
          <t>LMIB$</t>
        </is>
      </c>
      <c r="D1160" s="48" t="n">
        <v>2790000</v>
      </c>
      <c r="E1160" s="48" t="n">
        <v>51795000</v>
      </c>
      <c r="F1160" s="49" t="n"/>
    </row>
    <row r="1161" ht="15" customHeight="1" s="47">
      <c r="C1161" s="42" t="inlineStr">
        <is>
          <t>MMCT%</t>
        </is>
      </c>
      <c r="D1161" s="29" t="n">
        <v>0.01754385964912281</v>
      </c>
      <c r="E1161" s="29" t="n">
        <v>0.03508771929824561</v>
      </c>
      <c r="F1161" s="31">
        <f>D1161-E1161</f>
        <v/>
      </c>
    </row>
    <row r="1162" ht="15" customHeight="1" s="47">
      <c r="C1162" s="42" t="inlineStr">
        <is>
          <t>MINB%</t>
        </is>
      </c>
      <c r="D1162" s="29" t="n">
        <v>0.03508771929824561</v>
      </c>
      <c r="E1162" s="29" t="n">
        <v>0.0621345029239766</v>
      </c>
      <c r="F1162" s="31">
        <f>D1162-E1162</f>
        <v/>
      </c>
    </row>
    <row r="1163" ht="15" customHeight="1" s="47">
      <c r="C1163" s="42" t="inlineStr">
        <is>
          <t>Asian%</t>
        </is>
      </c>
      <c r="D1163" s="29" t="n">
        <v>0</v>
      </c>
      <c r="E1163" s="29" t="n">
        <v>0</v>
      </c>
      <c r="F1163" s="31">
        <f>D1163-E1163</f>
        <v/>
      </c>
    </row>
    <row r="1164" ht="15" customHeight="1" s="47">
      <c r="C1164" s="42" t="inlineStr">
        <is>
          <t>Black%</t>
        </is>
      </c>
      <c r="D1164" s="29" t="n">
        <v>0</v>
      </c>
      <c r="E1164" s="29" t="n">
        <v>0</v>
      </c>
      <c r="F1164" s="31">
        <f>D1164-E1164</f>
        <v/>
      </c>
    </row>
    <row r="1165" ht="15" customHeight="1" s="47">
      <c r="C1165" s="42" t="inlineStr">
        <is>
          <t>Native American%</t>
        </is>
      </c>
      <c r="D1165" s="29" t="n">
        <v>0</v>
      </c>
      <c r="E1165" s="29" t="n">
        <v>0</v>
      </c>
      <c r="F1165" s="31">
        <f>D1165-E1165</f>
        <v/>
      </c>
    </row>
    <row r="1166" ht="15" customHeight="1" s="47">
      <c r="C1166" s="42" t="inlineStr">
        <is>
          <t>HoPI%</t>
        </is>
      </c>
      <c r="D1166" s="29" t="n">
        <v>0</v>
      </c>
      <c r="E1166" s="29" t="n">
        <v>0</v>
      </c>
      <c r="F1166" s="31">
        <f>D1166-E1166</f>
        <v/>
      </c>
    </row>
    <row r="1167" ht="15" customHeight="1" s="47">
      <c r="C1167" s="42" t="inlineStr">
        <is>
          <t>Hispanic%</t>
        </is>
      </c>
      <c r="D1167" s="29" t="n">
        <v>0.03508771929824561</v>
      </c>
      <c r="E1167" s="29" t="n">
        <v>0.0621345029239766</v>
      </c>
      <c r="F1167" s="31">
        <f>D1167-E1167</f>
        <v/>
      </c>
    </row>
    <row r="1168" ht="15" customHeight="1" s="47">
      <c r="B1168" s="42" t="inlineStr">
        <is>
          <t>Bowling Green, KY</t>
        </is>
      </c>
      <c r="C1168" s="42" t="inlineStr">
        <is>
          <t>Loans</t>
        </is>
      </c>
      <c r="D1168" s="46" t="n">
        <v>57</v>
      </c>
      <c r="E1168" s="25" t="n">
        <v>1368</v>
      </c>
    </row>
    <row r="1169" ht="15" customHeight="1" s="47">
      <c r="C1169" s="42" t="inlineStr">
        <is>
          <t xml:space="preserve">LMICT% </t>
        </is>
      </c>
      <c r="D1169" s="29" t="n">
        <v>0.04347826086956522</v>
      </c>
      <c r="E1169" s="29" t="n">
        <v>0.03065134099616858</v>
      </c>
      <c r="F1169" s="31">
        <f>D1169-E1169</f>
        <v/>
      </c>
    </row>
    <row r="1170" ht="15" customHeight="1" s="47">
      <c r="C1170" s="42" t="inlineStr">
        <is>
          <t>LMIB%</t>
        </is>
      </c>
      <c r="D1170" s="29" t="n">
        <v>0.4347826086956522</v>
      </c>
      <c r="E1170" s="29" t="n">
        <v>0.2413793103448276</v>
      </c>
      <c r="F1170" s="31">
        <f>D1170-E1170</f>
        <v/>
      </c>
    </row>
    <row r="1171" ht="15" customHeight="1" s="47">
      <c r="C1171" s="42" t="inlineStr">
        <is>
          <t>LMIB$</t>
        </is>
      </c>
      <c r="D1171" s="48" t="n">
        <v>1240000</v>
      </c>
      <c r="E1171" s="48" t="n">
        <v>17160000</v>
      </c>
      <c r="F1171" s="49" t="n"/>
    </row>
    <row r="1172" ht="15" customHeight="1" s="47">
      <c r="C1172" s="42" t="inlineStr">
        <is>
          <t>MMCT%</t>
        </is>
      </c>
      <c r="D1172" s="29" t="n">
        <v>0</v>
      </c>
      <c r="E1172" s="29" t="n">
        <v>0</v>
      </c>
      <c r="F1172" s="31">
        <f>D1172-E1172</f>
        <v/>
      </c>
    </row>
    <row r="1173" ht="15" customHeight="1" s="47">
      <c r="C1173" s="42" t="inlineStr">
        <is>
          <t>MINB%</t>
        </is>
      </c>
      <c r="D1173" s="29" t="n">
        <v>0</v>
      </c>
      <c r="E1173" s="29" t="n">
        <v>0.01532567049808429</v>
      </c>
      <c r="F1173" s="31">
        <f>D1173-E1173</f>
        <v/>
      </c>
    </row>
    <row r="1174" ht="15" customHeight="1" s="47">
      <c r="C1174" s="42" t="inlineStr">
        <is>
          <t>Asian%</t>
        </is>
      </c>
      <c r="D1174" s="29" t="n">
        <v>0</v>
      </c>
      <c r="E1174" s="29" t="n">
        <v>0</v>
      </c>
      <c r="F1174" s="31">
        <f>D1174-E1174</f>
        <v/>
      </c>
    </row>
    <row r="1175" ht="15" customHeight="1" s="47">
      <c r="C1175" s="42" t="inlineStr">
        <is>
          <t>Black%</t>
        </is>
      </c>
      <c r="D1175" s="29" t="n">
        <v>0</v>
      </c>
      <c r="E1175" s="29" t="n">
        <v>0</v>
      </c>
      <c r="F1175" s="31">
        <f>D1175-E1175</f>
        <v/>
      </c>
    </row>
    <row r="1176" ht="15" customHeight="1" s="47">
      <c r="C1176" s="42" t="inlineStr">
        <is>
          <t>Native American%</t>
        </is>
      </c>
      <c r="D1176" s="29" t="n">
        <v>0</v>
      </c>
      <c r="E1176" s="29" t="n">
        <v>0</v>
      </c>
      <c r="F1176" s="31">
        <f>D1176-E1176</f>
        <v/>
      </c>
    </row>
    <row r="1177" ht="15" customHeight="1" s="47">
      <c r="C1177" s="42" t="inlineStr">
        <is>
          <t>HoPI%</t>
        </is>
      </c>
      <c r="D1177" s="29" t="n">
        <v>0</v>
      </c>
      <c r="E1177" s="29" t="n">
        <v>0</v>
      </c>
      <c r="F1177" s="31">
        <f>D1177-E1177</f>
        <v/>
      </c>
    </row>
    <row r="1178" ht="15" customHeight="1" s="47">
      <c r="C1178" s="42" t="inlineStr">
        <is>
          <t>Hispanic%</t>
        </is>
      </c>
      <c r="D1178" s="29" t="n">
        <v>0</v>
      </c>
      <c r="E1178" s="29" t="n">
        <v>0.01532567049808429</v>
      </c>
      <c r="F1178" s="31">
        <f>D1178-E1178</f>
        <v/>
      </c>
    </row>
    <row r="1179" ht="15" customHeight="1" s="47">
      <c r="B1179" s="42" t="inlineStr">
        <is>
          <t>Kentucky Non-MSA</t>
        </is>
      </c>
      <c r="C1179" s="42" t="inlineStr">
        <is>
          <t>Loans</t>
        </is>
      </c>
      <c r="D1179" s="46" t="n">
        <v>23</v>
      </c>
      <c r="E1179" s="25" t="n">
        <v>522</v>
      </c>
    </row>
    <row r="1180" ht="15" customHeight="1" s="47">
      <c r="C1180" s="42" t="inlineStr">
        <is>
          <t xml:space="preserve">LMICT% </t>
        </is>
      </c>
      <c r="D1180" s="29" t="n">
        <v>0.1904761904761905</v>
      </c>
      <c r="E1180" s="29" t="n">
        <v>0.1942902458366376</v>
      </c>
      <c r="F1180" s="31">
        <f>D1180-E1180</f>
        <v/>
      </c>
    </row>
    <row r="1181" ht="15" customHeight="1" s="47">
      <c r="C1181" s="42" t="inlineStr">
        <is>
          <t>LMIB%</t>
        </is>
      </c>
      <c r="D1181" s="29" t="n">
        <v>0.3095238095238095</v>
      </c>
      <c r="E1181" s="29" t="n">
        <v>0.3267248215701823</v>
      </c>
      <c r="F1181" s="31">
        <f>D1181-E1181</f>
        <v/>
      </c>
    </row>
    <row r="1182" ht="15" customHeight="1" s="47">
      <c r="C1182" s="42" t="inlineStr">
        <is>
          <t>LMIB$</t>
        </is>
      </c>
      <c r="D1182" s="48" t="n">
        <v>1665000</v>
      </c>
      <c r="E1182" s="48" t="n">
        <v>65020000</v>
      </c>
      <c r="F1182" s="49" t="n"/>
    </row>
    <row r="1183" ht="15" customHeight="1" s="47">
      <c r="C1183" s="42" t="inlineStr">
        <is>
          <t>MMCT%</t>
        </is>
      </c>
      <c r="D1183" s="29" t="n">
        <v>0</v>
      </c>
      <c r="E1183" s="29" t="n">
        <v>0</v>
      </c>
      <c r="F1183" s="31">
        <f>D1183-E1183</f>
        <v/>
      </c>
    </row>
    <row r="1184" ht="15" customHeight="1" s="47">
      <c r="C1184" s="42" t="inlineStr">
        <is>
          <t>MINB%</t>
        </is>
      </c>
      <c r="D1184" s="29" t="n">
        <v>0.02380952380952381</v>
      </c>
      <c r="E1184" s="29" t="n">
        <v>0.05233941316415543</v>
      </c>
      <c r="F1184" s="31">
        <f>D1184-E1184</f>
        <v/>
      </c>
    </row>
    <row r="1185" ht="15" customHeight="1" s="47">
      <c r="C1185" s="42" t="inlineStr">
        <is>
          <t>Asian%</t>
        </is>
      </c>
      <c r="D1185" s="29" t="n">
        <v>0</v>
      </c>
      <c r="E1185" s="29" t="n">
        <v>0</v>
      </c>
      <c r="F1185" s="31">
        <f>D1185-E1185</f>
        <v/>
      </c>
    </row>
    <row r="1186" ht="15" customHeight="1" s="47">
      <c r="C1186" s="42" t="inlineStr">
        <is>
          <t>Black%</t>
        </is>
      </c>
      <c r="D1186" s="29" t="n">
        <v>0</v>
      </c>
      <c r="E1186" s="29" t="n">
        <v>0</v>
      </c>
      <c r="F1186" s="31">
        <f>D1186-E1186</f>
        <v/>
      </c>
    </row>
    <row r="1187" ht="15" customHeight="1" s="47">
      <c r="C1187" s="42" t="inlineStr">
        <is>
          <t>Native American%</t>
        </is>
      </c>
      <c r="D1187" s="29" t="n">
        <v>0</v>
      </c>
      <c r="E1187" s="29" t="n">
        <v>0</v>
      </c>
      <c r="F1187" s="31">
        <f>D1187-E1187</f>
        <v/>
      </c>
    </row>
    <row r="1188" ht="15" customHeight="1" s="47">
      <c r="C1188" s="42" t="inlineStr">
        <is>
          <t>HoPI%</t>
        </is>
      </c>
      <c r="D1188" s="29" t="n">
        <v>0</v>
      </c>
      <c r="E1188" s="29" t="n">
        <v>0</v>
      </c>
      <c r="F1188" s="31">
        <f>D1188-E1188</f>
        <v/>
      </c>
    </row>
    <row r="1189" ht="15" customHeight="1" s="47">
      <c r="C1189" s="42" t="inlineStr">
        <is>
          <t>Hispanic%</t>
        </is>
      </c>
      <c r="D1189" s="29" t="n">
        <v>0.02380952380952381</v>
      </c>
      <c r="E1189" s="29" t="n">
        <v>0.05233941316415543</v>
      </c>
      <c r="F1189" s="31">
        <f>D1189-E1189</f>
        <v/>
      </c>
    </row>
    <row r="1190" ht="15" customHeight="1" s="47">
      <c r="B1190" s="42" t="inlineStr">
        <is>
          <t>Elizabethtown-Fort Knox, KY</t>
        </is>
      </c>
      <c r="C1190" s="42" t="inlineStr">
        <is>
          <t>Loans</t>
        </is>
      </c>
      <c r="D1190" s="46" t="n">
        <v>42</v>
      </c>
      <c r="E1190" s="25" t="n">
        <v>1261</v>
      </c>
    </row>
    <row r="1191" ht="15" customHeight="1" s="47">
      <c r="C1191" s="42" t="inlineStr">
        <is>
          <t xml:space="preserve">LMICT% </t>
        </is>
      </c>
      <c r="D1191" s="29" t="n">
        <v>0.125</v>
      </c>
      <c r="E1191" s="29" t="n">
        <v>0.06554307116104868</v>
      </c>
      <c r="F1191" s="31">
        <f>D1191-E1191</f>
        <v/>
      </c>
    </row>
    <row r="1192" ht="15" customHeight="1" s="47">
      <c r="C1192" s="42" t="inlineStr">
        <is>
          <t>LMIB%</t>
        </is>
      </c>
      <c r="D1192" s="29" t="n">
        <v>0.1875</v>
      </c>
      <c r="E1192" s="29" t="n">
        <v>0.2078651685393259</v>
      </c>
      <c r="F1192" s="31">
        <f>D1192-E1192</f>
        <v/>
      </c>
    </row>
    <row r="1193" ht="15" customHeight="1" s="47">
      <c r="C1193" s="42" t="inlineStr">
        <is>
          <t>LMIB$</t>
        </is>
      </c>
      <c r="D1193" s="48" t="n">
        <v>940000</v>
      </c>
      <c r="E1193" s="48" t="n">
        <v>29340000</v>
      </c>
      <c r="F1193" s="49" t="n"/>
    </row>
    <row r="1194" ht="15" customHeight="1" s="47">
      <c r="C1194" s="42" t="inlineStr">
        <is>
          <t>MMCT%</t>
        </is>
      </c>
      <c r="D1194" s="29" t="n">
        <v>0</v>
      </c>
      <c r="E1194" s="29" t="n">
        <v>0</v>
      </c>
      <c r="F1194" s="31">
        <f>D1194-E1194</f>
        <v/>
      </c>
    </row>
    <row r="1195" ht="15" customHeight="1" s="47">
      <c r="C1195" s="42" t="inlineStr">
        <is>
          <t>MINB%</t>
        </is>
      </c>
      <c r="D1195" s="29" t="n">
        <v>0.03125</v>
      </c>
      <c r="E1195" s="29" t="n">
        <v>0.03838951310861423</v>
      </c>
      <c r="F1195" s="31">
        <f>D1195-E1195</f>
        <v/>
      </c>
    </row>
    <row r="1196" ht="15" customHeight="1" s="47">
      <c r="C1196" s="42" t="inlineStr">
        <is>
          <t>Asian%</t>
        </is>
      </c>
      <c r="D1196" s="29" t="n">
        <v>0</v>
      </c>
      <c r="E1196" s="29" t="n">
        <v>0</v>
      </c>
      <c r="F1196" s="31">
        <f>D1196-E1196</f>
        <v/>
      </c>
    </row>
    <row r="1197" ht="15" customHeight="1" s="47">
      <c r="C1197" s="42" t="inlineStr">
        <is>
          <t>Black%</t>
        </is>
      </c>
      <c r="D1197" s="29" t="n">
        <v>0</v>
      </c>
      <c r="E1197" s="29" t="n">
        <v>0</v>
      </c>
      <c r="F1197" s="31">
        <f>D1197-E1197</f>
        <v/>
      </c>
    </row>
    <row r="1198" ht="15" customHeight="1" s="47">
      <c r="C1198" s="42" t="inlineStr">
        <is>
          <t>Native American%</t>
        </is>
      </c>
      <c r="D1198" s="29" t="n">
        <v>0</v>
      </c>
      <c r="E1198" s="29" t="n">
        <v>0</v>
      </c>
      <c r="F1198" s="31">
        <f>D1198-E1198</f>
        <v/>
      </c>
    </row>
    <row r="1199" ht="15" customHeight="1" s="47">
      <c r="C1199" s="42" t="inlineStr">
        <is>
          <t>HoPI%</t>
        </is>
      </c>
      <c r="D1199" s="29" t="n">
        <v>0</v>
      </c>
      <c r="E1199" s="29" t="n">
        <v>0</v>
      </c>
      <c r="F1199" s="31">
        <f>D1199-E1199</f>
        <v/>
      </c>
    </row>
    <row r="1200" ht="15" customHeight="1" s="47">
      <c r="C1200" s="42" t="inlineStr">
        <is>
          <t>Hispanic%</t>
        </is>
      </c>
      <c r="D1200" s="29" t="n">
        <v>0.03125</v>
      </c>
      <c r="E1200" s="29" t="n">
        <v>0.03838951310861423</v>
      </c>
      <c r="F1200" s="31">
        <f>D1200-E1200</f>
        <v/>
      </c>
    </row>
    <row r="1201" ht="15" customHeight="1" s="47">
      <c r="B1201" s="42" t="inlineStr">
        <is>
          <t>Kentucky Non-MSA</t>
        </is>
      </c>
      <c r="C1201" s="42" t="inlineStr">
        <is>
          <t>Loans</t>
        </is>
      </c>
      <c r="D1201" s="46" t="n">
        <v>32</v>
      </c>
      <c r="E1201" s="25" t="n">
        <v>1068</v>
      </c>
    </row>
    <row r="1202" ht="15" customHeight="1" s="47">
      <c r="C1202" s="42" t="inlineStr">
        <is>
          <t xml:space="preserve">LMICT% </t>
        </is>
      </c>
      <c r="D1202" s="29" t="n">
        <v>0.09859154929577464</v>
      </c>
      <c r="E1202" s="29" t="n">
        <v>0.142156862745098</v>
      </c>
      <c r="F1202" s="31">
        <f>D1202-E1202</f>
        <v/>
      </c>
    </row>
    <row r="1203" ht="15" customHeight="1" s="47">
      <c r="C1203" s="42" t="inlineStr">
        <is>
          <t>LMIB%</t>
        </is>
      </c>
      <c r="D1203" s="29" t="n">
        <v>0.3239436619718311</v>
      </c>
      <c r="E1203" s="29" t="n">
        <v>0.3216911764705883</v>
      </c>
      <c r="F1203" s="31">
        <f>D1203-E1203</f>
        <v/>
      </c>
    </row>
    <row r="1204" ht="15" customHeight="1" s="47">
      <c r="C1204" s="42" t="inlineStr">
        <is>
          <t>LMIB$</t>
        </is>
      </c>
      <c r="D1204" s="48" t="n">
        <v>2275000</v>
      </c>
      <c r="E1204" s="48" t="n">
        <v>54495000</v>
      </c>
      <c r="F1204" s="49" t="n"/>
    </row>
    <row r="1205" ht="15" customHeight="1" s="47">
      <c r="C1205" s="42" t="inlineStr">
        <is>
          <t>MMCT%</t>
        </is>
      </c>
      <c r="D1205" s="29" t="n">
        <v>0</v>
      </c>
      <c r="E1205" s="29" t="n">
        <v>0</v>
      </c>
      <c r="F1205" s="31">
        <f>D1205-E1205</f>
        <v/>
      </c>
    </row>
    <row r="1206" ht="15" customHeight="1" s="47">
      <c r="C1206" s="42" t="inlineStr">
        <is>
          <t>MINB%</t>
        </is>
      </c>
      <c r="D1206" s="29" t="n">
        <v>0.02816901408450705</v>
      </c>
      <c r="E1206" s="29" t="n">
        <v>0.01654411764705882</v>
      </c>
      <c r="F1206" s="31">
        <f>D1206-E1206</f>
        <v/>
      </c>
    </row>
    <row r="1207" ht="15" customHeight="1" s="47">
      <c r="C1207" s="42" t="inlineStr">
        <is>
          <t>Asian%</t>
        </is>
      </c>
      <c r="D1207" s="29" t="n">
        <v>0</v>
      </c>
      <c r="E1207" s="29" t="n">
        <v>0</v>
      </c>
      <c r="F1207" s="31">
        <f>D1207-E1207</f>
        <v/>
      </c>
    </row>
    <row r="1208" ht="15" customHeight="1" s="47">
      <c r="C1208" s="42" t="inlineStr">
        <is>
          <t>Black%</t>
        </is>
      </c>
      <c r="D1208" s="29" t="n">
        <v>0</v>
      </c>
      <c r="E1208" s="29" t="n">
        <v>0</v>
      </c>
      <c r="F1208" s="31">
        <f>D1208-E1208</f>
        <v/>
      </c>
    </row>
    <row r="1209" ht="15" customHeight="1" s="47">
      <c r="C1209" s="42" t="inlineStr">
        <is>
          <t>Native American%</t>
        </is>
      </c>
      <c r="D1209" s="29" t="n">
        <v>0</v>
      </c>
      <c r="E1209" s="29" t="n">
        <v>0</v>
      </c>
      <c r="F1209" s="31">
        <f>D1209-E1209</f>
        <v/>
      </c>
    </row>
    <row r="1210" ht="15" customHeight="1" s="47">
      <c r="C1210" s="42" t="inlineStr">
        <is>
          <t>HoPI%</t>
        </is>
      </c>
      <c r="D1210" s="29" t="n">
        <v>0</v>
      </c>
      <c r="E1210" s="29" t="n">
        <v>0</v>
      </c>
      <c r="F1210" s="31">
        <f>D1210-E1210</f>
        <v/>
      </c>
    </row>
    <row r="1211" ht="15" customHeight="1" s="47">
      <c r="C1211" s="42" t="inlineStr">
        <is>
          <t>Hispanic%</t>
        </is>
      </c>
      <c r="D1211" s="29" t="n">
        <v>0.02816901408450705</v>
      </c>
      <c r="E1211" s="29" t="n">
        <v>0.01654411764705882</v>
      </c>
      <c r="F1211" s="31">
        <f>D1211-E1211</f>
        <v/>
      </c>
    </row>
    <row r="1212" ht="15" customHeight="1" s="47">
      <c r="B1212" s="42" t="inlineStr">
        <is>
          <t>Huntington-Ashland, WV-KY-OH</t>
        </is>
      </c>
      <c r="C1212" s="42" t="inlineStr">
        <is>
          <t>Loans</t>
        </is>
      </c>
      <c r="D1212" s="46" t="n">
        <v>71</v>
      </c>
      <c r="E1212" s="25" t="n">
        <v>1632</v>
      </c>
    </row>
    <row r="1213" ht="15" customHeight="1" s="47">
      <c r="C1213" s="42" t="inlineStr">
        <is>
          <t xml:space="preserve">LMICT% </t>
        </is>
      </c>
      <c r="D1213" s="29" t="n">
        <v>0.2163009404388715</v>
      </c>
      <c r="E1213" s="29" t="n">
        <v>0.2233624454148471</v>
      </c>
      <c r="F1213" s="31">
        <f>D1213-E1213</f>
        <v/>
      </c>
    </row>
    <row r="1214" ht="15" customHeight="1" s="47">
      <c r="C1214" s="42" t="inlineStr">
        <is>
          <t>LMIB%</t>
        </is>
      </c>
      <c r="D1214" s="29" t="n">
        <v>0.3761755485893417</v>
      </c>
      <c r="E1214" s="29" t="n">
        <v>0.3694323144104804</v>
      </c>
      <c r="F1214" s="31">
        <f>D1214-E1214</f>
        <v/>
      </c>
    </row>
    <row r="1215" ht="15" customHeight="1" s="47">
      <c r="C1215" s="42" t="inlineStr">
        <is>
          <t>LMIB$</t>
        </is>
      </c>
      <c r="D1215" s="48" t="n">
        <v>20700000</v>
      </c>
      <c r="E1215" s="48" t="n">
        <v>599220000</v>
      </c>
      <c r="F1215" s="49" t="n"/>
    </row>
    <row r="1216" ht="15" customHeight="1" s="47">
      <c r="C1216" s="42" t="inlineStr">
        <is>
          <t>MMCT%</t>
        </is>
      </c>
      <c r="D1216" s="29" t="n">
        <v>0.03448275862068965</v>
      </c>
      <c r="E1216" s="29" t="n">
        <v>0.03930131004366812</v>
      </c>
      <c r="F1216" s="31">
        <f>D1216-E1216</f>
        <v/>
      </c>
    </row>
    <row r="1217" ht="15" customHeight="1" s="47">
      <c r="C1217" s="42" t="inlineStr">
        <is>
          <t>MINB%</t>
        </is>
      </c>
      <c r="D1217" s="29" t="n">
        <v>0.02507836990595611</v>
      </c>
      <c r="E1217" s="29" t="n">
        <v>0.0517467248908297</v>
      </c>
      <c r="F1217" s="31">
        <f>D1217-E1217</f>
        <v/>
      </c>
    </row>
    <row r="1218" ht="15" customHeight="1" s="47">
      <c r="C1218" s="42" t="inlineStr">
        <is>
          <t>Asian%</t>
        </is>
      </c>
      <c r="D1218" s="29" t="n">
        <v>0</v>
      </c>
      <c r="E1218" s="29" t="n">
        <v>0</v>
      </c>
      <c r="F1218" s="31">
        <f>D1218-E1218</f>
        <v/>
      </c>
    </row>
    <row r="1219" ht="15" customHeight="1" s="47">
      <c r="C1219" s="42" t="inlineStr">
        <is>
          <t>Black%</t>
        </is>
      </c>
      <c r="D1219" s="29" t="n">
        <v>0</v>
      </c>
      <c r="E1219" s="29" t="n">
        <v>0</v>
      </c>
      <c r="F1219" s="31">
        <f>D1219-E1219</f>
        <v/>
      </c>
    </row>
    <row r="1220" ht="15" customHeight="1" s="47">
      <c r="C1220" s="42" t="inlineStr">
        <is>
          <t>Native American%</t>
        </is>
      </c>
      <c r="D1220" s="29" t="n">
        <v>0</v>
      </c>
      <c r="E1220" s="29" t="n">
        <v>0</v>
      </c>
      <c r="F1220" s="31">
        <f>D1220-E1220</f>
        <v/>
      </c>
    </row>
    <row r="1221" ht="15" customHeight="1" s="47">
      <c r="C1221" s="42" t="inlineStr">
        <is>
          <t>HoPI%</t>
        </is>
      </c>
      <c r="D1221" s="29" t="n">
        <v>0</v>
      </c>
      <c r="E1221" s="29" t="n">
        <v>0</v>
      </c>
      <c r="F1221" s="31">
        <f>D1221-E1221</f>
        <v/>
      </c>
    </row>
    <row r="1222" ht="15" customHeight="1" s="47">
      <c r="C1222" s="42" t="inlineStr">
        <is>
          <t>Hispanic%</t>
        </is>
      </c>
      <c r="D1222" s="29" t="n">
        <v>0.02507836990595611</v>
      </c>
      <c r="E1222" s="29" t="n">
        <v>0.0517467248908297</v>
      </c>
      <c r="F1222" s="31">
        <f>D1222-E1222</f>
        <v/>
      </c>
    </row>
    <row r="1223" ht="15" customHeight="1" s="47">
      <c r="B1223" s="42" t="inlineStr">
        <is>
          <t>Lexington-Fayette, KY</t>
        </is>
      </c>
      <c r="C1223" s="42" t="inlineStr">
        <is>
          <t>Loans</t>
        </is>
      </c>
      <c r="D1223" s="46" t="n">
        <v>319</v>
      </c>
      <c r="E1223" s="25" t="n">
        <v>9160</v>
      </c>
    </row>
    <row r="1224" ht="15" customHeight="1" s="47">
      <c r="C1224" s="42" t="inlineStr">
        <is>
          <t xml:space="preserve">LMICT% </t>
        </is>
      </c>
      <c r="D1224" s="29" t="n">
        <v>0.3134328358208955</v>
      </c>
      <c r="E1224" s="29" t="n">
        <v>0.3247962747380676</v>
      </c>
      <c r="F1224" s="31">
        <f>D1224-E1224</f>
        <v/>
      </c>
    </row>
    <row r="1225" ht="15" customHeight="1" s="47">
      <c r="C1225" s="42" t="inlineStr">
        <is>
          <t>LMIB%</t>
        </is>
      </c>
      <c r="D1225" s="29" t="n">
        <v>0.1940298507462687</v>
      </c>
      <c r="E1225" s="29" t="n">
        <v>0.2689173457508731</v>
      </c>
      <c r="F1225" s="31">
        <f>D1225-E1225</f>
        <v/>
      </c>
    </row>
    <row r="1226" ht="15" customHeight="1" s="47">
      <c r="C1226" s="42" t="inlineStr">
        <is>
          <t>LMIB$</t>
        </is>
      </c>
      <c r="D1226" s="48" t="n">
        <v>1305000</v>
      </c>
      <c r="E1226" s="48" t="n">
        <v>27975000</v>
      </c>
      <c r="F1226" s="49" t="n"/>
    </row>
    <row r="1227" ht="15" customHeight="1" s="47">
      <c r="C1227" s="42" t="inlineStr">
        <is>
          <t>MMCT%</t>
        </is>
      </c>
      <c r="D1227" s="29" t="n">
        <v>0</v>
      </c>
      <c r="E1227" s="29" t="n">
        <v>0</v>
      </c>
      <c r="F1227" s="31">
        <f>D1227-E1227</f>
        <v/>
      </c>
    </row>
    <row r="1228" ht="15" customHeight="1" s="47">
      <c r="C1228" s="42" t="inlineStr">
        <is>
          <t>MINB%</t>
        </is>
      </c>
      <c r="D1228" s="29" t="n">
        <v>0.01492537313432836</v>
      </c>
      <c r="E1228" s="29" t="n">
        <v>0.009313154831199068</v>
      </c>
      <c r="F1228" s="31">
        <f>D1228-E1228</f>
        <v/>
      </c>
    </row>
    <row r="1229" ht="15" customHeight="1" s="47">
      <c r="C1229" s="42" t="inlineStr">
        <is>
          <t>Asian%</t>
        </is>
      </c>
      <c r="D1229" s="29" t="n">
        <v>0</v>
      </c>
      <c r="E1229" s="29" t="n">
        <v>0</v>
      </c>
      <c r="F1229" s="31">
        <f>D1229-E1229</f>
        <v/>
      </c>
    </row>
    <row r="1230" ht="15" customHeight="1" s="47">
      <c r="C1230" s="42" t="inlineStr">
        <is>
          <t>Black%</t>
        </is>
      </c>
      <c r="D1230" s="29" t="n">
        <v>0</v>
      </c>
      <c r="E1230" s="29" t="n">
        <v>0</v>
      </c>
      <c r="F1230" s="31">
        <f>D1230-E1230</f>
        <v/>
      </c>
    </row>
    <row r="1231" ht="15" customHeight="1" s="47">
      <c r="C1231" s="42" t="inlineStr">
        <is>
          <t>Native American%</t>
        </is>
      </c>
      <c r="D1231" s="29" t="n">
        <v>0</v>
      </c>
      <c r="E1231" s="29" t="n">
        <v>0</v>
      </c>
      <c r="F1231" s="31">
        <f>D1231-E1231</f>
        <v/>
      </c>
    </row>
    <row r="1232" ht="15" customHeight="1" s="47">
      <c r="C1232" s="42" t="inlineStr">
        <is>
          <t>HoPI%</t>
        </is>
      </c>
      <c r="D1232" s="29" t="n">
        <v>0</v>
      </c>
      <c r="E1232" s="29" t="n">
        <v>0</v>
      </c>
      <c r="F1232" s="31">
        <f>D1232-E1232</f>
        <v/>
      </c>
    </row>
    <row r="1233" ht="15" customHeight="1" s="47">
      <c r="C1233" s="42" t="inlineStr">
        <is>
          <t>Hispanic%</t>
        </is>
      </c>
      <c r="D1233" s="29" t="n">
        <v>0.01492537313432836</v>
      </c>
      <c r="E1233" s="29" t="n">
        <v>0.009313154831199068</v>
      </c>
      <c r="F1233" s="31">
        <f>D1233-E1233</f>
        <v/>
      </c>
    </row>
    <row r="1234" ht="15" customHeight="1" s="47">
      <c r="B1234" s="42" t="inlineStr">
        <is>
          <t>Kentucky Non-MSA</t>
        </is>
      </c>
      <c r="C1234" s="42" t="inlineStr">
        <is>
          <t>Loans</t>
        </is>
      </c>
      <c r="D1234" s="46" t="n">
        <v>67</v>
      </c>
      <c r="E1234" s="25" t="n">
        <v>859</v>
      </c>
    </row>
    <row r="1235" ht="15" customHeight="1" s="47">
      <c r="C1235" s="42" t="inlineStr">
        <is>
          <t xml:space="preserve">LMICT% </t>
        </is>
      </c>
      <c r="D1235" s="29" t="n">
        <v>1</v>
      </c>
      <c r="E1235" s="29" t="n">
        <v>0.8571428571428571</v>
      </c>
      <c r="F1235" s="31">
        <f>D1235-E1235</f>
        <v/>
      </c>
    </row>
    <row r="1236" ht="15" customHeight="1" s="47">
      <c r="C1236" s="42" t="inlineStr">
        <is>
          <t>LMIB%</t>
        </is>
      </c>
      <c r="D1236" s="29" t="n">
        <v>1</v>
      </c>
      <c r="E1236" s="29" t="n">
        <v>0.2857142857142857</v>
      </c>
      <c r="F1236" s="31">
        <f>D1236-E1236</f>
        <v/>
      </c>
    </row>
    <row r="1237" ht="15" customHeight="1" s="47">
      <c r="C1237" s="42" t="inlineStr">
        <is>
          <t>LMIB$</t>
        </is>
      </c>
      <c r="D1237" s="48" t="n">
        <v>55000</v>
      </c>
      <c r="E1237" s="48" t="n">
        <v>510000</v>
      </c>
      <c r="F1237" s="31" t="n"/>
    </row>
    <row r="1238" ht="15" customHeight="1" s="47">
      <c r="C1238" s="42" t="inlineStr">
        <is>
          <t>MMCT%</t>
        </is>
      </c>
      <c r="D1238" s="29" t="n">
        <v>0</v>
      </c>
      <c r="E1238" s="29" t="n">
        <v>0</v>
      </c>
      <c r="F1238" s="31">
        <f>D1238-E1238</f>
        <v/>
      </c>
    </row>
    <row r="1239" ht="15" customHeight="1" s="47">
      <c r="C1239" s="42" t="inlineStr">
        <is>
          <t>MINB%</t>
        </is>
      </c>
      <c r="D1239" s="29" t="n">
        <v>0</v>
      </c>
      <c r="E1239" s="29" t="n">
        <v>0</v>
      </c>
      <c r="F1239" s="31">
        <f>D1239-E1239</f>
        <v/>
      </c>
    </row>
    <row r="1240" ht="15" customHeight="1" s="47">
      <c r="C1240" s="42" t="inlineStr">
        <is>
          <t>Asian%</t>
        </is>
      </c>
      <c r="D1240" s="29" t="n">
        <v>0</v>
      </c>
      <c r="E1240" s="29" t="n">
        <v>0</v>
      </c>
      <c r="F1240" s="31">
        <f>D1240-E1240</f>
        <v/>
      </c>
    </row>
    <row r="1241" ht="15" customHeight="1" s="47">
      <c r="C1241" s="42" t="inlineStr">
        <is>
          <t>Black%</t>
        </is>
      </c>
      <c r="D1241" s="29" t="n">
        <v>0</v>
      </c>
      <c r="E1241" s="29" t="n">
        <v>0</v>
      </c>
      <c r="F1241" s="31">
        <f>D1241-E1241</f>
        <v/>
      </c>
    </row>
    <row r="1242" ht="15" customHeight="1" s="47">
      <c r="C1242" s="42" t="inlineStr">
        <is>
          <t>Native American%</t>
        </is>
      </c>
      <c r="D1242" s="29" t="n">
        <v>0</v>
      </c>
      <c r="E1242" s="29" t="n">
        <v>0</v>
      </c>
      <c r="F1242" s="31">
        <f>D1242-E1242</f>
        <v/>
      </c>
    </row>
    <row r="1243" ht="15" customHeight="1" s="47">
      <c r="C1243" s="42" t="inlineStr">
        <is>
          <t>HoPI%</t>
        </is>
      </c>
      <c r="D1243" s="29" t="n">
        <v>0</v>
      </c>
      <c r="E1243" s="29" t="n">
        <v>0</v>
      </c>
      <c r="F1243" s="31">
        <f>D1243-E1243</f>
        <v/>
      </c>
    </row>
    <row r="1244" ht="15" customHeight="1" s="47">
      <c r="C1244" s="42" t="inlineStr">
        <is>
          <t>Hispanic%</t>
        </is>
      </c>
      <c r="D1244" s="29" t="n">
        <v>0</v>
      </c>
      <c r="E1244" s="29" t="n">
        <v>0</v>
      </c>
      <c r="F1244" s="31">
        <f>D1244-E1244</f>
        <v/>
      </c>
    </row>
    <row r="1245" ht="15" customHeight="1" s="47">
      <c r="B1245" s="42" t="inlineStr">
        <is>
          <t>Kentucky Non-MSA</t>
        </is>
      </c>
      <c r="C1245" s="42" t="inlineStr">
        <is>
          <t>Loans</t>
        </is>
      </c>
      <c r="D1245" s="46" t="n">
        <v>1</v>
      </c>
      <c r="E1245" s="25" t="n">
        <v>21</v>
      </c>
    </row>
    <row r="1246" ht="15" customHeight="1" s="47">
      <c r="C1246" s="42" t="inlineStr">
        <is>
          <t xml:space="preserve">LMICT% </t>
        </is>
      </c>
      <c r="D1246" s="29" t="n">
        <v>0.1153846153846154</v>
      </c>
      <c r="E1246" s="29" t="n">
        <v>0.2209944751381215</v>
      </c>
      <c r="F1246" s="31">
        <f>D1246-E1246</f>
        <v/>
      </c>
    </row>
    <row r="1247" ht="15" customHeight="1" s="47">
      <c r="C1247" s="42" t="inlineStr">
        <is>
          <t>LMIB%</t>
        </is>
      </c>
      <c r="D1247" s="29" t="n">
        <v>0.2307692307692308</v>
      </c>
      <c r="E1247" s="29" t="n">
        <v>0.3996316758747697</v>
      </c>
      <c r="F1247" s="31">
        <f>D1247-E1247</f>
        <v/>
      </c>
    </row>
    <row r="1248" ht="15" customHeight="1" s="47">
      <c r="C1248" s="42" t="inlineStr">
        <is>
          <t>LMIB$</t>
        </is>
      </c>
      <c r="D1248" s="48" t="n">
        <v>780000</v>
      </c>
      <c r="E1248" s="48" t="n">
        <v>28585000</v>
      </c>
      <c r="F1248" s="49" t="n"/>
    </row>
    <row r="1249" ht="15" customHeight="1" s="47">
      <c r="C1249" s="42" t="inlineStr">
        <is>
          <t>MMCT%</t>
        </is>
      </c>
      <c r="D1249" s="29" t="n">
        <v>0</v>
      </c>
      <c r="E1249" s="29" t="n">
        <v>0</v>
      </c>
      <c r="F1249" s="31">
        <f>D1249-E1249</f>
        <v/>
      </c>
    </row>
    <row r="1250" ht="15" customHeight="1" s="47">
      <c r="C1250" s="42" t="inlineStr">
        <is>
          <t>MINB%</t>
        </is>
      </c>
      <c r="D1250" s="29" t="n">
        <v>0.07692307692307693</v>
      </c>
      <c r="E1250" s="29" t="n">
        <v>0.0423572744014733</v>
      </c>
      <c r="F1250" s="31">
        <f>D1250-E1250</f>
        <v/>
      </c>
    </row>
    <row r="1251" ht="15" customHeight="1" s="47">
      <c r="C1251" s="42" t="inlineStr">
        <is>
          <t>Asian%</t>
        </is>
      </c>
      <c r="D1251" s="29" t="n">
        <v>0</v>
      </c>
      <c r="E1251" s="29" t="n">
        <v>0</v>
      </c>
      <c r="F1251" s="31">
        <f>D1251-E1251</f>
        <v/>
      </c>
    </row>
    <row r="1252" ht="15" customHeight="1" s="47">
      <c r="C1252" s="42" t="inlineStr">
        <is>
          <t>Black%</t>
        </is>
      </c>
      <c r="D1252" s="29" t="n">
        <v>0</v>
      </c>
      <c r="E1252" s="29" t="n">
        <v>0</v>
      </c>
      <c r="F1252" s="31">
        <f>D1252-E1252</f>
        <v/>
      </c>
    </row>
    <row r="1253" ht="15" customHeight="1" s="47">
      <c r="C1253" s="42" t="inlineStr">
        <is>
          <t>Native American%</t>
        </is>
      </c>
      <c r="D1253" s="29" t="n">
        <v>0</v>
      </c>
      <c r="E1253" s="29" t="n">
        <v>0</v>
      </c>
      <c r="F1253" s="31">
        <f>D1253-E1253</f>
        <v/>
      </c>
    </row>
    <row r="1254" ht="15" customHeight="1" s="47">
      <c r="C1254" s="42" t="inlineStr">
        <is>
          <t>HoPI%</t>
        </is>
      </c>
      <c r="D1254" s="29" t="n">
        <v>0</v>
      </c>
      <c r="E1254" s="29" t="n">
        <v>0</v>
      </c>
      <c r="F1254" s="31">
        <f>D1254-E1254</f>
        <v/>
      </c>
    </row>
    <row r="1255" ht="15" customHeight="1" s="47">
      <c r="C1255" s="42" t="inlineStr">
        <is>
          <t>Hispanic%</t>
        </is>
      </c>
      <c r="D1255" s="29" t="n">
        <v>0.07692307692307693</v>
      </c>
      <c r="E1255" s="29" t="n">
        <v>0.0423572744014733</v>
      </c>
      <c r="F1255" s="31">
        <f>D1255-E1255</f>
        <v/>
      </c>
    </row>
    <row r="1256" ht="15" customHeight="1" s="47">
      <c r="A1256" s="46" t="inlineStr">
        <is>
          <t>Michigan</t>
        </is>
      </c>
      <c r="B1256" s="42" t="inlineStr">
        <is>
          <t>Owensboro, KY</t>
        </is>
      </c>
      <c r="C1256" s="42" t="inlineStr">
        <is>
          <t>Loans</t>
        </is>
      </c>
      <c r="D1256" s="46" t="n">
        <v>26</v>
      </c>
      <c r="E1256" s="25" t="n">
        <v>543</v>
      </c>
    </row>
    <row r="1257" ht="15" customHeight="1" s="47">
      <c r="C1257" s="42" t="inlineStr">
        <is>
          <t xml:space="preserve">LMICT% </t>
        </is>
      </c>
      <c r="D1257" s="29" t="n">
        <v>0.1836734693877551</v>
      </c>
      <c r="E1257" s="29" t="n">
        <v>0.03944773175542406</v>
      </c>
      <c r="F1257" s="31">
        <f>D1257-E1257</f>
        <v/>
      </c>
    </row>
    <row r="1258" ht="15" customHeight="1" s="47">
      <c r="C1258" s="42" t="inlineStr">
        <is>
          <t>LMIB%</t>
        </is>
      </c>
      <c r="D1258" s="29" t="n">
        <v>0.2040816326530612</v>
      </c>
      <c r="E1258" s="29" t="n">
        <v>0.1282051282051282</v>
      </c>
      <c r="F1258" s="31">
        <f>D1258-E1258</f>
        <v/>
      </c>
    </row>
    <row r="1259" ht="15" customHeight="1" s="47">
      <c r="C1259" s="42" t="inlineStr">
        <is>
          <t>LMIB$</t>
        </is>
      </c>
      <c r="D1259" s="48" t="n">
        <v>1420000</v>
      </c>
      <c r="E1259" s="48" t="n">
        <v>29665000</v>
      </c>
      <c r="F1259" s="49" t="n"/>
    </row>
    <row r="1260" ht="15" customHeight="1" s="47">
      <c r="C1260" s="42" t="inlineStr">
        <is>
          <t>MMCT%</t>
        </is>
      </c>
      <c r="D1260" s="29" t="n">
        <v>0</v>
      </c>
      <c r="E1260" s="29" t="n">
        <v>0</v>
      </c>
      <c r="F1260" s="31">
        <f>D1260-E1260</f>
        <v/>
      </c>
    </row>
    <row r="1261" ht="15" customHeight="1" s="47">
      <c r="C1261" s="42" t="inlineStr">
        <is>
          <t>MINB%</t>
        </is>
      </c>
      <c r="D1261" s="29" t="n">
        <v>0.02040816326530612</v>
      </c>
      <c r="E1261" s="29" t="n">
        <v>0.02038132807363576</v>
      </c>
      <c r="F1261" s="31">
        <f>D1261-E1261</f>
        <v/>
      </c>
    </row>
    <row r="1262" ht="15" customHeight="1" s="47">
      <c r="C1262" s="42" t="inlineStr">
        <is>
          <t>Asian%</t>
        </is>
      </c>
      <c r="D1262" s="29" t="n">
        <v>0</v>
      </c>
      <c r="E1262" s="29" t="n">
        <v>0</v>
      </c>
      <c r="F1262" s="31">
        <f>D1262-E1262</f>
        <v/>
      </c>
    </row>
    <row r="1263" ht="15" customHeight="1" s="47">
      <c r="C1263" s="42" t="inlineStr">
        <is>
          <t>Black%</t>
        </is>
      </c>
      <c r="D1263" s="29" t="n">
        <v>0</v>
      </c>
      <c r="E1263" s="29" t="n">
        <v>0</v>
      </c>
      <c r="F1263" s="31">
        <f>D1263-E1263</f>
        <v/>
      </c>
    </row>
    <row r="1264" ht="15" customHeight="1" s="47">
      <c r="C1264" s="42" t="inlineStr">
        <is>
          <t>Native American%</t>
        </is>
      </c>
      <c r="D1264" s="29" t="n">
        <v>0</v>
      </c>
      <c r="E1264" s="29" t="n">
        <v>0</v>
      </c>
      <c r="F1264" s="31">
        <f>D1264-E1264</f>
        <v/>
      </c>
    </row>
    <row r="1265" ht="15" customHeight="1" s="47">
      <c r="C1265" s="42" t="inlineStr">
        <is>
          <t>HoPI%</t>
        </is>
      </c>
      <c r="D1265" s="29" t="n">
        <v>0</v>
      </c>
      <c r="E1265" s="29" t="n">
        <v>0</v>
      </c>
      <c r="F1265" s="31">
        <f>D1265-E1265</f>
        <v/>
      </c>
    </row>
    <row r="1266" ht="15" customHeight="1" s="47">
      <c r="C1266" s="42" t="inlineStr">
        <is>
          <t>Hispanic%</t>
        </is>
      </c>
      <c r="D1266" s="29" t="n">
        <v>0.02040816326530612</v>
      </c>
      <c r="E1266" s="29" t="n">
        <v>0.02038132807363576</v>
      </c>
      <c r="F1266" s="31">
        <f>D1266-E1266</f>
        <v/>
      </c>
    </row>
    <row r="1267" ht="15" customHeight="1" s="47">
      <c r="B1267" s="42" t="inlineStr">
        <is>
          <t>Kentucky Non-MSA</t>
        </is>
      </c>
      <c r="C1267" s="42" t="inlineStr">
        <is>
          <t>Loans</t>
        </is>
      </c>
      <c r="D1267" s="46" t="n">
        <v>49</v>
      </c>
      <c r="E1267" s="25" t="n">
        <v>1521</v>
      </c>
    </row>
    <row r="1268" ht="15" customHeight="1" s="47">
      <c r="C1268" s="42" t="inlineStr">
        <is>
          <t xml:space="preserve">LMICT% </t>
        </is>
      </c>
      <c r="D1268" s="29" t="n">
        <v>0.1349527665317139</v>
      </c>
      <c r="E1268" s="29" t="n">
        <v>0.1425897178339878</v>
      </c>
      <c r="F1268" s="31">
        <f>D1268-E1268</f>
        <v/>
      </c>
    </row>
    <row r="1269" ht="15" customHeight="1" s="47">
      <c r="C1269" s="42" t="inlineStr">
        <is>
          <t>LMIB%</t>
        </is>
      </c>
      <c r="D1269" s="29" t="n">
        <v>0.3697705802968961</v>
      </c>
      <c r="E1269" s="29" t="n">
        <v>0.3691900283079171</v>
      </c>
      <c r="F1269" s="31">
        <f>D1269-E1269</f>
        <v/>
      </c>
    </row>
    <row r="1270" ht="15" customHeight="1" s="47">
      <c r="C1270" s="42" t="inlineStr">
        <is>
          <t>LMIB$</t>
        </is>
      </c>
      <c r="D1270" s="48" t="n">
        <v>65370000</v>
      </c>
      <c r="E1270" s="48" t="n">
        <v>4266300000</v>
      </c>
      <c r="F1270" s="49" t="n"/>
    </row>
    <row r="1271" ht="15" customHeight="1" s="47">
      <c r="C1271" s="42" t="inlineStr">
        <is>
          <t>MMCT%</t>
        </is>
      </c>
      <c r="D1271" s="29" t="n">
        <v>0.1403508771929824</v>
      </c>
      <c r="E1271" s="29" t="n">
        <v>0.2269199159894074</v>
      </c>
      <c r="F1271" s="31">
        <f>D1271-E1271</f>
        <v/>
      </c>
    </row>
    <row r="1272" ht="15" customHeight="1" s="47">
      <c r="C1272" s="42" t="inlineStr">
        <is>
          <t>MINB%</t>
        </is>
      </c>
      <c r="D1272" s="29" t="n">
        <v>0.03508771929824561</v>
      </c>
      <c r="E1272" s="29" t="n">
        <v>0.08693270021002648</v>
      </c>
      <c r="F1272" s="31">
        <f>D1272-E1272</f>
        <v/>
      </c>
    </row>
    <row r="1273" ht="15" customHeight="1" s="47">
      <c r="C1273" s="42" t="inlineStr">
        <is>
          <t>Asian%</t>
        </is>
      </c>
      <c r="D1273" s="29" t="n">
        <v>0</v>
      </c>
      <c r="E1273" s="29" t="n">
        <v>0</v>
      </c>
      <c r="F1273" s="31">
        <f>D1273-E1273</f>
        <v/>
      </c>
    </row>
    <row r="1274" ht="15" customHeight="1" s="47">
      <c r="C1274" s="42" t="inlineStr">
        <is>
          <t>Black%</t>
        </is>
      </c>
      <c r="D1274" s="29" t="n">
        <v>0</v>
      </c>
      <c r="E1274" s="29" t="n">
        <v>0</v>
      </c>
      <c r="F1274" s="31">
        <f>D1274-E1274</f>
        <v/>
      </c>
    </row>
    <row r="1275" ht="15" customHeight="1" s="47">
      <c r="C1275" s="42" t="inlineStr">
        <is>
          <t>Native American%</t>
        </is>
      </c>
      <c r="D1275" s="29" t="n">
        <v>0</v>
      </c>
      <c r="E1275" s="29" t="n">
        <v>0</v>
      </c>
      <c r="F1275" s="31">
        <f>D1275-E1275</f>
        <v/>
      </c>
    </row>
    <row r="1276" ht="15" customHeight="1" s="47">
      <c r="C1276" s="42" t="inlineStr">
        <is>
          <t>HoPI%</t>
        </is>
      </c>
      <c r="D1276" s="29" t="n">
        <v>0</v>
      </c>
      <c r="E1276" s="29" t="n">
        <v>0</v>
      </c>
      <c r="F1276" s="31">
        <f>D1276-E1276</f>
        <v/>
      </c>
    </row>
    <row r="1277" ht="15" customHeight="1" s="47">
      <c r="C1277" s="42" t="inlineStr">
        <is>
          <t>Hispanic%</t>
        </is>
      </c>
      <c r="D1277" s="29" t="n">
        <v>0.03508771929824561</v>
      </c>
      <c r="E1277" s="29" t="n">
        <v>0.08693270021002648</v>
      </c>
      <c r="F1277" s="31">
        <f>D1277-E1277</f>
        <v/>
      </c>
    </row>
    <row r="1278" ht="15" customHeight="1" s="47">
      <c r="B1278" s="42" t="inlineStr">
        <is>
          <t>Baltimore-Columbia-Towson, MD</t>
        </is>
      </c>
      <c r="C1278" s="42" t="inlineStr">
        <is>
          <t>Loans</t>
        </is>
      </c>
      <c r="D1278" s="25" t="n">
        <v>741</v>
      </c>
      <c r="E1278" s="25" t="n">
        <v>43804</v>
      </c>
    </row>
    <row r="1279" ht="15" customHeight="1" s="47">
      <c r="C1279" s="42" t="inlineStr">
        <is>
          <t xml:space="preserve">LMICT% </t>
        </is>
      </c>
      <c r="D1279" s="29" t="n">
        <v>0.09375</v>
      </c>
      <c r="E1279" s="29" t="n">
        <v>0.1955260977630489</v>
      </c>
      <c r="F1279" s="31">
        <f>D1279-E1279</f>
        <v/>
      </c>
    </row>
    <row r="1280" ht="15" customHeight="1" s="47">
      <c r="C1280" s="42" t="inlineStr">
        <is>
          <t>LMIB%</t>
        </is>
      </c>
      <c r="D1280" s="29" t="n">
        <v>0.40625</v>
      </c>
      <c r="E1280" s="29" t="n">
        <v>0.4565037282518641</v>
      </c>
      <c r="F1280" s="31">
        <f>D1280-E1280</f>
        <v/>
      </c>
    </row>
    <row r="1281" ht="15" customHeight="1" s="47">
      <c r="C1281" s="42" t="inlineStr">
        <is>
          <t>LMIB$</t>
        </is>
      </c>
      <c r="D1281" s="48" t="n">
        <v>3065000</v>
      </c>
      <c r="E1281" s="48" t="n">
        <v>155915000</v>
      </c>
      <c r="F1281" s="49" t="n"/>
    </row>
    <row r="1282" ht="15" customHeight="1" s="47">
      <c r="C1282" s="42" t="inlineStr">
        <is>
          <t>MMCT%</t>
        </is>
      </c>
      <c r="D1282" s="29" t="n">
        <v>0.0625</v>
      </c>
      <c r="E1282" s="29" t="n">
        <v>0.135874067937034</v>
      </c>
      <c r="F1282" s="31">
        <f>D1282-E1282</f>
        <v/>
      </c>
    </row>
    <row r="1283" ht="15" customHeight="1" s="47">
      <c r="C1283" s="42" t="inlineStr">
        <is>
          <t>MINB%</t>
        </is>
      </c>
      <c r="D1283" s="29" t="n">
        <v>0.03125</v>
      </c>
      <c r="E1283" s="29" t="n">
        <v>0.05302402651201325</v>
      </c>
      <c r="F1283" s="31">
        <f>D1283-E1283</f>
        <v/>
      </c>
    </row>
    <row r="1284" ht="15" customHeight="1" s="47">
      <c r="C1284" s="42" t="inlineStr">
        <is>
          <t>Asian%</t>
        </is>
      </c>
      <c r="D1284" s="29" t="n">
        <v>0</v>
      </c>
      <c r="E1284" s="29" t="n">
        <v>0</v>
      </c>
      <c r="F1284" s="31">
        <f>D1284-E1284</f>
        <v/>
      </c>
    </row>
    <row r="1285" ht="15" customHeight="1" s="47">
      <c r="C1285" s="42" t="inlineStr">
        <is>
          <t>Black%</t>
        </is>
      </c>
      <c r="D1285" s="29" t="n">
        <v>0</v>
      </c>
      <c r="E1285" s="29" t="n">
        <v>0</v>
      </c>
      <c r="F1285" s="31">
        <f>D1285-E1285</f>
        <v/>
      </c>
    </row>
    <row r="1286" ht="15" customHeight="1" s="47">
      <c r="C1286" s="42" t="inlineStr">
        <is>
          <t>Native American%</t>
        </is>
      </c>
      <c r="D1286" s="29" t="n">
        <v>0</v>
      </c>
      <c r="E1286" s="29" t="n">
        <v>0</v>
      </c>
      <c r="F1286" s="31">
        <f>D1286-E1286</f>
        <v/>
      </c>
    </row>
    <row r="1287" ht="15" customHeight="1" s="47">
      <c r="C1287" s="42" t="inlineStr">
        <is>
          <t>HoPI%</t>
        </is>
      </c>
      <c r="D1287" s="29" t="n">
        <v>0</v>
      </c>
      <c r="E1287" s="29" t="n">
        <v>0</v>
      </c>
      <c r="F1287" s="31">
        <f>D1287-E1287</f>
        <v/>
      </c>
    </row>
    <row r="1288" ht="15" customHeight="1" s="47">
      <c r="C1288" s="42" t="inlineStr">
        <is>
          <t>Hispanic%</t>
        </is>
      </c>
      <c r="D1288" s="29" t="n">
        <v>0.03125</v>
      </c>
      <c r="E1288" s="29" t="n">
        <v>0.05302402651201325</v>
      </c>
      <c r="F1288" s="31">
        <f>D1288-E1288</f>
        <v/>
      </c>
    </row>
    <row r="1289" ht="15" customHeight="1" s="47">
      <c r="B1289" s="42" t="inlineStr">
        <is>
          <t>California-Lexington Park, MD</t>
        </is>
      </c>
      <c r="C1289" s="42" t="inlineStr">
        <is>
          <t>Loans</t>
        </is>
      </c>
      <c r="D1289" s="25" t="n">
        <v>32</v>
      </c>
      <c r="E1289" s="25" t="n">
        <v>1207</v>
      </c>
    </row>
    <row r="1290" ht="15" customHeight="1" s="47">
      <c r="C1290" s="42" t="inlineStr">
        <is>
          <t xml:space="preserve">LMICT% </t>
        </is>
      </c>
      <c r="D1290" s="29" t="n">
        <v>0.25</v>
      </c>
      <c r="E1290" s="29" t="n">
        <v>0.1141732283464567</v>
      </c>
      <c r="F1290" s="31">
        <f>D1290-E1290</f>
        <v/>
      </c>
    </row>
    <row r="1291" ht="15" customHeight="1" s="47">
      <c r="C1291" s="42" t="inlineStr">
        <is>
          <t>LMIB%</t>
        </is>
      </c>
      <c r="D1291" s="29" t="n">
        <v>0.3125</v>
      </c>
      <c r="E1291" s="29" t="n">
        <v>0.4114173228346456</v>
      </c>
      <c r="F1291" s="31">
        <f>D1291-E1291</f>
        <v/>
      </c>
    </row>
    <row r="1292" ht="15" customHeight="1" s="47">
      <c r="C1292" s="42" t="inlineStr">
        <is>
          <t>LMIB$</t>
        </is>
      </c>
      <c r="D1292" s="48" t="n">
        <v>705000</v>
      </c>
      <c r="E1292" s="48" t="n">
        <v>25295000</v>
      </c>
      <c r="F1292" s="49" t="n"/>
    </row>
    <row r="1293" ht="15" customHeight="1" s="47">
      <c r="C1293" s="42" t="inlineStr">
        <is>
          <t>MMCT%</t>
        </is>
      </c>
      <c r="D1293" s="29" t="n">
        <v>0</v>
      </c>
      <c r="E1293" s="29" t="n">
        <v>0.02952755905511811</v>
      </c>
      <c r="F1293" s="31">
        <f>D1293-E1293</f>
        <v/>
      </c>
    </row>
    <row r="1294" ht="15" customHeight="1" s="47">
      <c r="C1294" s="42" t="inlineStr">
        <is>
          <t>MINB%</t>
        </is>
      </c>
      <c r="D1294" s="29" t="n">
        <v>0</v>
      </c>
      <c r="E1294" s="29" t="n">
        <v>0.03543307086614173</v>
      </c>
      <c r="F1294" s="31">
        <f>D1294-E1294</f>
        <v/>
      </c>
    </row>
    <row r="1295" ht="15" customHeight="1" s="47">
      <c r="C1295" s="42" t="inlineStr">
        <is>
          <t>Asian%</t>
        </is>
      </c>
      <c r="D1295" s="29" t="n">
        <v>0</v>
      </c>
      <c r="E1295" s="29" t="n">
        <v>0</v>
      </c>
      <c r="F1295" s="31">
        <f>D1295-E1295</f>
        <v/>
      </c>
    </row>
    <row r="1296" ht="15" customHeight="1" s="47">
      <c r="C1296" s="42" t="inlineStr">
        <is>
          <t>Black%</t>
        </is>
      </c>
      <c r="D1296" s="29" t="n">
        <v>0</v>
      </c>
      <c r="E1296" s="29" t="n">
        <v>0</v>
      </c>
      <c r="F1296" s="31">
        <f>D1296-E1296</f>
        <v/>
      </c>
    </row>
    <row r="1297" ht="15" customHeight="1" s="47">
      <c r="C1297" s="42" t="inlineStr">
        <is>
          <t>Native American%</t>
        </is>
      </c>
      <c r="D1297" s="29" t="n">
        <v>0</v>
      </c>
      <c r="E1297" s="29" t="n">
        <v>0</v>
      </c>
      <c r="F1297" s="31">
        <f>D1297-E1297</f>
        <v/>
      </c>
    </row>
    <row r="1298" ht="15" customHeight="1" s="47">
      <c r="C1298" s="42" t="inlineStr">
        <is>
          <t>HoPI%</t>
        </is>
      </c>
      <c r="D1298" s="29" t="n">
        <v>0</v>
      </c>
      <c r="E1298" s="29" t="n">
        <v>0</v>
      </c>
      <c r="F1298" s="31">
        <f>D1298-E1298</f>
        <v/>
      </c>
    </row>
    <row r="1299" ht="15" customHeight="1" s="47">
      <c r="C1299" s="42" t="inlineStr">
        <is>
          <t>Hispanic%</t>
        </is>
      </c>
      <c r="D1299" s="29" t="n">
        <v>0</v>
      </c>
      <c r="E1299" s="29" t="n">
        <v>0.03543307086614173</v>
      </c>
      <c r="F1299" s="31">
        <f>D1299-E1299</f>
        <v/>
      </c>
    </row>
    <row r="1300" ht="15" customHeight="1" s="47">
      <c r="B1300" s="42" t="inlineStr">
        <is>
          <t>Cumberland, MD-WV</t>
        </is>
      </c>
      <c r="C1300" s="42" t="inlineStr">
        <is>
          <t>Loans</t>
        </is>
      </c>
      <c r="D1300" s="25" t="n">
        <v>16</v>
      </c>
      <c r="E1300" s="25" t="n">
        <v>508</v>
      </c>
    </row>
    <row r="1301" ht="15" customHeight="1" s="47">
      <c r="C1301" s="42" t="inlineStr">
        <is>
          <t xml:space="preserve">LMICT% </t>
        </is>
      </c>
      <c r="D1301" s="29" t="n">
        <v>0.05555555555555555</v>
      </c>
      <c r="E1301" s="29" t="n">
        <v>0.1529709228824273</v>
      </c>
      <c r="F1301" s="31">
        <f>D1301-E1301</f>
        <v/>
      </c>
    </row>
    <row r="1302" ht="15" customHeight="1" s="47">
      <c r="C1302" s="42" t="inlineStr">
        <is>
          <t>LMIB%</t>
        </is>
      </c>
      <c r="D1302" s="29" t="n">
        <v>0.1111111111111111</v>
      </c>
      <c r="E1302" s="29" t="n">
        <v>0.1542351453855879</v>
      </c>
      <c r="F1302" s="31">
        <f>D1302-E1302</f>
        <v/>
      </c>
    </row>
    <row r="1303" ht="15" customHeight="1" s="47">
      <c r="C1303" s="42" t="inlineStr">
        <is>
          <t>LMIB$</t>
        </is>
      </c>
      <c r="D1303" s="48" t="n">
        <v>300000</v>
      </c>
      <c r="E1303" s="48" t="n">
        <v>27030000</v>
      </c>
      <c r="F1303" s="49" t="n"/>
    </row>
    <row r="1304" ht="15" customHeight="1" s="47">
      <c r="C1304" s="42" t="inlineStr">
        <is>
          <t>MMCT%</t>
        </is>
      </c>
      <c r="D1304" s="29" t="n">
        <v>0</v>
      </c>
      <c r="E1304" s="29" t="n">
        <v>0</v>
      </c>
      <c r="F1304" s="31">
        <f>D1304-E1304</f>
        <v/>
      </c>
    </row>
    <row r="1305" ht="15" customHeight="1" s="47">
      <c r="C1305" s="42" t="inlineStr">
        <is>
          <t>MINB%</t>
        </is>
      </c>
      <c r="D1305" s="29" t="n">
        <v>0</v>
      </c>
      <c r="E1305" s="29" t="n">
        <v>0.0695322376738306</v>
      </c>
      <c r="F1305" s="31">
        <f>D1305-E1305</f>
        <v/>
      </c>
    </row>
    <row r="1306" ht="15" customHeight="1" s="47">
      <c r="C1306" s="42" t="inlineStr">
        <is>
          <t>Asian%</t>
        </is>
      </c>
      <c r="D1306" s="29" t="n">
        <v>0</v>
      </c>
      <c r="E1306" s="29" t="n">
        <v>0</v>
      </c>
      <c r="F1306" s="31">
        <f>D1306-E1306</f>
        <v/>
      </c>
    </row>
    <row r="1307" ht="15" customHeight="1" s="47">
      <c r="C1307" s="42" t="inlineStr">
        <is>
          <t>Black%</t>
        </is>
      </c>
      <c r="D1307" s="29" t="n">
        <v>0</v>
      </c>
      <c r="E1307" s="29" t="n">
        <v>0</v>
      </c>
      <c r="F1307" s="31">
        <f>D1307-E1307</f>
        <v/>
      </c>
    </row>
    <row r="1308" ht="15" customHeight="1" s="47">
      <c r="C1308" s="42" t="inlineStr">
        <is>
          <t>Native American%</t>
        </is>
      </c>
      <c r="D1308" s="29" t="n">
        <v>0</v>
      </c>
      <c r="E1308" s="29" t="n">
        <v>0</v>
      </c>
      <c r="F1308" s="31">
        <f>D1308-E1308</f>
        <v/>
      </c>
    </row>
    <row r="1309" ht="15" customHeight="1" s="47">
      <c r="C1309" s="42" t="inlineStr">
        <is>
          <t>HoPI%</t>
        </is>
      </c>
      <c r="D1309" s="29" t="n">
        <v>0</v>
      </c>
      <c r="E1309" s="29" t="n">
        <v>0</v>
      </c>
      <c r="F1309" s="31">
        <f>D1309-E1309</f>
        <v/>
      </c>
    </row>
    <row r="1310" ht="15" customHeight="1" s="47">
      <c r="C1310" s="42" t="inlineStr">
        <is>
          <t>Hispanic%</t>
        </is>
      </c>
      <c r="D1310" s="29" t="n">
        <v>0</v>
      </c>
      <c r="E1310" s="29" t="n">
        <v>0.0695322376738306</v>
      </c>
      <c r="F1310" s="31">
        <f>D1310-E1310</f>
        <v/>
      </c>
    </row>
    <row r="1311" ht="15" customHeight="1" s="47">
      <c r="B1311" s="42" t="inlineStr">
        <is>
          <t>Maryland Non-MSA</t>
        </is>
      </c>
      <c r="C1311" s="42" t="inlineStr">
        <is>
          <t>Loans</t>
        </is>
      </c>
      <c r="D1311" s="46" t="n">
        <v>18</v>
      </c>
      <c r="E1311" s="25" t="n">
        <v>791</v>
      </c>
    </row>
    <row r="1312" ht="15" customHeight="1" s="47">
      <c r="C1312" s="42" t="inlineStr">
        <is>
          <t xml:space="preserve">LMICT% </t>
        </is>
      </c>
      <c r="D1312" s="29" t="n">
        <v>0.1714285714285714</v>
      </c>
      <c r="E1312" s="29" t="n">
        <v>0.1934357541899441</v>
      </c>
      <c r="F1312" s="31">
        <f>D1312-E1312</f>
        <v/>
      </c>
    </row>
    <row r="1313" ht="15" customHeight="1" s="47">
      <c r="C1313" s="42" t="inlineStr">
        <is>
          <t>LMIB%</t>
        </is>
      </c>
      <c r="D1313" s="29" t="n">
        <v>0.2857142857142857</v>
      </c>
      <c r="E1313" s="29" t="n">
        <v>0.3034217877094972</v>
      </c>
      <c r="F1313" s="31">
        <f>D1313-E1313</f>
        <v/>
      </c>
    </row>
    <row r="1314" ht="15" customHeight="1" s="47">
      <c r="C1314" s="42" t="inlineStr">
        <is>
          <t>LMIB$</t>
        </is>
      </c>
      <c r="D1314" s="48" t="n">
        <v>3610000</v>
      </c>
      <c r="E1314" s="48" t="n">
        <v>162365000</v>
      </c>
      <c r="F1314" s="49" t="n"/>
    </row>
    <row r="1315" ht="15" customHeight="1" s="47">
      <c r="C1315" s="42" t="inlineStr">
        <is>
          <t>MMCT%</t>
        </is>
      </c>
      <c r="D1315" s="29" t="n">
        <v>0</v>
      </c>
      <c r="E1315" s="29" t="n">
        <v>0.004888268156424581</v>
      </c>
      <c r="F1315" s="31">
        <f>D1315-E1315</f>
        <v/>
      </c>
    </row>
    <row r="1316" ht="15" customHeight="1" s="47">
      <c r="C1316" s="42" t="inlineStr">
        <is>
          <t>MINB%</t>
        </is>
      </c>
      <c r="D1316" s="29" t="n">
        <v>0</v>
      </c>
      <c r="E1316" s="29" t="n">
        <v>0.1368715083798883</v>
      </c>
      <c r="F1316" s="31">
        <f>D1316-E1316</f>
        <v/>
      </c>
    </row>
    <row r="1317" ht="15" customHeight="1" s="47">
      <c r="C1317" s="42" t="inlineStr">
        <is>
          <t>Asian%</t>
        </is>
      </c>
      <c r="D1317" s="29" t="n">
        <v>0</v>
      </c>
      <c r="E1317" s="29" t="n">
        <v>0</v>
      </c>
      <c r="F1317" s="31">
        <f>D1317-E1317</f>
        <v/>
      </c>
    </row>
    <row r="1318" ht="15" customHeight="1" s="47">
      <c r="C1318" s="42" t="inlineStr">
        <is>
          <t>Black%</t>
        </is>
      </c>
      <c r="D1318" s="29" t="n">
        <v>0</v>
      </c>
      <c r="E1318" s="29" t="n">
        <v>0</v>
      </c>
      <c r="F1318" s="31">
        <f>D1318-E1318</f>
        <v/>
      </c>
    </row>
    <row r="1319" ht="15" customHeight="1" s="47">
      <c r="C1319" s="42" t="inlineStr">
        <is>
          <t>Native American%</t>
        </is>
      </c>
      <c r="D1319" s="29" t="n">
        <v>0</v>
      </c>
      <c r="E1319" s="29" t="n">
        <v>0</v>
      </c>
      <c r="F1319" s="31">
        <f>D1319-E1319</f>
        <v/>
      </c>
    </row>
    <row r="1320" ht="15" customHeight="1" s="47">
      <c r="C1320" s="42" t="inlineStr">
        <is>
          <t>HoPI%</t>
        </is>
      </c>
      <c r="D1320" s="29" t="n">
        <v>0</v>
      </c>
      <c r="E1320" s="29" t="n">
        <v>0</v>
      </c>
      <c r="F1320" s="31">
        <f>D1320-E1320</f>
        <v/>
      </c>
    </row>
    <row r="1321" ht="15" customHeight="1" s="47">
      <c r="C1321" s="42" t="inlineStr">
        <is>
          <t>Hispanic%</t>
        </is>
      </c>
      <c r="D1321" s="29" t="n">
        <v>0</v>
      </c>
      <c r="E1321" s="29" t="n">
        <v>0.1368715083798883</v>
      </c>
      <c r="F1321" s="31">
        <f>D1321-E1321</f>
        <v/>
      </c>
    </row>
    <row r="1322" ht="15" customHeight="1" s="47">
      <c r="B1322" s="42" t="inlineStr">
        <is>
          <t>Hagerstown-Martinsburg, MD-WV</t>
        </is>
      </c>
      <c r="C1322" s="42" t="inlineStr">
        <is>
          <t>Loans</t>
        </is>
      </c>
      <c r="D1322" s="46" t="n">
        <v>70</v>
      </c>
      <c r="E1322" s="25" t="n">
        <v>2864</v>
      </c>
    </row>
    <row r="1323" ht="15" customHeight="1" s="47">
      <c r="C1323" s="42" t="inlineStr">
        <is>
          <t xml:space="preserve">LMICT% </t>
        </is>
      </c>
      <c r="D1323" s="29" t="n">
        <v>0.1428571428571428</v>
      </c>
      <c r="E1323" s="29" t="n">
        <v>0.1179435483870968</v>
      </c>
      <c r="F1323" s="31">
        <f>D1323-E1323</f>
        <v/>
      </c>
    </row>
    <row r="1324" ht="15" customHeight="1" s="47">
      <c r="C1324" s="42" t="inlineStr">
        <is>
          <t>LMIB%</t>
        </is>
      </c>
      <c r="D1324" s="29" t="n">
        <v>0.3553113553113553</v>
      </c>
      <c r="E1324" s="29" t="n">
        <v>0.3023073476702509</v>
      </c>
      <c r="F1324" s="31">
        <f>D1324-E1324</f>
        <v/>
      </c>
    </row>
    <row r="1325" ht="15" customHeight="1" s="47">
      <c r="C1325" s="42" t="inlineStr">
        <is>
          <t>LMIB$</t>
        </is>
      </c>
      <c r="D1325" s="48" t="n">
        <v>18415000</v>
      </c>
      <c r="E1325" s="48" t="n">
        <v>567375000</v>
      </c>
      <c r="F1325" s="49" t="n"/>
    </row>
    <row r="1326" ht="15" customHeight="1" s="47">
      <c r="C1326" s="42" t="inlineStr">
        <is>
          <t>MMCT%</t>
        </is>
      </c>
      <c r="D1326" s="29" t="n">
        <v>0.06227106227106227</v>
      </c>
      <c r="E1326" s="29" t="n">
        <v>0.05241935483870968</v>
      </c>
      <c r="F1326" s="31">
        <f>D1326-E1326</f>
        <v/>
      </c>
    </row>
    <row r="1327" ht="15" customHeight="1" s="47">
      <c r="C1327" s="42" t="inlineStr">
        <is>
          <t>MINB%</t>
        </is>
      </c>
      <c r="D1327" s="29" t="n">
        <v>0.05128205128205128</v>
      </c>
      <c r="E1327" s="29" t="n">
        <v>0.06115591397849462</v>
      </c>
      <c r="F1327" s="31">
        <f>D1327-E1327</f>
        <v/>
      </c>
    </row>
    <row r="1328" ht="15" customHeight="1" s="47">
      <c r="C1328" s="42" t="inlineStr">
        <is>
          <t>Asian%</t>
        </is>
      </c>
      <c r="D1328" s="29" t="n">
        <v>0</v>
      </c>
      <c r="E1328" s="29" t="n">
        <v>0</v>
      </c>
      <c r="F1328" s="31">
        <f>D1328-E1328</f>
        <v/>
      </c>
    </row>
    <row r="1329" ht="15" customHeight="1" s="47">
      <c r="C1329" s="42" t="inlineStr">
        <is>
          <t>Black%</t>
        </is>
      </c>
      <c r="D1329" s="29" t="n">
        <v>0</v>
      </c>
      <c r="E1329" s="29" t="n">
        <v>0</v>
      </c>
      <c r="F1329" s="31">
        <f>D1329-E1329</f>
        <v/>
      </c>
    </row>
    <row r="1330" ht="15" customHeight="1" s="47">
      <c r="C1330" s="42" t="inlineStr">
        <is>
          <t>Native American%</t>
        </is>
      </c>
      <c r="D1330" s="29" t="n">
        <v>0</v>
      </c>
      <c r="E1330" s="29" t="n">
        <v>0</v>
      </c>
      <c r="F1330" s="31">
        <f>D1330-E1330</f>
        <v/>
      </c>
    </row>
    <row r="1331" ht="15" customHeight="1" s="47">
      <c r="C1331" s="42" t="inlineStr">
        <is>
          <t>HoPI%</t>
        </is>
      </c>
      <c r="D1331" s="29" t="n">
        <v>0</v>
      </c>
      <c r="E1331" s="29" t="n">
        <v>0</v>
      </c>
      <c r="F1331" s="31">
        <f>D1331-E1331</f>
        <v/>
      </c>
    </row>
    <row r="1332" ht="15" customHeight="1" s="47">
      <c r="C1332" s="42" t="inlineStr">
        <is>
          <t>Hispanic%</t>
        </is>
      </c>
      <c r="D1332" s="29" t="n">
        <v>0.05128205128205128</v>
      </c>
      <c r="E1332" s="29" t="n">
        <v>0.06115591397849462</v>
      </c>
      <c r="F1332" s="31">
        <f>D1332-E1332</f>
        <v/>
      </c>
    </row>
    <row r="1333" ht="15" customHeight="1" s="47">
      <c r="B1333" s="42" t="inlineStr">
        <is>
          <t>Salisbury, MD-DE</t>
        </is>
      </c>
      <c r="C1333" s="42" t="inlineStr">
        <is>
          <t>Loans</t>
        </is>
      </c>
      <c r="D1333" s="46" t="n">
        <v>273</v>
      </c>
      <c r="E1333" s="25" t="n">
        <v>8928</v>
      </c>
    </row>
    <row r="1334" ht="15" customHeight="1" s="47">
      <c r="C1334" s="42" t="inlineStr">
        <is>
          <t xml:space="preserve">LMICT% </t>
        </is>
      </c>
      <c r="D1334" s="29" t="n">
        <v>0.1061946902654867</v>
      </c>
      <c r="E1334" s="29" t="n">
        <v>0.2036150983519404</v>
      </c>
      <c r="F1334" s="31">
        <f>D1334-E1334</f>
        <v/>
      </c>
    </row>
    <row r="1335" ht="15" customHeight="1" s="47">
      <c r="C1335" s="42" t="inlineStr">
        <is>
          <t>LMIB%</t>
        </is>
      </c>
      <c r="D1335" s="29" t="n">
        <v>0.06194690265486726</v>
      </c>
      <c r="E1335" s="29" t="n">
        <v>0.2383645063070901</v>
      </c>
      <c r="F1335" s="31">
        <f>D1335-E1335</f>
        <v/>
      </c>
    </row>
    <row r="1336" ht="15" customHeight="1" s="47">
      <c r="C1336" s="42" t="inlineStr">
        <is>
          <t>LMIB$</t>
        </is>
      </c>
      <c r="D1336" s="48" t="n">
        <v>5390000</v>
      </c>
      <c r="E1336" s="48" t="n">
        <v>1633880000</v>
      </c>
      <c r="F1336" s="31" t="n"/>
    </row>
    <row r="1337" ht="15" customHeight="1" s="47">
      <c r="C1337" s="42" t="inlineStr">
        <is>
          <t>MMCT%</t>
        </is>
      </c>
      <c r="D1337" s="29" t="n">
        <v>0.06637168141592921</v>
      </c>
      <c r="E1337" s="29" t="n">
        <v>0.1318930936155817</v>
      </c>
      <c r="F1337" s="31">
        <f>D1337-E1337</f>
        <v/>
      </c>
    </row>
    <row r="1338" ht="15" customHeight="1" s="47">
      <c r="C1338" s="42" t="inlineStr">
        <is>
          <t>MINB%</t>
        </is>
      </c>
      <c r="D1338" s="29" t="n">
        <v>0.04867256637168142</v>
      </c>
      <c r="E1338" s="29" t="n">
        <v>0.08655937364071335</v>
      </c>
      <c r="F1338" s="31">
        <f>D1338-E1338</f>
        <v/>
      </c>
    </row>
    <row r="1339" ht="15" customHeight="1" s="47">
      <c r="C1339" s="42" t="inlineStr">
        <is>
          <t>Asian%</t>
        </is>
      </c>
      <c r="D1339" s="29" t="n">
        <v>0</v>
      </c>
      <c r="E1339" s="29" t="n">
        <v>0</v>
      </c>
      <c r="F1339" s="31">
        <f>D1339-E1339</f>
        <v/>
      </c>
    </row>
    <row r="1340" ht="15" customHeight="1" s="47">
      <c r="C1340" s="42" t="inlineStr">
        <is>
          <t>Black%</t>
        </is>
      </c>
      <c r="D1340" s="29" t="n">
        <v>0</v>
      </c>
      <c r="E1340" s="29" t="n">
        <v>0</v>
      </c>
      <c r="F1340" s="31">
        <f>D1340-E1340</f>
        <v/>
      </c>
    </row>
    <row r="1341" ht="15" customHeight="1" s="47">
      <c r="C1341" s="42" t="inlineStr">
        <is>
          <t>Native American%</t>
        </is>
      </c>
      <c r="D1341" s="29" t="n">
        <v>0</v>
      </c>
      <c r="E1341" s="29" t="n">
        <v>0</v>
      </c>
      <c r="F1341" s="31">
        <f>D1341-E1341</f>
        <v/>
      </c>
    </row>
    <row r="1342" ht="15" customHeight="1" s="47">
      <c r="C1342" s="42" t="inlineStr">
        <is>
          <t>HoPI%</t>
        </is>
      </c>
      <c r="D1342" s="29" t="n">
        <v>0</v>
      </c>
      <c r="E1342" s="29" t="n">
        <v>0</v>
      </c>
      <c r="F1342" s="31">
        <f>D1342-E1342</f>
        <v/>
      </c>
    </row>
    <row r="1343" ht="15" customHeight="1" s="47">
      <c r="C1343" s="42" t="inlineStr">
        <is>
          <t>Hispanic%</t>
        </is>
      </c>
      <c r="D1343" s="29" t="n">
        <v>0.04867256637168142</v>
      </c>
      <c r="E1343" s="29" t="n">
        <v>0.08655937364071335</v>
      </c>
      <c r="F1343" s="31">
        <f>D1343-E1343</f>
        <v/>
      </c>
    </row>
    <row r="1344" ht="15" customHeight="1" s="47">
      <c r="B1344" s="42" t="inlineStr">
        <is>
          <t>Boston-Cambridge-Newton, MA-NH</t>
        </is>
      </c>
      <c r="C1344" s="42" t="inlineStr">
        <is>
          <t>Loans</t>
        </is>
      </c>
      <c r="D1344" s="46" t="n">
        <v>226</v>
      </c>
      <c r="E1344" s="25" t="n">
        <v>20691</v>
      </c>
    </row>
    <row r="1345" ht="15" customHeight="1" s="47">
      <c r="C1345" s="42" t="inlineStr">
        <is>
          <t xml:space="preserve">LMICT% </t>
        </is>
      </c>
      <c r="D1345" s="29" t="n">
        <v>0</v>
      </c>
      <c r="E1345" s="29" t="n">
        <v>0.1944444444444445</v>
      </c>
      <c r="F1345" s="31">
        <f>D1345-E1345</f>
        <v/>
      </c>
    </row>
    <row r="1346" ht="15" customHeight="1" s="47">
      <c r="C1346" s="42" t="inlineStr">
        <is>
          <t>LMIB%</t>
        </is>
      </c>
      <c r="D1346" s="29" t="n">
        <v>0.2857142857142857</v>
      </c>
      <c r="E1346" s="29" t="n">
        <v>0.5119047619047619</v>
      </c>
      <c r="F1346" s="31">
        <f>D1346-E1346</f>
        <v/>
      </c>
    </row>
    <row r="1347" ht="15" customHeight="1" s="47">
      <c r="C1347" s="42" t="inlineStr">
        <is>
          <t>LMIB$</t>
        </is>
      </c>
      <c r="D1347" s="48" t="n">
        <v>240000</v>
      </c>
      <c r="E1347" s="48" t="n">
        <v>14985000</v>
      </c>
      <c r="F1347" s="49" t="n"/>
    </row>
    <row r="1348" ht="15" customHeight="1" s="47">
      <c r="C1348" s="42" t="inlineStr">
        <is>
          <t>MMCT%</t>
        </is>
      </c>
      <c r="D1348" s="29" t="n">
        <v>0</v>
      </c>
      <c r="E1348" s="29" t="n">
        <v>0</v>
      </c>
      <c r="F1348" s="31">
        <f>D1348-E1348</f>
        <v/>
      </c>
    </row>
    <row r="1349" ht="15" customHeight="1" s="47">
      <c r="C1349" s="42" t="inlineStr">
        <is>
          <t>MINB%</t>
        </is>
      </c>
      <c r="D1349" s="29" t="n">
        <v>0</v>
      </c>
      <c r="E1349" s="29" t="n">
        <v>0.04365079365079365</v>
      </c>
      <c r="F1349" s="31">
        <f>D1349-E1349</f>
        <v/>
      </c>
    </row>
    <row r="1350" ht="15" customHeight="1" s="47">
      <c r="C1350" s="42" t="inlineStr">
        <is>
          <t>Asian%</t>
        </is>
      </c>
      <c r="D1350" s="29" t="n">
        <v>0</v>
      </c>
      <c r="E1350" s="29" t="n">
        <v>0</v>
      </c>
      <c r="F1350" s="31">
        <f>D1350-E1350</f>
        <v/>
      </c>
    </row>
    <row r="1351" ht="15" customHeight="1" s="47">
      <c r="C1351" s="42" t="inlineStr">
        <is>
          <t>Black%</t>
        </is>
      </c>
      <c r="D1351" s="29" t="n">
        <v>0</v>
      </c>
      <c r="E1351" s="29" t="n">
        <v>0</v>
      </c>
      <c r="F1351" s="31">
        <f>D1351-E1351</f>
        <v/>
      </c>
    </row>
    <row r="1352" ht="15" customHeight="1" s="47">
      <c r="C1352" s="42" t="inlineStr">
        <is>
          <t>Native American%</t>
        </is>
      </c>
      <c r="D1352" s="29" t="n">
        <v>0</v>
      </c>
      <c r="E1352" s="29" t="n">
        <v>0</v>
      </c>
      <c r="F1352" s="31">
        <f>D1352-E1352</f>
        <v/>
      </c>
    </row>
    <row r="1353" ht="15" customHeight="1" s="47">
      <c r="C1353" s="42" t="inlineStr">
        <is>
          <t>HoPI%</t>
        </is>
      </c>
      <c r="D1353" s="29" t="n">
        <v>0</v>
      </c>
      <c r="E1353" s="29" t="n">
        <v>0</v>
      </c>
      <c r="F1353" s="31">
        <f>D1353-E1353</f>
        <v/>
      </c>
    </row>
    <row r="1354" ht="15" customHeight="1" s="47">
      <c r="C1354" s="42" t="inlineStr">
        <is>
          <t>Hispanic%</t>
        </is>
      </c>
      <c r="D1354" s="29" t="n">
        <v>0</v>
      </c>
      <c r="E1354" s="29" t="n">
        <v>0.04365079365079365</v>
      </c>
      <c r="F1354" s="31">
        <f>D1354-E1354</f>
        <v/>
      </c>
    </row>
    <row r="1355" ht="15" customHeight="1" s="47">
      <c r="B1355" s="42" t="inlineStr">
        <is>
          <t>Michigan Non-MSA</t>
        </is>
      </c>
      <c r="C1355" s="42" t="inlineStr">
        <is>
          <t>Loans</t>
        </is>
      </c>
      <c r="D1355" s="46" t="n">
        <v>7</v>
      </c>
      <c r="E1355" s="25" t="n">
        <v>252</v>
      </c>
    </row>
    <row r="1356" ht="15" customHeight="1" s="47">
      <c r="C1356" s="42" t="inlineStr">
        <is>
          <t xml:space="preserve">LMICT% </t>
        </is>
      </c>
      <c r="D1356" s="29" t="n">
        <v>0.2</v>
      </c>
      <c r="E1356" s="29" t="n">
        <v>0.2</v>
      </c>
      <c r="F1356" s="31">
        <f>D1356-E1356</f>
        <v/>
      </c>
    </row>
    <row r="1357" ht="15" customHeight="1" s="47">
      <c r="C1357" s="42" t="inlineStr">
        <is>
          <t>LMIB%</t>
        </is>
      </c>
      <c r="D1357" s="29" t="n">
        <v>0.2</v>
      </c>
      <c r="E1357" s="29" t="n">
        <v>0.4311111111111112</v>
      </c>
      <c r="F1357" s="31">
        <f>D1357-E1357</f>
        <v/>
      </c>
    </row>
    <row r="1358" ht="15" customHeight="1" s="47">
      <c r="C1358" s="42" t="inlineStr">
        <is>
          <t>LMIB$</t>
        </is>
      </c>
      <c r="D1358" s="48" t="n">
        <v>230000</v>
      </c>
      <c r="E1358" s="48" t="n">
        <v>10875000</v>
      </c>
      <c r="F1358" s="49" t="n"/>
    </row>
    <row r="1359" ht="15" customHeight="1" s="47">
      <c r="C1359" s="42" t="inlineStr">
        <is>
          <t>MMCT%</t>
        </is>
      </c>
      <c r="D1359" s="29" t="n">
        <v>0</v>
      </c>
      <c r="E1359" s="29" t="n">
        <v>0</v>
      </c>
      <c r="F1359" s="31">
        <f>D1359-E1359</f>
        <v/>
      </c>
    </row>
    <row r="1360" ht="15" customHeight="1" s="47">
      <c r="C1360" s="42" t="inlineStr">
        <is>
          <t>MINB%</t>
        </is>
      </c>
      <c r="D1360" s="29" t="n">
        <v>0</v>
      </c>
      <c r="E1360" s="29" t="n">
        <v>0.03111111111111111</v>
      </c>
      <c r="F1360" s="31">
        <f>D1360-E1360</f>
        <v/>
      </c>
    </row>
    <row r="1361" ht="15" customHeight="1" s="47">
      <c r="C1361" s="42" t="inlineStr">
        <is>
          <t>Asian%</t>
        </is>
      </c>
      <c r="D1361" s="29" t="n">
        <v>0</v>
      </c>
      <c r="E1361" s="29" t="n">
        <v>0</v>
      </c>
      <c r="F1361" s="31">
        <f>D1361-E1361</f>
        <v/>
      </c>
    </row>
    <row r="1362" ht="15" customHeight="1" s="47">
      <c r="C1362" s="42" t="inlineStr">
        <is>
          <t>Black%</t>
        </is>
      </c>
      <c r="D1362" s="29" t="n">
        <v>0</v>
      </c>
      <c r="E1362" s="29" t="n">
        <v>0</v>
      </c>
      <c r="F1362" s="31">
        <f>D1362-E1362</f>
        <v/>
      </c>
    </row>
    <row r="1363" ht="15" customHeight="1" s="47">
      <c r="C1363" s="42" t="inlineStr">
        <is>
          <t>Native American%</t>
        </is>
      </c>
      <c r="D1363" s="29" t="n">
        <v>0</v>
      </c>
      <c r="E1363" s="29" t="n">
        <v>0</v>
      </c>
      <c r="F1363" s="31">
        <f>D1363-E1363</f>
        <v/>
      </c>
    </row>
    <row r="1364" ht="15" customHeight="1" s="47">
      <c r="C1364" s="42" t="inlineStr">
        <is>
          <t>HoPI%</t>
        </is>
      </c>
      <c r="D1364" s="29" t="n">
        <v>0</v>
      </c>
      <c r="E1364" s="29" t="n">
        <v>0</v>
      </c>
      <c r="F1364" s="31">
        <f>D1364-E1364</f>
        <v/>
      </c>
    </row>
    <row r="1365" ht="15" customHeight="1" s="47">
      <c r="C1365" s="42" t="inlineStr">
        <is>
          <t>Hispanic%</t>
        </is>
      </c>
      <c r="D1365" s="29" t="n">
        <v>0</v>
      </c>
      <c r="E1365" s="29" t="n">
        <v>0.03111111111111111</v>
      </c>
      <c r="F1365" s="31">
        <f>D1365-E1365</f>
        <v/>
      </c>
    </row>
    <row r="1366" ht="15" customHeight="1" s="47">
      <c r="B1366" s="42" t="inlineStr">
        <is>
          <t>Michigan Non-MSA</t>
        </is>
      </c>
      <c r="C1366" s="42" t="inlineStr">
        <is>
          <t>Loans</t>
        </is>
      </c>
      <c r="D1366" s="46" t="n">
        <v>10</v>
      </c>
      <c r="E1366" s="25" t="n">
        <v>225</v>
      </c>
    </row>
    <row r="1367" ht="15" customHeight="1" s="47">
      <c r="C1367" s="42" t="inlineStr">
        <is>
          <t xml:space="preserve">LMICT% </t>
        </is>
      </c>
      <c r="D1367" s="29" t="n">
        <v>0.1428571428571428</v>
      </c>
      <c r="E1367" s="29" t="n">
        <v>0.1913978494623656</v>
      </c>
      <c r="F1367" s="31">
        <f>D1367-E1367</f>
        <v/>
      </c>
    </row>
    <row r="1368" ht="15" customHeight="1" s="47">
      <c r="C1368" s="42" t="inlineStr">
        <is>
          <t>LMIB%</t>
        </is>
      </c>
      <c r="D1368" s="29" t="n">
        <v>0.3686635944700461</v>
      </c>
      <c r="E1368" s="29" t="n">
        <v>0.3278592375366569</v>
      </c>
      <c r="F1368" s="31">
        <f>D1368-E1368</f>
        <v/>
      </c>
    </row>
    <row r="1369" ht="15" customHeight="1" s="47">
      <c r="C1369" s="42" t="inlineStr">
        <is>
          <t>LMIB$</t>
        </is>
      </c>
      <c r="D1369" s="48" t="n">
        <v>16760000</v>
      </c>
      <c r="E1369" s="48" t="n">
        <v>366965000</v>
      </c>
      <c r="F1369" s="49" t="n"/>
    </row>
    <row r="1370" ht="15" customHeight="1" s="47">
      <c r="C1370" s="42" t="inlineStr">
        <is>
          <t>MMCT%</t>
        </is>
      </c>
      <c r="D1370" s="29" t="n">
        <v>0.04608294930875576</v>
      </c>
      <c r="E1370" s="29" t="n">
        <v>0.06940371456500488</v>
      </c>
      <c r="F1370" s="31">
        <f>D1370-E1370</f>
        <v/>
      </c>
    </row>
    <row r="1371" ht="15" customHeight="1" s="47">
      <c r="C1371" s="42" t="inlineStr">
        <is>
          <t>MINB%</t>
        </is>
      </c>
      <c r="D1371" s="29" t="n">
        <v>0.02304147465437788</v>
      </c>
      <c r="E1371" s="29" t="n">
        <v>0.03636363636363636</v>
      </c>
      <c r="F1371" s="31">
        <f>D1371-E1371</f>
        <v/>
      </c>
    </row>
    <row r="1372" ht="15" customHeight="1" s="47">
      <c r="C1372" s="42" t="inlineStr">
        <is>
          <t>Asian%</t>
        </is>
      </c>
      <c r="D1372" s="29" t="n">
        <v>0</v>
      </c>
      <c r="E1372" s="29" t="n">
        <v>0</v>
      </c>
      <c r="F1372" s="31">
        <f>D1372-E1372</f>
        <v/>
      </c>
    </row>
    <row r="1373" ht="15" customHeight="1" s="47">
      <c r="C1373" s="42" t="inlineStr">
        <is>
          <t>Black%</t>
        </is>
      </c>
      <c r="D1373" s="29" t="n">
        <v>0</v>
      </c>
      <c r="E1373" s="29" t="n">
        <v>0</v>
      </c>
      <c r="F1373" s="31">
        <f>D1373-E1373</f>
        <v/>
      </c>
    </row>
    <row r="1374" ht="15" customHeight="1" s="47">
      <c r="C1374" s="42" t="inlineStr">
        <is>
          <t>Native American%</t>
        </is>
      </c>
      <c r="D1374" s="29" t="n">
        <v>0</v>
      </c>
      <c r="E1374" s="29" t="n">
        <v>0</v>
      </c>
      <c r="F1374" s="31">
        <f>D1374-E1374</f>
        <v/>
      </c>
    </row>
    <row r="1375" ht="15" customHeight="1" s="47">
      <c r="C1375" s="42" t="inlineStr">
        <is>
          <t>HoPI%</t>
        </is>
      </c>
      <c r="D1375" s="29" t="n">
        <v>0</v>
      </c>
      <c r="E1375" s="29" t="n">
        <v>0</v>
      </c>
      <c r="F1375" s="31">
        <f>D1375-E1375</f>
        <v/>
      </c>
    </row>
    <row r="1376" ht="15" customHeight="1" s="47">
      <c r="C1376" s="42" t="inlineStr">
        <is>
          <t>Hispanic%</t>
        </is>
      </c>
      <c r="D1376" s="29" t="n">
        <v>0.02304147465437788</v>
      </c>
      <c r="E1376" s="29" t="n">
        <v>0.03636363636363636</v>
      </c>
      <c r="F1376" s="31">
        <f>D1376-E1376</f>
        <v/>
      </c>
    </row>
    <row r="1377" ht="15" customHeight="1" s="47">
      <c r="B1377" s="42" t="inlineStr">
        <is>
          <t>Ann Arbor, MI</t>
        </is>
      </c>
      <c r="C1377" s="42" t="inlineStr">
        <is>
          <t>Loans</t>
        </is>
      </c>
      <c r="D1377" s="46" t="n">
        <v>217</v>
      </c>
      <c r="E1377" s="25" t="n">
        <v>5115</v>
      </c>
    </row>
    <row r="1378" ht="15" customHeight="1" s="47">
      <c r="C1378" s="42" t="inlineStr">
        <is>
          <t xml:space="preserve">LMICT% </t>
        </is>
      </c>
      <c r="D1378" s="29" t="n">
        <v>0.3</v>
      </c>
      <c r="E1378" s="29" t="n">
        <v>0.2693032015065913</v>
      </c>
      <c r="F1378" s="31">
        <f>D1378-E1378</f>
        <v/>
      </c>
    </row>
    <row r="1379" ht="15" customHeight="1" s="47">
      <c r="C1379" s="42" t="inlineStr">
        <is>
          <t>LMIB%</t>
        </is>
      </c>
      <c r="D1379" s="29" t="n">
        <v>0.3666666666666666</v>
      </c>
      <c r="E1379" s="29" t="n">
        <v>0.35969868173258</v>
      </c>
      <c r="F1379" s="31">
        <f>D1379-E1379</f>
        <v/>
      </c>
    </row>
    <row r="1380" ht="15" customHeight="1" s="47">
      <c r="C1380" s="42" t="inlineStr">
        <is>
          <t>LMIB$</t>
        </is>
      </c>
      <c r="D1380" s="48" t="n">
        <v>1305000</v>
      </c>
      <c r="E1380" s="48" t="n">
        <v>44460000</v>
      </c>
      <c r="F1380" s="49" t="n"/>
    </row>
    <row r="1381" ht="15" customHeight="1" s="47">
      <c r="C1381" s="42" t="inlineStr">
        <is>
          <t>MMCT%</t>
        </is>
      </c>
      <c r="D1381" s="29" t="n">
        <v>0.03333333333333333</v>
      </c>
      <c r="E1381" s="29" t="n">
        <v>0.04896421845574388</v>
      </c>
      <c r="F1381" s="31">
        <f>D1381-E1381</f>
        <v/>
      </c>
    </row>
    <row r="1382" ht="15" customHeight="1" s="47">
      <c r="C1382" s="42" t="inlineStr">
        <is>
          <t>MINB%</t>
        </is>
      </c>
      <c r="D1382" s="29" t="n">
        <v>0.1333333333333333</v>
      </c>
      <c r="E1382" s="29" t="n">
        <v>0.04990583804143126</v>
      </c>
      <c r="F1382" s="31">
        <f>D1382-E1382</f>
        <v/>
      </c>
    </row>
    <row r="1383" ht="15" customHeight="1" s="47">
      <c r="C1383" s="42" t="inlineStr">
        <is>
          <t>Asian%</t>
        </is>
      </c>
      <c r="D1383" s="29" t="n">
        <v>0</v>
      </c>
      <c r="E1383" s="29" t="n">
        <v>0</v>
      </c>
      <c r="F1383" s="31">
        <f>D1383-E1383</f>
        <v/>
      </c>
    </row>
    <row r="1384" ht="15" customHeight="1" s="47">
      <c r="C1384" s="42" t="inlineStr">
        <is>
          <t>Black%</t>
        </is>
      </c>
      <c r="D1384" s="29" t="n">
        <v>0</v>
      </c>
      <c r="E1384" s="29" t="n">
        <v>0</v>
      </c>
      <c r="F1384" s="31">
        <f>D1384-E1384</f>
        <v/>
      </c>
    </row>
    <row r="1385" ht="15" customHeight="1" s="47">
      <c r="C1385" s="42" t="inlineStr">
        <is>
          <t>Native American%</t>
        </is>
      </c>
      <c r="D1385" s="29" t="n">
        <v>0</v>
      </c>
      <c r="E1385" s="29" t="n">
        <v>0</v>
      </c>
      <c r="F1385" s="31">
        <f>D1385-E1385</f>
        <v/>
      </c>
    </row>
    <row r="1386" ht="15" customHeight="1" s="47">
      <c r="C1386" s="42" t="inlineStr">
        <is>
          <t>HoPI%</t>
        </is>
      </c>
      <c r="D1386" s="29" t="n">
        <v>0</v>
      </c>
      <c r="E1386" s="29" t="n">
        <v>0</v>
      </c>
      <c r="F1386" s="31">
        <f>D1386-E1386</f>
        <v/>
      </c>
    </row>
    <row r="1387" ht="15" customHeight="1" s="47">
      <c r="C1387" s="42" t="inlineStr">
        <is>
          <t>Hispanic%</t>
        </is>
      </c>
      <c r="D1387" s="29" t="n">
        <v>0.1333333333333333</v>
      </c>
      <c r="E1387" s="29" t="n">
        <v>0.04990583804143126</v>
      </c>
      <c r="F1387" s="31">
        <f>D1387-E1387</f>
        <v/>
      </c>
    </row>
    <row r="1388" ht="15" customHeight="1" s="47">
      <c r="B1388" s="42" t="inlineStr">
        <is>
          <t>Battle Creek, MI</t>
        </is>
      </c>
      <c r="C1388" s="42" t="inlineStr">
        <is>
          <t>Loans</t>
        </is>
      </c>
      <c r="D1388" s="46" t="n">
        <v>30</v>
      </c>
      <c r="E1388" s="25" t="n">
        <v>1062</v>
      </c>
    </row>
    <row r="1389" ht="15" customHeight="1" s="47">
      <c r="C1389" s="42" t="inlineStr">
        <is>
          <t xml:space="preserve">LMICT% </t>
        </is>
      </c>
      <c r="D1389" s="29" t="n">
        <v>0.2</v>
      </c>
      <c r="E1389" s="29" t="n">
        <v>0.2181467181467182</v>
      </c>
      <c r="F1389" s="31">
        <f>D1389-E1389</f>
        <v/>
      </c>
    </row>
    <row r="1390" ht="15" customHeight="1" s="47">
      <c r="C1390" s="42" t="inlineStr">
        <is>
          <t>LMIB%</t>
        </is>
      </c>
      <c r="D1390" s="29" t="n">
        <v>0.375</v>
      </c>
      <c r="E1390" s="29" t="n">
        <v>0.4285714285714285</v>
      </c>
      <c r="F1390" s="31">
        <f>D1390-E1390</f>
        <v/>
      </c>
    </row>
    <row r="1391" ht="15" customHeight="1" s="47">
      <c r="C1391" s="42" t="inlineStr">
        <is>
          <t>LMIB$</t>
        </is>
      </c>
      <c r="D1391" s="48" t="n">
        <v>1445000</v>
      </c>
      <c r="E1391" s="48" t="n">
        <v>43330000</v>
      </c>
      <c r="F1391" s="49" t="n"/>
    </row>
    <row r="1392" ht="15" customHeight="1" s="47">
      <c r="C1392" s="42" t="inlineStr">
        <is>
          <t>MMCT%</t>
        </is>
      </c>
      <c r="D1392" s="29" t="n">
        <v>0</v>
      </c>
      <c r="E1392" s="29" t="n">
        <v>0</v>
      </c>
      <c r="F1392" s="31">
        <f>D1392-E1392</f>
        <v/>
      </c>
    </row>
    <row r="1393" ht="15" customHeight="1" s="47">
      <c r="C1393" s="42" t="inlineStr">
        <is>
          <t>MINB%</t>
        </is>
      </c>
      <c r="D1393" s="29" t="n">
        <v>0</v>
      </c>
      <c r="E1393" s="29" t="n">
        <v>0.03185328185328185</v>
      </c>
      <c r="F1393" s="31">
        <f>D1393-E1393</f>
        <v/>
      </c>
    </row>
    <row r="1394" ht="15" customHeight="1" s="47">
      <c r="C1394" s="42" t="inlineStr">
        <is>
          <t>Asian%</t>
        </is>
      </c>
      <c r="D1394" s="29" t="n">
        <v>0</v>
      </c>
      <c r="E1394" s="29" t="n">
        <v>0</v>
      </c>
      <c r="F1394" s="31">
        <f>D1394-E1394</f>
        <v/>
      </c>
    </row>
    <row r="1395" ht="15" customHeight="1" s="47">
      <c r="C1395" s="42" t="inlineStr">
        <is>
          <t>Black%</t>
        </is>
      </c>
      <c r="D1395" s="29" t="n">
        <v>0</v>
      </c>
      <c r="E1395" s="29" t="n">
        <v>0</v>
      </c>
      <c r="F1395" s="31">
        <f>D1395-E1395</f>
        <v/>
      </c>
    </row>
    <row r="1396" ht="15" customHeight="1" s="47">
      <c r="C1396" s="42" t="inlineStr">
        <is>
          <t>Native American%</t>
        </is>
      </c>
      <c r="D1396" s="29" t="n">
        <v>0</v>
      </c>
      <c r="E1396" s="29" t="n">
        <v>0</v>
      </c>
      <c r="F1396" s="31">
        <f>D1396-E1396</f>
        <v/>
      </c>
    </row>
    <row r="1397" ht="15" customHeight="1" s="47">
      <c r="C1397" s="42" t="inlineStr">
        <is>
          <t>HoPI%</t>
        </is>
      </c>
      <c r="D1397" s="29" t="n">
        <v>0</v>
      </c>
      <c r="E1397" s="29" t="n">
        <v>0</v>
      </c>
      <c r="F1397" s="31">
        <f>D1397-E1397</f>
        <v/>
      </c>
    </row>
    <row r="1398" ht="15" customHeight="1" s="47">
      <c r="C1398" s="42" t="inlineStr">
        <is>
          <t>Hispanic%</t>
        </is>
      </c>
      <c r="D1398" s="29" t="n">
        <v>0</v>
      </c>
      <c r="E1398" s="29" t="n">
        <v>0.03185328185328185</v>
      </c>
      <c r="F1398" s="31">
        <f>D1398-E1398</f>
        <v/>
      </c>
    </row>
    <row r="1399" ht="15" customHeight="1" s="47">
      <c r="B1399" s="42" t="inlineStr">
        <is>
          <t>Bay City, MI</t>
        </is>
      </c>
      <c r="C1399" s="42" t="inlineStr">
        <is>
          <t>Loans</t>
        </is>
      </c>
      <c r="D1399" s="46" t="n">
        <v>40</v>
      </c>
      <c r="E1399" s="25" t="n">
        <v>1036</v>
      </c>
    </row>
    <row r="1400" ht="15" customHeight="1" s="47">
      <c r="C1400" s="42" t="inlineStr">
        <is>
          <t xml:space="preserve">LMICT% </t>
        </is>
      </c>
      <c r="D1400" s="29" t="n">
        <v>0</v>
      </c>
      <c r="E1400" s="29" t="n">
        <v>0.118705035971223</v>
      </c>
      <c r="F1400" s="31">
        <f>D1400-E1400</f>
        <v/>
      </c>
    </row>
    <row r="1401" ht="15" customHeight="1" s="47">
      <c r="C1401" s="42" t="inlineStr">
        <is>
          <t>LMIB%</t>
        </is>
      </c>
      <c r="D1401" s="29" t="n">
        <v>0</v>
      </c>
      <c r="E1401" s="29" t="n">
        <v>0.3273381294964029</v>
      </c>
      <c r="F1401" s="31">
        <f>D1401-E1401</f>
        <v/>
      </c>
    </row>
    <row r="1402" ht="15" customHeight="1" s="47">
      <c r="C1402" s="42" t="inlineStr">
        <is>
          <t>LMIB$</t>
        </is>
      </c>
      <c r="D1402" s="48" t="n">
        <v>0</v>
      </c>
      <c r="E1402" s="48" t="n">
        <v>12985000</v>
      </c>
      <c r="F1402" s="49" t="n"/>
    </row>
    <row r="1403" ht="15" customHeight="1" s="47">
      <c r="C1403" s="42" t="inlineStr">
        <is>
          <t>MMCT%</t>
        </is>
      </c>
      <c r="D1403" s="29" t="n">
        <v>0</v>
      </c>
      <c r="E1403" s="29" t="n">
        <v>0</v>
      </c>
      <c r="F1403" s="31">
        <f>D1403-E1403</f>
        <v/>
      </c>
    </row>
    <row r="1404" ht="15" customHeight="1" s="47">
      <c r="C1404" s="42" t="inlineStr">
        <is>
          <t>MINB%</t>
        </is>
      </c>
      <c r="D1404" s="29" t="n">
        <v>0.1666666666666666</v>
      </c>
      <c r="E1404" s="29" t="n">
        <v>0.01798561151079137</v>
      </c>
      <c r="F1404" s="31">
        <f>D1404-E1404</f>
        <v/>
      </c>
    </row>
    <row r="1405" ht="15" customHeight="1" s="47">
      <c r="C1405" s="42" t="inlineStr">
        <is>
          <t>Asian%</t>
        </is>
      </c>
      <c r="D1405" s="29" t="n">
        <v>0</v>
      </c>
      <c r="E1405" s="29" t="n">
        <v>0</v>
      </c>
      <c r="F1405" s="31">
        <f>D1405-E1405</f>
        <v/>
      </c>
    </row>
    <row r="1406" ht="15" customHeight="1" s="47">
      <c r="C1406" s="42" t="inlineStr">
        <is>
          <t>Black%</t>
        </is>
      </c>
      <c r="D1406" s="29" t="n">
        <v>0</v>
      </c>
      <c r="E1406" s="29" t="n">
        <v>0</v>
      </c>
      <c r="F1406" s="31">
        <f>D1406-E1406</f>
        <v/>
      </c>
    </row>
    <row r="1407" ht="15" customHeight="1" s="47">
      <c r="C1407" s="42" t="inlineStr">
        <is>
          <t>Native American%</t>
        </is>
      </c>
      <c r="D1407" s="29" t="n">
        <v>0</v>
      </c>
      <c r="E1407" s="29" t="n">
        <v>0</v>
      </c>
      <c r="F1407" s="31">
        <f>D1407-E1407</f>
        <v/>
      </c>
    </row>
    <row r="1408" ht="15" customHeight="1" s="47">
      <c r="C1408" s="42" t="inlineStr">
        <is>
          <t>HoPI%</t>
        </is>
      </c>
      <c r="D1408" s="29" t="n">
        <v>0</v>
      </c>
      <c r="E1408" s="29" t="n">
        <v>0</v>
      </c>
      <c r="F1408" s="31">
        <f>D1408-E1408</f>
        <v/>
      </c>
    </row>
    <row r="1409" ht="15" customHeight="1" s="47">
      <c r="C1409" s="42" t="inlineStr">
        <is>
          <t>Hispanic%</t>
        </is>
      </c>
      <c r="D1409" s="29" t="n">
        <v>0.1666666666666666</v>
      </c>
      <c r="E1409" s="29" t="n">
        <v>0.01798561151079137</v>
      </c>
      <c r="F1409" s="31">
        <f>D1409-E1409</f>
        <v/>
      </c>
    </row>
    <row r="1410" ht="15" customHeight="1" s="47">
      <c r="A1410" s="46" t="inlineStr">
        <is>
          <t>Missouri</t>
        </is>
      </c>
      <c r="B1410" s="42" t="inlineStr">
        <is>
          <t>Michigan Non-MSA</t>
        </is>
      </c>
      <c r="C1410" s="42" t="inlineStr">
        <is>
          <t>Loans</t>
        </is>
      </c>
      <c r="D1410" s="46" t="n">
        <v>6</v>
      </c>
      <c r="E1410" s="25" t="n">
        <v>278</v>
      </c>
    </row>
    <row r="1411" ht="15" customHeight="1" s="47">
      <c r="C1411" s="42" t="inlineStr">
        <is>
          <t xml:space="preserve">LMICT% </t>
        </is>
      </c>
      <c r="D1411" s="29" t="n">
        <v>0.07692307692307693</v>
      </c>
      <c r="E1411" s="29" t="n">
        <v>0.09712230215827339</v>
      </c>
      <c r="F1411" s="31">
        <f>D1411-E1411</f>
        <v/>
      </c>
    </row>
    <row r="1412" ht="15" customHeight="1" s="47">
      <c r="C1412" s="42" t="inlineStr">
        <is>
          <t>LMIB%</t>
        </is>
      </c>
      <c r="D1412" s="29" t="n">
        <v>0.4615384615384615</v>
      </c>
      <c r="E1412" s="29" t="n">
        <v>0.4064748201438849</v>
      </c>
      <c r="F1412" s="31">
        <f>D1412-E1412</f>
        <v/>
      </c>
    </row>
    <row r="1413" ht="15" customHeight="1" s="47">
      <c r="C1413" s="42" t="inlineStr">
        <is>
          <t>LMIB$</t>
        </is>
      </c>
      <c r="D1413" s="48" t="n">
        <v>720000</v>
      </c>
      <c r="E1413" s="48" t="n">
        <v>14235000</v>
      </c>
      <c r="F1413" s="49" t="n"/>
    </row>
    <row r="1414" ht="15" customHeight="1" s="47">
      <c r="C1414" s="42" t="inlineStr">
        <is>
          <t>MMCT%</t>
        </is>
      </c>
      <c r="D1414" s="29" t="n">
        <v>0</v>
      </c>
      <c r="E1414" s="29" t="n">
        <v>0</v>
      </c>
      <c r="F1414" s="31">
        <f>D1414-E1414</f>
        <v/>
      </c>
    </row>
    <row r="1415" ht="15" customHeight="1" s="47">
      <c r="C1415" s="42" t="inlineStr">
        <is>
          <t>MINB%</t>
        </is>
      </c>
      <c r="D1415" s="29" t="n">
        <v>0</v>
      </c>
      <c r="E1415" s="29" t="n">
        <v>0.0683453237410072</v>
      </c>
      <c r="F1415" s="31">
        <f>D1415-E1415</f>
        <v/>
      </c>
    </row>
    <row r="1416" ht="15" customHeight="1" s="47">
      <c r="C1416" s="42" t="inlineStr">
        <is>
          <t>Asian%</t>
        </is>
      </c>
      <c r="D1416" s="29" t="n">
        <v>0</v>
      </c>
      <c r="E1416" s="29" t="n">
        <v>0</v>
      </c>
      <c r="F1416" s="31">
        <f>D1416-E1416</f>
        <v/>
      </c>
    </row>
    <row r="1417" ht="15" customHeight="1" s="47">
      <c r="C1417" s="42" t="inlineStr">
        <is>
          <t>Black%</t>
        </is>
      </c>
      <c r="D1417" s="29" t="n">
        <v>0</v>
      </c>
      <c r="E1417" s="29" t="n">
        <v>0</v>
      </c>
      <c r="F1417" s="31">
        <f>D1417-E1417</f>
        <v/>
      </c>
    </row>
    <row r="1418" ht="15" customHeight="1" s="47">
      <c r="C1418" s="42" t="inlineStr">
        <is>
          <t>Native American%</t>
        </is>
      </c>
      <c r="D1418" s="29" t="n">
        <v>0</v>
      </c>
      <c r="E1418" s="29" t="n">
        <v>0</v>
      </c>
      <c r="F1418" s="31">
        <f>D1418-E1418</f>
        <v/>
      </c>
    </row>
    <row r="1419" ht="15" customHeight="1" s="47">
      <c r="C1419" s="42" t="inlineStr">
        <is>
          <t>HoPI%</t>
        </is>
      </c>
      <c r="D1419" s="29" t="n">
        <v>0</v>
      </c>
      <c r="E1419" s="29" t="n">
        <v>0</v>
      </c>
      <c r="F1419" s="31">
        <f>D1419-E1419</f>
        <v/>
      </c>
    </row>
    <row r="1420" ht="15" customHeight="1" s="47">
      <c r="C1420" s="42" t="inlineStr">
        <is>
          <t>Hispanic%</t>
        </is>
      </c>
      <c r="D1420" s="29" t="n">
        <v>0</v>
      </c>
      <c r="E1420" s="29" t="n">
        <v>0.0683453237410072</v>
      </c>
      <c r="F1420" s="31">
        <f>D1420-E1420</f>
        <v/>
      </c>
    </row>
    <row r="1421" ht="15" customHeight="1" s="47">
      <c r="B1421" s="42" t="inlineStr">
        <is>
          <t>Michigan Non-MSA</t>
        </is>
      </c>
      <c r="C1421" s="42" t="inlineStr">
        <is>
          <t>Loans</t>
        </is>
      </c>
      <c r="D1421" s="46" t="n">
        <v>13</v>
      </c>
      <c r="E1421" s="25" t="n">
        <v>278</v>
      </c>
    </row>
    <row r="1422" ht="15" customHeight="1" s="47">
      <c r="C1422" s="42" t="inlineStr">
        <is>
          <t xml:space="preserve">LMICT% </t>
        </is>
      </c>
      <c r="D1422" s="29" t="n">
        <v>0.2326848249027237</v>
      </c>
      <c r="E1422" s="29" t="n">
        <v>0.2150692840646651</v>
      </c>
      <c r="F1422" s="31">
        <f>D1422-E1422</f>
        <v/>
      </c>
    </row>
    <row r="1423" ht="15" customHeight="1" s="47">
      <c r="C1423" s="42" t="inlineStr">
        <is>
          <t>LMIB%</t>
        </is>
      </c>
      <c r="D1423" s="29" t="n">
        <v>0.380544747081712</v>
      </c>
      <c r="E1423" s="29" t="n">
        <v>0.3795227097767513</v>
      </c>
      <c r="F1423" s="31">
        <f>D1423-E1423</f>
        <v/>
      </c>
    </row>
    <row r="1424" ht="15" customHeight="1" s="47">
      <c r="C1424" s="42" t="inlineStr">
        <is>
          <t>LMIB$</t>
        </is>
      </c>
      <c r="D1424" s="48" t="n">
        <v>76035000</v>
      </c>
      <c r="E1424" s="48" t="n">
        <v>3303150000</v>
      </c>
      <c r="F1424" s="49" t="n"/>
    </row>
    <row r="1425" ht="15" customHeight="1" s="47">
      <c r="C1425" s="42" t="inlineStr">
        <is>
          <t>MMCT%</t>
        </is>
      </c>
      <c r="D1425" s="29" t="n">
        <v>0.1245136186770428</v>
      </c>
      <c r="E1425" s="29" t="n">
        <v>0.1108929946112394</v>
      </c>
      <c r="F1425" s="31">
        <f>D1425-E1425</f>
        <v/>
      </c>
    </row>
    <row r="1426" ht="15" customHeight="1" s="47">
      <c r="C1426" s="42" t="inlineStr">
        <is>
          <t>MINB%</t>
        </is>
      </c>
      <c r="D1426" s="29" t="n">
        <v>0.0311284046692607</v>
      </c>
      <c r="E1426" s="29" t="n">
        <v>0.03806774441878368</v>
      </c>
      <c r="F1426" s="31">
        <f>D1426-E1426</f>
        <v/>
      </c>
    </row>
    <row r="1427" ht="15" customHeight="1" s="47">
      <c r="C1427" s="42" t="inlineStr">
        <is>
          <t>Asian%</t>
        </is>
      </c>
      <c r="D1427" s="29" t="n">
        <v>0</v>
      </c>
      <c r="E1427" s="29" t="n">
        <v>0</v>
      </c>
      <c r="F1427" s="31">
        <f>D1427-E1427</f>
        <v/>
      </c>
    </row>
    <row r="1428" ht="15" customHeight="1" s="47">
      <c r="C1428" s="42" t="inlineStr">
        <is>
          <t>Black%</t>
        </is>
      </c>
      <c r="D1428" s="29" t="n">
        <v>0</v>
      </c>
      <c r="E1428" s="29" t="n">
        <v>0</v>
      </c>
      <c r="F1428" s="31">
        <f>D1428-E1428</f>
        <v/>
      </c>
    </row>
    <row r="1429" ht="15" customHeight="1" s="47">
      <c r="C1429" s="42" t="inlineStr">
        <is>
          <t>Native American%</t>
        </is>
      </c>
      <c r="D1429" s="29" t="n">
        <v>0</v>
      </c>
      <c r="E1429" s="29" t="n">
        <v>0</v>
      </c>
      <c r="F1429" s="31">
        <f>D1429-E1429</f>
        <v/>
      </c>
    </row>
    <row r="1430" ht="15" customHeight="1" s="47">
      <c r="C1430" s="42" t="inlineStr">
        <is>
          <t>HoPI%</t>
        </is>
      </c>
      <c r="D1430" s="29" t="n">
        <v>0</v>
      </c>
      <c r="E1430" s="29" t="n">
        <v>0</v>
      </c>
      <c r="F1430" s="31">
        <f>D1430-E1430</f>
        <v/>
      </c>
    </row>
    <row r="1431" ht="15" customHeight="1" s="47">
      <c r="C1431" s="42" t="inlineStr">
        <is>
          <t>Hispanic%</t>
        </is>
      </c>
      <c r="D1431" s="29" t="n">
        <v>0.0311284046692607</v>
      </c>
      <c r="E1431" s="29" t="n">
        <v>0.03806774441878368</v>
      </c>
      <c r="F1431" s="31">
        <f>D1431-E1431</f>
        <v/>
      </c>
    </row>
    <row r="1432" ht="15" customHeight="1" s="47">
      <c r="B1432" s="42" t="inlineStr">
        <is>
          <t>Detroit-Warren-Dearborn, MI</t>
        </is>
      </c>
      <c r="C1432" s="42" t="inlineStr">
        <is>
          <t>Loans</t>
        </is>
      </c>
      <c r="D1432" s="46" t="n">
        <v>1285</v>
      </c>
      <c r="E1432" s="25" t="n">
        <v>51960</v>
      </c>
    </row>
    <row r="1433" ht="15" customHeight="1" s="47">
      <c r="C1433" s="42" t="inlineStr">
        <is>
          <t xml:space="preserve">LMICT% </t>
        </is>
      </c>
      <c r="D1433" s="29" t="n">
        <v>0.1212121212121212</v>
      </c>
      <c r="E1433" s="29" t="n">
        <v>0.1422222222222222</v>
      </c>
      <c r="F1433" s="31">
        <f>D1433-E1433</f>
        <v/>
      </c>
    </row>
    <row r="1434" ht="15" customHeight="1" s="47">
      <c r="C1434" s="42" t="inlineStr">
        <is>
          <t>LMIB%</t>
        </is>
      </c>
      <c r="D1434" s="29" t="n">
        <v>0.3181818181818182</v>
      </c>
      <c r="E1434" s="29" t="n">
        <v>0.3275555555555555</v>
      </c>
      <c r="F1434" s="31">
        <f>D1434-E1434</f>
        <v/>
      </c>
    </row>
    <row r="1435" ht="15" customHeight="1" s="47">
      <c r="C1435" s="42" t="inlineStr">
        <is>
          <t>LMIB$</t>
        </is>
      </c>
      <c r="D1435" s="48" t="n">
        <v>2355000</v>
      </c>
      <c r="E1435" s="48" t="n">
        <v>92175000</v>
      </c>
      <c r="F1435" s="31" t="n"/>
    </row>
    <row r="1436" ht="15" customHeight="1" s="47">
      <c r="C1436" s="42" t="inlineStr">
        <is>
          <t>MMCT%</t>
        </is>
      </c>
      <c r="D1436" s="29" t="n">
        <v>0.06060606060606061</v>
      </c>
      <c r="E1436" s="29" t="n">
        <v>0.05422222222222221</v>
      </c>
      <c r="F1436" s="31">
        <f>D1436-E1436</f>
        <v/>
      </c>
    </row>
    <row r="1437" ht="15" customHeight="1" s="47">
      <c r="C1437" s="42" t="inlineStr">
        <is>
          <t>MINB%</t>
        </is>
      </c>
      <c r="D1437" s="29" t="n">
        <v>0.01515151515151515</v>
      </c>
      <c r="E1437" s="29" t="n">
        <v>0.03866666666666667</v>
      </c>
      <c r="F1437" s="31">
        <f>D1437-E1437</f>
        <v/>
      </c>
    </row>
    <row r="1438" ht="15" customHeight="1" s="47">
      <c r="C1438" s="42" t="inlineStr">
        <is>
          <t>Asian%</t>
        </is>
      </c>
      <c r="D1438" s="29" t="n">
        <v>0</v>
      </c>
      <c r="E1438" s="29" t="n">
        <v>0</v>
      </c>
      <c r="F1438" s="31">
        <f>D1438-E1438</f>
        <v/>
      </c>
    </row>
    <row r="1439" ht="15" customHeight="1" s="47">
      <c r="C1439" s="42" t="inlineStr">
        <is>
          <t>Black%</t>
        </is>
      </c>
      <c r="D1439" s="29" t="n">
        <v>0</v>
      </c>
      <c r="E1439" s="29" t="n">
        <v>0</v>
      </c>
      <c r="F1439" s="31">
        <f>D1439-E1439</f>
        <v/>
      </c>
    </row>
    <row r="1440" ht="15" customHeight="1" s="47">
      <c r="C1440" s="42" t="inlineStr">
        <is>
          <t>Native American%</t>
        </is>
      </c>
      <c r="D1440" s="29" t="n">
        <v>0</v>
      </c>
      <c r="E1440" s="29" t="n">
        <v>0</v>
      </c>
      <c r="F1440" s="31">
        <f>D1440-E1440</f>
        <v/>
      </c>
    </row>
    <row r="1441" ht="15" customHeight="1" s="47">
      <c r="C1441" s="42" t="inlineStr">
        <is>
          <t>HoPI%</t>
        </is>
      </c>
      <c r="D1441" s="29" t="n">
        <v>0</v>
      </c>
      <c r="E1441" s="29" t="n">
        <v>0</v>
      </c>
      <c r="F1441" s="31">
        <f>D1441-E1441</f>
        <v/>
      </c>
    </row>
    <row r="1442" ht="15" customHeight="1" s="47">
      <c r="C1442" s="42" t="inlineStr">
        <is>
          <t>Hispanic%</t>
        </is>
      </c>
      <c r="D1442" s="29" t="n">
        <v>0.01515151515151515</v>
      </c>
      <c r="E1442" s="29" t="n">
        <v>0.03866666666666667</v>
      </c>
      <c r="F1442" s="31">
        <f>D1442-E1442</f>
        <v/>
      </c>
    </row>
    <row r="1443" ht="15" customHeight="1" s="47">
      <c r="B1443" s="42" t="inlineStr">
        <is>
          <t>Flint, MI</t>
        </is>
      </c>
      <c r="C1443" s="42" t="inlineStr">
        <is>
          <t>Loans</t>
        </is>
      </c>
      <c r="D1443" s="46" t="n">
        <v>66</v>
      </c>
      <c r="E1443" s="25" t="n">
        <v>2250</v>
      </c>
    </row>
    <row r="1444" ht="15" customHeight="1" s="47">
      <c r="C1444" s="42" t="inlineStr">
        <is>
          <t xml:space="preserve">LMICT% </t>
        </is>
      </c>
      <c r="D1444" s="29" t="n">
        <v>0.1515151515151515</v>
      </c>
      <c r="E1444" s="29" t="n">
        <v>0.1910980810234542</v>
      </c>
      <c r="F1444" s="31">
        <f>D1444-E1444</f>
        <v/>
      </c>
    </row>
    <row r="1445" ht="15" customHeight="1" s="47">
      <c r="C1445" s="42" t="inlineStr">
        <is>
          <t>LMIB%</t>
        </is>
      </c>
      <c r="D1445" s="29" t="n">
        <v>0.2045454545454546</v>
      </c>
      <c r="E1445" s="29" t="n">
        <v>0.384728144989339</v>
      </c>
      <c r="F1445" s="31">
        <f>D1445-E1445</f>
        <v/>
      </c>
    </row>
    <row r="1446" ht="15" customHeight="1" s="47">
      <c r="C1446" s="42" t="inlineStr">
        <is>
          <t>LMIB$</t>
        </is>
      </c>
      <c r="D1446" s="48" t="n">
        <v>10020000</v>
      </c>
      <c r="E1446" s="48" t="n">
        <v>556965000</v>
      </c>
      <c r="F1446" s="49" t="n"/>
    </row>
    <row r="1447" ht="15" customHeight="1" s="47">
      <c r="C1447" s="42" t="inlineStr">
        <is>
          <t>MMCT%</t>
        </is>
      </c>
      <c r="D1447" s="29" t="n">
        <v>0.07575757575757576</v>
      </c>
      <c r="E1447" s="29" t="n">
        <v>0.09794776119402986</v>
      </c>
      <c r="F1447" s="31">
        <f>D1447-E1447</f>
        <v/>
      </c>
    </row>
    <row r="1448" ht="15" customHeight="1" s="47">
      <c r="C1448" s="42" t="inlineStr">
        <is>
          <t>MINB%</t>
        </is>
      </c>
      <c r="D1448" s="29" t="n">
        <v>0.02651515151515151</v>
      </c>
      <c r="E1448" s="29" t="n">
        <v>0.0767590618336887</v>
      </c>
      <c r="F1448" s="31">
        <f>D1448-E1448</f>
        <v/>
      </c>
    </row>
    <row r="1449" ht="15" customHeight="1" s="47">
      <c r="C1449" s="42" t="inlineStr">
        <is>
          <t>Asian%</t>
        </is>
      </c>
      <c r="D1449" s="29" t="n">
        <v>0</v>
      </c>
      <c r="E1449" s="29" t="n">
        <v>0</v>
      </c>
      <c r="F1449" s="31">
        <f>D1449-E1449</f>
        <v/>
      </c>
    </row>
    <row r="1450" ht="15" customHeight="1" s="47">
      <c r="C1450" s="42" t="inlineStr">
        <is>
          <t>Black%</t>
        </is>
      </c>
      <c r="D1450" s="29" t="n">
        <v>0</v>
      </c>
      <c r="E1450" s="29" t="n">
        <v>0</v>
      </c>
      <c r="F1450" s="31">
        <f>D1450-E1450</f>
        <v/>
      </c>
    </row>
    <row r="1451" ht="15" customHeight="1" s="47">
      <c r="C1451" s="42" t="inlineStr">
        <is>
          <t>Native American%</t>
        </is>
      </c>
      <c r="D1451" s="29" t="n">
        <v>0</v>
      </c>
      <c r="E1451" s="29" t="n">
        <v>0</v>
      </c>
      <c r="F1451" s="31">
        <f>D1451-E1451</f>
        <v/>
      </c>
    </row>
    <row r="1452" ht="15" customHeight="1" s="47">
      <c r="C1452" s="42" t="inlineStr">
        <is>
          <t>HoPI%</t>
        </is>
      </c>
      <c r="D1452" s="29" t="n">
        <v>0</v>
      </c>
      <c r="E1452" s="29" t="n">
        <v>0</v>
      </c>
      <c r="F1452" s="31">
        <f>D1452-E1452</f>
        <v/>
      </c>
    </row>
    <row r="1453" ht="15" customHeight="1" s="47">
      <c r="C1453" s="42" t="inlineStr">
        <is>
          <t>Hispanic%</t>
        </is>
      </c>
      <c r="D1453" s="29" t="n">
        <v>0.02651515151515151</v>
      </c>
      <c r="E1453" s="29" t="n">
        <v>0.0767590618336887</v>
      </c>
      <c r="F1453" s="31">
        <f>D1453-E1453</f>
        <v/>
      </c>
    </row>
    <row r="1454" ht="15" customHeight="1" s="47">
      <c r="B1454" s="42" t="inlineStr">
        <is>
          <t>Michigan Non-MSA</t>
        </is>
      </c>
      <c r="C1454" s="42" t="inlineStr">
        <is>
          <t>Loans</t>
        </is>
      </c>
      <c r="D1454" s="46" t="n">
        <v>264</v>
      </c>
      <c r="E1454" s="25" t="n">
        <v>7504</v>
      </c>
    </row>
    <row r="1455" ht="15" customHeight="1" s="47">
      <c r="C1455" s="42" t="inlineStr">
        <is>
          <t xml:space="preserve">LMICT% </t>
        </is>
      </c>
      <c r="D1455" s="29" t="n">
        <v>0.04166666666666666</v>
      </c>
      <c r="E1455" s="29" t="n">
        <v>0.04475524475524476</v>
      </c>
      <c r="F1455" s="31">
        <f>D1455-E1455</f>
        <v/>
      </c>
    </row>
    <row r="1456" ht="15" customHeight="1" s="47">
      <c r="C1456" s="42" t="inlineStr">
        <is>
          <t>LMIB%</t>
        </is>
      </c>
      <c r="D1456" s="29" t="n">
        <v>0.1875</v>
      </c>
      <c r="E1456" s="29" t="n">
        <v>0.2482517482517483</v>
      </c>
      <c r="F1456" s="31">
        <f>D1456-E1456</f>
        <v/>
      </c>
    </row>
    <row r="1457" ht="15" customHeight="1" s="47">
      <c r="C1457" s="42" t="inlineStr">
        <is>
          <t>LMIB$</t>
        </is>
      </c>
      <c r="D1457" s="48" t="n">
        <v>1165000</v>
      </c>
      <c r="E1457" s="48" t="n">
        <v>61125000</v>
      </c>
      <c r="F1457" s="49" t="n"/>
    </row>
    <row r="1458" ht="15" customHeight="1" s="47">
      <c r="C1458" s="42" t="inlineStr">
        <is>
          <t>MMCT%</t>
        </is>
      </c>
      <c r="D1458" s="29" t="n">
        <v>0</v>
      </c>
      <c r="E1458" s="29" t="n">
        <v>0.00909090909090909</v>
      </c>
      <c r="F1458" s="31">
        <f>D1458-E1458</f>
        <v/>
      </c>
    </row>
    <row r="1459" ht="15" customHeight="1" s="47">
      <c r="C1459" s="42" t="inlineStr">
        <is>
          <t>MINB%</t>
        </is>
      </c>
      <c r="D1459" s="29" t="n">
        <v>0.04166666666666666</v>
      </c>
      <c r="E1459" s="29" t="n">
        <v>0.03706293706293706</v>
      </c>
      <c r="F1459" s="31">
        <f>D1459-E1459</f>
        <v/>
      </c>
    </row>
    <row r="1460" ht="15" customHeight="1" s="47">
      <c r="C1460" s="42" t="inlineStr">
        <is>
          <t>Asian%</t>
        </is>
      </c>
      <c r="D1460" s="29" t="n">
        <v>0</v>
      </c>
      <c r="E1460" s="29" t="n">
        <v>0</v>
      </c>
      <c r="F1460" s="31">
        <f>D1460-E1460</f>
        <v/>
      </c>
    </row>
    <row r="1461" ht="15" customHeight="1" s="47">
      <c r="C1461" s="42" t="inlineStr">
        <is>
          <t>Black%</t>
        </is>
      </c>
      <c r="D1461" s="29" t="n">
        <v>0</v>
      </c>
      <c r="E1461" s="29" t="n">
        <v>0</v>
      </c>
      <c r="F1461" s="31">
        <f>D1461-E1461</f>
        <v/>
      </c>
    </row>
    <row r="1462" ht="15" customHeight="1" s="47">
      <c r="C1462" s="42" t="inlineStr">
        <is>
          <t>Native American%</t>
        </is>
      </c>
      <c r="D1462" s="29" t="n">
        <v>0</v>
      </c>
      <c r="E1462" s="29" t="n">
        <v>0</v>
      </c>
      <c r="F1462" s="31">
        <f>D1462-E1462</f>
        <v/>
      </c>
    </row>
    <row r="1463" ht="15" customHeight="1" s="47">
      <c r="C1463" s="42" t="inlineStr">
        <is>
          <t>HoPI%</t>
        </is>
      </c>
      <c r="D1463" s="29" t="n">
        <v>0</v>
      </c>
      <c r="E1463" s="29" t="n">
        <v>0</v>
      </c>
      <c r="F1463" s="31">
        <f>D1463-E1463</f>
        <v/>
      </c>
    </row>
    <row r="1464" ht="15" customHeight="1" s="47">
      <c r="C1464" s="42" t="inlineStr">
        <is>
          <t>Hispanic%</t>
        </is>
      </c>
      <c r="D1464" s="29" t="n">
        <v>0.04166666666666666</v>
      </c>
      <c r="E1464" s="29" t="n">
        <v>0.03706293706293706</v>
      </c>
      <c r="F1464" s="31">
        <f>D1464-E1464</f>
        <v/>
      </c>
    </row>
    <row r="1465" ht="15" customHeight="1" s="47">
      <c r="B1465" s="42" t="inlineStr">
        <is>
          <t>Michigan Non-MSA</t>
        </is>
      </c>
      <c r="C1465" s="42" t="inlineStr">
        <is>
          <t>Loans</t>
        </is>
      </c>
      <c r="D1465" s="46" t="n">
        <v>48</v>
      </c>
      <c r="E1465" s="25" t="n">
        <v>1430</v>
      </c>
    </row>
    <row r="1466" ht="15" customHeight="1" s="47">
      <c r="C1466" s="42" t="inlineStr">
        <is>
          <t xml:space="preserve">LMICT% </t>
        </is>
      </c>
      <c r="D1466" s="29" t="n">
        <v>0.2857142857142857</v>
      </c>
      <c r="E1466" s="29" t="n">
        <v>0.2433137638617091</v>
      </c>
      <c r="F1466" s="31">
        <f>D1466-E1466</f>
        <v/>
      </c>
    </row>
    <row r="1467" ht="15" customHeight="1" s="47">
      <c r="C1467" s="42" t="inlineStr">
        <is>
          <t>LMIB%</t>
        </is>
      </c>
      <c r="D1467" s="29" t="n">
        <v>0.375</v>
      </c>
      <c r="E1467" s="29" t="n">
        <v>0.3711676451402479</v>
      </c>
      <c r="F1467" s="31">
        <f>D1467-E1467</f>
        <v/>
      </c>
    </row>
    <row r="1468" ht="15" customHeight="1" s="47">
      <c r="C1468" s="42" t="inlineStr">
        <is>
          <t>LMIB$</t>
        </is>
      </c>
      <c r="D1468" s="48" t="n">
        <v>2285000</v>
      </c>
      <c r="E1468" s="48" t="n">
        <v>75485000</v>
      </c>
      <c r="F1468" s="49" t="n"/>
    </row>
    <row r="1469" ht="15" customHeight="1" s="47">
      <c r="C1469" s="42" t="inlineStr">
        <is>
          <t>MMCT%</t>
        </is>
      </c>
      <c r="D1469" s="29" t="n">
        <v>0.01785714285714286</v>
      </c>
      <c r="E1469" s="29" t="n">
        <v>0.02609262883235486</v>
      </c>
      <c r="F1469" s="31">
        <f>D1469-E1469</f>
        <v/>
      </c>
    </row>
    <row r="1470" ht="15" customHeight="1" s="47">
      <c r="C1470" s="42" t="inlineStr">
        <is>
          <t>MINB%</t>
        </is>
      </c>
      <c r="D1470" s="29" t="n">
        <v>0.07142857142857142</v>
      </c>
      <c r="E1470" s="29" t="n">
        <v>0.02544031311154598</v>
      </c>
      <c r="F1470" s="31">
        <f>D1470-E1470</f>
        <v/>
      </c>
    </row>
    <row r="1471" ht="15" customHeight="1" s="47">
      <c r="C1471" s="42" t="inlineStr">
        <is>
          <t>Asian%</t>
        </is>
      </c>
      <c r="D1471" s="29" t="n">
        <v>0</v>
      </c>
      <c r="E1471" s="29" t="n">
        <v>0</v>
      </c>
      <c r="F1471" s="31">
        <f>D1471-E1471</f>
        <v/>
      </c>
    </row>
    <row r="1472" ht="15" customHeight="1" s="47">
      <c r="C1472" s="42" t="inlineStr">
        <is>
          <t>Black%</t>
        </is>
      </c>
      <c r="D1472" s="29" t="n">
        <v>0</v>
      </c>
      <c r="E1472" s="29" t="n">
        <v>0</v>
      </c>
      <c r="F1472" s="31">
        <f>D1472-E1472</f>
        <v/>
      </c>
    </row>
    <row r="1473" ht="15" customHeight="1" s="47">
      <c r="C1473" s="42" t="inlineStr">
        <is>
          <t>Native American%</t>
        </is>
      </c>
      <c r="D1473" s="29" t="n">
        <v>0</v>
      </c>
      <c r="E1473" s="29" t="n">
        <v>0</v>
      </c>
      <c r="F1473" s="31">
        <f>D1473-E1473</f>
        <v/>
      </c>
    </row>
    <row r="1474" ht="15" customHeight="1" s="47">
      <c r="C1474" s="42" t="inlineStr">
        <is>
          <t>HoPI%</t>
        </is>
      </c>
      <c r="D1474" s="29" t="n">
        <v>0</v>
      </c>
      <c r="E1474" s="29" t="n">
        <v>0</v>
      </c>
      <c r="F1474" s="31">
        <f>D1474-E1474</f>
        <v/>
      </c>
    </row>
    <row r="1475" ht="15" customHeight="1" s="47">
      <c r="C1475" s="42" t="inlineStr">
        <is>
          <t>Hispanic%</t>
        </is>
      </c>
      <c r="D1475" s="29" t="n">
        <v>0.07142857142857142</v>
      </c>
      <c r="E1475" s="29" t="n">
        <v>0.02544031311154598</v>
      </c>
      <c r="F1475" s="31">
        <f>D1475-E1475</f>
        <v/>
      </c>
    </row>
    <row r="1476" ht="15" customHeight="1" s="47">
      <c r="B1476" s="42" t="inlineStr">
        <is>
          <t>Jackson, MI</t>
        </is>
      </c>
      <c r="C1476" s="42" t="inlineStr">
        <is>
          <t>Loans</t>
        </is>
      </c>
      <c r="D1476" s="46" t="n">
        <v>56</v>
      </c>
      <c r="E1476" s="25" t="n">
        <v>1533</v>
      </c>
    </row>
    <row r="1477" ht="15" customHeight="1" s="47">
      <c r="C1477" s="42" t="inlineStr">
        <is>
          <t xml:space="preserve">LMICT% </t>
        </is>
      </c>
      <c r="D1477" s="29" t="n">
        <v>0.2049689440993789</v>
      </c>
      <c r="E1477" s="29" t="n">
        <v>0.2251152698671006</v>
      </c>
      <c r="F1477" s="31">
        <f>D1477-E1477</f>
        <v/>
      </c>
    </row>
    <row r="1478" ht="15" customHeight="1" s="47">
      <c r="C1478" s="42" t="inlineStr">
        <is>
          <t>LMIB%</t>
        </is>
      </c>
      <c r="D1478" s="29" t="n">
        <v>0.3726708074534162</v>
      </c>
      <c r="E1478" s="29" t="n">
        <v>0.4141578519121236</v>
      </c>
      <c r="F1478" s="31">
        <f>D1478-E1478</f>
        <v/>
      </c>
    </row>
    <row r="1479" ht="15" customHeight="1" s="47">
      <c r="C1479" s="42" t="inlineStr">
        <is>
          <t>LMIB$</t>
        </is>
      </c>
      <c r="D1479" s="48" t="n">
        <v>9600000</v>
      </c>
      <c r="E1479" s="48" t="n">
        <v>244085000</v>
      </c>
      <c r="F1479" s="49" t="n"/>
    </row>
    <row r="1480" ht="15" customHeight="1" s="47">
      <c r="C1480" s="42" t="inlineStr">
        <is>
          <t>MMCT%</t>
        </is>
      </c>
      <c r="D1480" s="29" t="n">
        <v>0.03726708074534162</v>
      </c>
      <c r="E1480" s="29" t="n">
        <v>0.04420938432329807</v>
      </c>
      <c r="F1480" s="31">
        <f>D1480-E1480</f>
        <v/>
      </c>
    </row>
    <row r="1481" ht="15" customHeight="1" s="47">
      <c r="C1481" s="42" t="inlineStr">
        <is>
          <t>MINB%</t>
        </is>
      </c>
      <c r="D1481" s="29" t="n">
        <v>0.04347826086956522</v>
      </c>
      <c r="E1481" s="29" t="n">
        <v>0.04176837537293192</v>
      </c>
      <c r="F1481" s="31">
        <f>D1481-E1481</f>
        <v/>
      </c>
    </row>
    <row r="1482" ht="15" customHeight="1" s="47">
      <c r="C1482" s="42" t="inlineStr">
        <is>
          <t>Asian%</t>
        </is>
      </c>
      <c r="D1482" s="29" t="n">
        <v>0</v>
      </c>
      <c r="E1482" s="29" t="n">
        <v>0</v>
      </c>
      <c r="F1482" s="31">
        <f>D1482-E1482</f>
        <v/>
      </c>
    </row>
    <row r="1483" ht="15" customHeight="1" s="47">
      <c r="C1483" s="42" t="inlineStr">
        <is>
          <t>Black%</t>
        </is>
      </c>
      <c r="D1483" s="29" t="n">
        <v>0</v>
      </c>
      <c r="E1483" s="29" t="n">
        <v>0</v>
      </c>
      <c r="F1483" s="31">
        <f>D1483-E1483</f>
        <v/>
      </c>
    </row>
    <row r="1484" ht="15" customHeight="1" s="47">
      <c r="C1484" s="42" t="inlineStr">
        <is>
          <t>Native American%</t>
        </is>
      </c>
      <c r="D1484" s="29" t="n">
        <v>0</v>
      </c>
      <c r="E1484" s="29" t="n">
        <v>0</v>
      </c>
      <c r="F1484" s="31">
        <f>D1484-E1484</f>
        <v/>
      </c>
    </row>
    <row r="1485" ht="15" customHeight="1" s="47">
      <c r="C1485" s="42" t="inlineStr">
        <is>
          <t>HoPI%</t>
        </is>
      </c>
      <c r="D1485" s="29" t="n">
        <v>0</v>
      </c>
      <c r="E1485" s="29" t="n">
        <v>0</v>
      </c>
      <c r="F1485" s="31">
        <f>D1485-E1485</f>
        <v/>
      </c>
    </row>
    <row r="1486" ht="15" customHeight="1" s="47">
      <c r="C1486" s="42" t="inlineStr">
        <is>
          <t>Hispanic%</t>
        </is>
      </c>
      <c r="D1486" s="29" t="n">
        <v>0.04347826086956522</v>
      </c>
      <c r="E1486" s="29" t="n">
        <v>0.04176837537293192</v>
      </c>
      <c r="F1486" s="31">
        <f>D1486-E1486</f>
        <v/>
      </c>
    </row>
    <row r="1487" ht="15" customHeight="1" s="47">
      <c r="B1487" s="42" t="inlineStr">
        <is>
          <t>Kalamazoo-Portage, MI</t>
        </is>
      </c>
      <c r="C1487" s="42" t="inlineStr">
        <is>
          <t>Loans</t>
        </is>
      </c>
      <c r="D1487" s="46" t="n">
        <v>161</v>
      </c>
      <c r="E1487" s="25" t="n">
        <v>3687</v>
      </c>
    </row>
    <row r="1488" ht="15" customHeight="1" s="47">
      <c r="C1488" s="42" t="inlineStr">
        <is>
          <t xml:space="preserve">LMICT% </t>
        </is>
      </c>
      <c r="D1488" s="29" t="n">
        <v>0.2105263157894737</v>
      </c>
      <c r="E1488" s="29" t="n">
        <v>0.2376836646499568</v>
      </c>
      <c r="F1488" s="31">
        <f>D1488-E1488</f>
        <v/>
      </c>
    </row>
    <row r="1489" ht="15" customHeight="1" s="47">
      <c r="C1489" s="42" t="inlineStr">
        <is>
          <t>LMIB%</t>
        </is>
      </c>
      <c r="D1489" s="29" t="n">
        <v>0.4166666666666667</v>
      </c>
      <c r="E1489" s="29" t="n">
        <v>0.4926534140017286</v>
      </c>
      <c r="F1489" s="31">
        <f>D1489-E1489</f>
        <v/>
      </c>
    </row>
    <row r="1490" ht="15" customHeight="1" s="47">
      <c r="C1490" s="42" t="inlineStr">
        <is>
          <t>LMIB$</t>
        </is>
      </c>
      <c r="D1490" s="48" t="n">
        <v>12695000</v>
      </c>
      <c r="E1490" s="48" t="n">
        <v>467870000</v>
      </c>
      <c r="F1490" s="49" t="n"/>
    </row>
    <row r="1491" ht="15" customHeight="1" s="47">
      <c r="C1491" s="42" t="inlineStr">
        <is>
          <t>MMCT%</t>
        </is>
      </c>
      <c r="D1491" s="29" t="n">
        <v>0.06578947368421052</v>
      </c>
      <c r="E1491" s="29" t="n">
        <v>0.06698357821953328</v>
      </c>
      <c r="F1491" s="31">
        <f>D1491-E1491</f>
        <v/>
      </c>
    </row>
    <row r="1492" ht="15" customHeight="1" s="47">
      <c r="C1492" s="42" t="inlineStr">
        <is>
          <t>MINB%</t>
        </is>
      </c>
      <c r="D1492" s="29" t="n">
        <v>0.02631578947368421</v>
      </c>
      <c r="E1492" s="29" t="n">
        <v>0.04753673292999136</v>
      </c>
      <c r="F1492" s="31">
        <f>D1492-E1492</f>
        <v/>
      </c>
    </row>
    <row r="1493" ht="15" customHeight="1" s="47">
      <c r="C1493" s="42" t="inlineStr">
        <is>
          <t>Asian%</t>
        </is>
      </c>
      <c r="D1493" s="29" t="n">
        <v>0</v>
      </c>
      <c r="E1493" s="29" t="n">
        <v>0</v>
      </c>
      <c r="F1493" s="31">
        <f>D1493-E1493</f>
        <v/>
      </c>
    </row>
    <row r="1494" ht="15" customHeight="1" s="47">
      <c r="C1494" s="42" t="inlineStr">
        <is>
          <t>Black%</t>
        </is>
      </c>
      <c r="D1494" s="29" t="n">
        <v>0</v>
      </c>
      <c r="E1494" s="29" t="n">
        <v>0</v>
      </c>
      <c r="F1494" s="31">
        <f>D1494-E1494</f>
        <v/>
      </c>
    </row>
    <row r="1495" ht="15" customHeight="1" s="47">
      <c r="C1495" s="42" t="inlineStr">
        <is>
          <t>Native American%</t>
        </is>
      </c>
      <c r="D1495" s="29" t="n">
        <v>0</v>
      </c>
      <c r="E1495" s="29" t="n">
        <v>0</v>
      </c>
      <c r="F1495" s="31">
        <f>D1495-E1495</f>
        <v/>
      </c>
    </row>
    <row r="1496" ht="15" customHeight="1" s="47">
      <c r="C1496" s="42" t="inlineStr">
        <is>
          <t>HoPI%</t>
        </is>
      </c>
      <c r="D1496" s="29" t="n">
        <v>0</v>
      </c>
      <c r="E1496" s="29" t="n">
        <v>0</v>
      </c>
      <c r="F1496" s="31">
        <f>D1496-E1496</f>
        <v/>
      </c>
    </row>
    <row r="1497" ht="15" customHeight="1" s="47">
      <c r="C1497" s="42" t="inlineStr">
        <is>
          <t>Hispanic%</t>
        </is>
      </c>
      <c r="D1497" s="29" t="n">
        <v>0.02631578947368421</v>
      </c>
      <c r="E1497" s="29" t="n">
        <v>0.04753673292999136</v>
      </c>
      <c r="F1497" s="31">
        <f>D1497-E1497</f>
        <v/>
      </c>
    </row>
    <row r="1498" ht="15" customHeight="1" s="47">
      <c r="B1498" s="42" t="inlineStr">
        <is>
          <t>Lansing-East Lansing, MI</t>
        </is>
      </c>
      <c r="C1498" s="42" t="inlineStr">
        <is>
          <t>Loans</t>
        </is>
      </c>
      <c r="D1498" s="46" t="n">
        <v>228</v>
      </c>
      <c r="E1498" s="25" t="n">
        <v>6942</v>
      </c>
    </row>
    <row r="1499" ht="15" customHeight="1" s="47">
      <c r="C1499" s="42" t="inlineStr">
        <is>
          <t xml:space="preserve">LMICT% </t>
        </is>
      </c>
      <c r="D1499" s="29" t="n">
        <v>0.1</v>
      </c>
      <c r="E1499" s="29" t="n">
        <v>0.07758620689655173</v>
      </c>
      <c r="F1499" s="31">
        <f>D1499-E1499</f>
        <v/>
      </c>
    </row>
    <row r="1500" ht="15" customHeight="1" s="47">
      <c r="C1500" s="42" t="inlineStr">
        <is>
          <t>LMIB%</t>
        </is>
      </c>
      <c r="D1500" s="29" t="n">
        <v>0.1</v>
      </c>
      <c r="E1500" s="29" t="n">
        <v>0.3275862068965518</v>
      </c>
      <c r="F1500" s="31">
        <f>D1500-E1500</f>
        <v/>
      </c>
    </row>
    <row r="1501" ht="15" customHeight="1" s="47">
      <c r="C1501" s="42" t="inlineStr">
        <is>
          <t>LMIB$</t>
        </is>
      </c>
      <c r="D1501" s="48" t="n">
        <v>165000</v>
      </c>
      <c r="E1501" s="48" t="n">
        <v>10520000</v>
      </c>
      <c r="F1501" s="49" t="n"/>
    </row>
    <row r="1502" ht="15" customHeight="1" s="47">
      <c r="C1502" s="42" t="inlineStr">
        <is>
          <t>MMCT%</t>
        </is>
      </c>
      <c r="D1502" s="29" t="n">
        <v>0</v>
      </c>
      <c r="E1502" s="29" t="n">
        <v>0</v>
      </c>
      <c r="F1502" s="31">
        <f>D1502-E1502</f>
        <v/>
      </c>
    </row>
    <row r="1503" ht="15" customHeight="1" s="47">
      <c r="C1503" s="42" t="inlineStr">
        <is>
          <t>MINB%</t>
        </is>
      </c>
      <c r="D1503" s="29" t="n">
        <v>0</v>
      </c>
      <c r="E1503" s="29" t="n">
        <v>0.03448275862068965</v>
      </c>
      <c r="F1503" s="31">
        <f>D1503-E1503</f>
        <v/>
      </c>
    </row>
    <row r="1504" ht="15" customHeight="1" s="47">
      <c r="C1504" s="42" t="inlineStr">
        <is>
          <t>Asian%</t>
        </is>
      </c>
      <c r="D1504" s="29" t="n">
        <v>0</v>
      </c>
      <c r="E1504" s="29" t="n">
        <v>0</v>
      </c>
      <c r="F1504" s="31">
        <f>D1504-E1504</f>
        <v/>
      </c>
    </row>
    <row r="1505" ht="15" customHeight="1" s="47">
      <c r="C1505" s="42" t="inlineStr">
        <is>
          <t>Black%</t>
        </is>
      </c>
      <c r="D1505" s="29" t="n">
        <v>0</v>
      </c>
      <c r="E1505" s="29" t="n">
        <v>0</v>
      </c>
      <c r="F1505" s="31">
        <f>D1505-E1505</f>
        <v/>
      </c>
    </row>
    <row r="1506" ht="15" customHeight="1" s="47">
      <c r="C1506" s="42" t="inlineStr">
        <is>
          <t>Native American%</t>
        </is>
      </c>
      <c r="D1506" s="29" t="n">
        <v>0</v>
      </c>
      <c r="E1506" s="29" t="n">
        <v>0</v>
      </c>
      <c r="F1506" s="31">
        <f>D1506-E1506</f>
        <v/>
      </c>
    </row>
    <row r="1507" ht="15" customHeight="1" s="47">
      <c r="C1507" s="42" t="inlineStr">
        <is>
          <t>HoPI%</t>
        </is>
      </c>
      <c r="D1507" s="29" t="n">
        <v>0</v>
      </c>
      <c r="E1507" s="29" t="n">
        <v>0</v>
      </c>
      <c r="F1507" s="31">
        <f>D1507-E1507</f>
        <v/>
      </c>
    </row>
    <row r="1508" ht="15" customHeight="1" s="47">
      <c r="C1508" s="42" t="inlineStr">
        <is>
          <t>Hispanic%</t>
        </is>
      </c>
      <c r="D1508" s="29" t="n">
        <v>0</v>
      </c>
      <c r="E1508" s="29" t="n">
        <v>0.03448275862068965</v>
      </c>
      <c r="F1508" s="31">
        <f>D1508-E1508</f>
        <v/>
      </c>
    </row>
    <row r="1509" ht="15" customHeight="1" s="47">
      <c r="B1509" s="42" t="inlineStr">
        <is>
          <t>Michigan Non-MSA</t>
        </is>
      </c>
      <c r="C1509" s="42" t="inlineStr">
        <is>
          <t>Loans</t>
        </is>
      </c>
      <c r="D1509" s="46" t="n">
        <v>10</v>
      </c>
      <c r="E1509" s="25" t="n">
        <v>232</v>
      </c>
    </row>
    <row r="1510" ht="15" customHeight="1" s="47">
      <c r="C1510" s="42" t="inlineStr">
        <is>
          <t xml:space="preserve">LMICT% </t>
        </is>
      </c>
      <c r="D1510" s="29" t="n">
        <v>0.07692307692307693</v>
      </c>
      <c r="E1510" s="29" t="n">
        <v>0.1889020070838253</v>
      </c>
      <c r="F1510" s="31">
        <f>D1510-E1510</f>
        <v/>
      </c>
    </row>
    <row r="1511" ht="15" customHeight="1" s="47">
      <c r="C1511" s="42" t="inlineStr">
        <is>
          <t>LMIB%</t>
        </is>
      </c>
      <c r="D1511" s="29" t="n">
        <v>0.3846153846153847</v>
      </c>
      <c r="E1511" s="29" t="n">
        <v>0.4380165289256198</v>
      </c>
      <c r="F1511" s="31">
        <f>D1511-E1511</f>
        <v/>
      </c>
    </row>
    <row r="1512" ht="15" customHeight="1" s="47">
      <c r="C1512" s="42" t="inlineStr">
        <is>
          <t>LMIB$</t>
        </is>
      </c>
      <c r="D1512" s="48" t="n">
        <v>1290000</v>
      </c>
      <c r="E1512" s="48" t="n">
        <v>53115000</v>
      </c>
      <c r="F1512" s="49" t="n"/>
    </row>
    <row r="1513" ht="15" customHeight="1" s="47">
      <c r="C1513" s="42" t="inlineStr">
        <is>
          <t>MMCT%</t>
        </is>
      </c>
      <c r="D1513" s="29" t="n">
        <v>0</v>
      </c>
      <c r="E1513" s="29" t="n">
        <v>0</v>
      </c>
      <c r="F1513" s="31">
        <f>D1513-E1513</f>
        <v/>
      </c>
    </row>
    <row r="1514" ht="15" customHeight="1" s="47">
      <c r="C1514" s="42" t="inlineStr">
        <is>
          <t>MINB%</t>
        </is>
      </c>
      <c r="D1514" s="29" t="n">
        <v>0</v>
      </c>
      <c r="E1514" s="29" t="n">
        <v>0.04014167650531287</v>
      </c>
      <c r="F1514" s="31">
        <f>D1514-E1514</f>
        <v/>
      </c>
    </row>
    <row r="1515" ht="15" customHeight="1" s="47">
      <c r="C1515" s="42" t="inlineStr">
        <is>
          <t>Asian%</t>
        </is>
      </c>
      <c r="D1515" s="29" t="n">
        <v>0</v>
      </c>
      <c r="E1515" s="29" t="n">
        <v>0</v>
      </c>
      <c r="F1515" s="31">
        <f>D1515-E1515</f>
        <v/>
      </c>
    </row>
    <row r="1516" ht="15" customHeight="1" s="47">
      <c r="C1516" s="42" t="inlineStr">
        <is>
          <t>Black%</t>
        </is>
      </c>
      <c r="D1516" s="29" t="n">
        <v>0</v>
      </c>
      <c r="E1516" s="29" t="n">
        <v>0</v>
      </c>
      <c r="F1516" s="31">
        <f>D1516-E1516</f>
        <v/>
      </c>
    </row>
    <row r="1517" ht="15" customHeight="1" s="47">
      <c r="C1517" s="42" t="inlineStr">
        <is>
          <t>Native American%</t>
        </is>
      </c>
      <c r="D1517" s="29" t="n">
        <v>0</v>
      </c>
      <c r="E1517" s="29" t="n">
        <v>0</v>
      </c>
      <c r="F1517" s="31">
        <f>D1517-E1517</f>
        <v/>
      </c>
    </row>
    <row r="1518" ht="15" customHeight="1" s="47">
      <c r="C1518" s="42" t="inlineStr">
        <is>
          <t>HoPI%</t>
        </is>
      </c>
      <c r="D1518" s="29" t="n">
        <v>0</v>
      </c>
      <c r="E1518" s="29" t="n">
        <v>0</v>
      </c>
      <c r="F1518" s="31">
        <f>D1518-E1518</f>
        <v/>
      </c>
    </row>
    <row r="1519" ht="15" customHeight="1" s="47">
      <c r="C1519" s="42" t="inlineStr">
        <is>
          <t>Hispanic%</t>
        </is>
      </c>
      <c r="D1519" s="29" t="n">
        <v>0</v>
      </c>
      <c r="E1519" s="29" t="n">
        <v>0.04014167650531287</v>
      </c>
      <c r="F1519" s="31">
        <f>D1519-E1519</f>
        <v/>
      </c>
    </row>
    <row r="1520" ht="15" customHeight="1" s="47">
      <c r="B1520" s="42" t="inlineStr">
        <is>
          <t>Midland, MI</t>
        </is>
      </c>
      <c r="C1520" s="42" t="inlineStr">
        <is>
          <t>Loans</t>
        </is>
      </c>
      <c r="D1520" s="46" t="n">
        <v>26</v>
      </c>
      <c r="E1520" s="25" t="n">
        <v>847</v>
      </c>
    </row>
    <row r="1521" ht="15" customHeight="1" s="47">
      <c r="C1521" s="42" t="inlineStr">
        <is>
          <t xml:space="preserve">LMICT% </t>
        </is>
      </c>
      <c r="D1521" s="29" t="n">
        <v>0.125</v>
      </c>
      <c r="E1521" s="29" t="n">
        <v>0.1130705394190871</v>
      </c>
      <c r="F1521" s="31">
        <f>D1521-E1521</f>
        <v/>
      </c>
    </row>
    <row r="1522" ht="15" customHeight="1" s="47">
      <c r="C1522" s="42" t="inlineStr">
        <is>
          <t>LMIB%</t>
        </is>
      </c>
      <c r="D1522" s="29" t="n">
        <v>0.4</v>
      </c>
      <c r="E1522" s="29" t="n">
        <v>0.3993775933609959</v>
      </c>
      <c r="F1522" s="31">
        <f>D1522-E1522</f>
        <v/>
      </c>
    </row>
    <row r="1523" ht="15" customHeight="1" s="47">
      <c r="C1523" s="42" t="inlineStr">
        <is>
          <t>LMIB$</t>
        </is>
      </c>
      <c r="D1523" s="48" t="n">
        <v>4430000</v>
      </c>
      <c r="E1523" s="48" t="n">
        <v>187255000</v>
      </c>
      <c r="F1523" s="49" t="n"/>
    </row>
    <row r="1524" ht="15" customHeight="1" s="47">
      <c r="C1524" s="42" t="inlineStr">
        <is>
          <t>MMCT%</t>
        </is>
      </c>
      <c r="D1524" s="29" t="n">
        <v>0</v>
      </c>
      <c r="E1524" s="29" t="n">
        <v>0</v>
      </c>
      <c r="F1524" s="31">
        <f>D1524-E1524</f>
        <v/>
      </c>
    </row>
    <row r="1525" ht="15" customHeight="1" s="47">
      <c r="C1525" s="42" t="inlineStr">
        <is>
          <t>MINB%</t>
        </is>
      </c>
      <c r="D1525" s="29" t="n">
        <v>0.0125</v>
      </c>
      <c r="E1525" s="29" t="n">
        <v>0.02593360995850623</v>
      </c>
      <c r="F1525" s="31">
        <f>D1525-E1525</f>
        <v/>
      </c>
    </row>
    <row r="1526" ht="15" customHeight="1" s="47">
      <c r="C1526" s="42" t="inlineStr">
        <is>
          <t>Asian%</t>
        </is>
      </c>
      <c r="D1526" s="29" t="n">
        <v>0</v>
      </c>
      <c r="E1526" s="29" t="n">
        <v>0</v>
      </c>
      <c r="F1526" s="31">
        <f>D1526-E1526</f>
        <v/>
      </c>
    </row>
    <row r="1527" ht="15" customHeight="1" s="47">
      <c r="C1527" s="42" t="inlineStr">
        <is>
          <t>Black%</t>
        </is>
      </c>
      <c r="D1527" s="29" t="n">
        <v>0</v>
      </c>
      <c r="E1527" s="29" t="n">
        <v>0</v>
      </c>
      <c r="F1527" s="31">
        <f>D1527-E1527</f>
        <v/>
      </c>
    </row>
    <row r="1528" ht="15" customHeight="1" s="47">
      <c r="C1528" s="42" t="inlineStr">
        <is>
          <t>Native American%</t>
        </is>
      </c>
      <c r="D1528" s="29" t="n">
        <v>0</v>
      </c>
      <c r="E1528" s="29" t="n">
        <v>0</v>
      </c>
      <c r="F1528" s="31">
        <f>D1528-E1528</f>
        <v/>
      </c>
    </row>
    <row r="1529" ht="15" customHeight="1" s="47">
      <c r="C1529" s="42" t="inlineStr">
        <is>
          <t>HoPI%</t>
        </is>
      </c>
      <c r="D1529" s="29" t="n">
        <v>0</v>
      </c>
      <c r="E1529" s="29" t="n">
        <v>0</v>
      </c>
      <c r="F1529" s="31">
        <f>D1529-E1529</f>
        <v/>
      </c>
    </row>
    <row r="1530" ht="15" customHeight="1" s="47">
      <c r="C1530" s="42" t="inlineStr">
        <is>
          <t>Hispanic%</t>
        </is>
      </c>
      <c r="D1530" s="29" t="n">
        <v>0.0125</v>
      </c>
      <c r="E1530" s="29" t="n">
        <v>0.02593360995850623</v>
      </c>
      <c r="F1530" s="31">
        <f>D1530-E1530</f>
        <v/>
      </c>
    </row>
    <row r="1531" ht="15" customHeight="1" s="47">
      <c r="B1531" s="42" t="inlineStr">
        <is>
          <t>Monroe, MI</t>
        </is>
      </c>
      <c r="C1531" s="42" t="inlineStr">
        <is>
          <t>Loans</t>
        </is>
      </c>
      <c r="D1531" s="25" t="n">
        <v>80</v>
      </c>
      <c r="E1531" s="25" t="n">
        <v>2892</v>
      </c>
    </row>
    <row r="1532" ht="15" customHeight="1" s="47">
      <c r="C1532" s="42" t="inlineStr">
        <is>
          <t xml:space="preserve">LMICT% </t>
        </is>
      </c>
      <c r="D1532" s="29" t="n">
        <v>0</v>
      </c>
      <c r="E1532" s="29" t="n">
        <v>0.07652173913043478</v>
      </c>
      <c r="F1532" s="31">
        <f>D1532-E1532</f>
        <v/>
      </c>
    </row>
    <row r="1533" ht="15" customHeight="1" s="47">
      <c r="C1533" s="42" t="inlineStr">
        <is>
          <t>LMIB%</t>
        </is>
      </c>
      <c r="D1533" s="29" t="n">
        <v>0.3333333333333333</v>
      </c>
      <c r="E1533" s="29" t="n">
        <v>0.3582608695652174</v>
      </c>
      <c r="F1533" s="31">
        <f>D1533-E1533</f>
        <v/>
      </c>
    </row>
    <row r="1534" ht="15" customHeight="1" s="47">
      <c r="C1534" s="42" t="inlineStr">
        <is>
          <t>LMIB$</t>
        </is>
      </c>
      <c r="D1534" s="48" t="n">
        <v>750000</v>
      </c>
      <c r="E1534" s="48" t="n">
        <v>26750000</v>
      </c>
      <c r="F1534" s="31" t="n"/>
    </row>
    <row r="1535" ht="15" customHeight="1" s="47">
      <c r="C1535" s="42" t="inlineStr">
        <is>
          <t>MMCT%</t>
        </is>
      </c>
      <c r="D1535" s="29" t="n">
        <v>0</v>
      </c>
      <c r="E1535" s="29" t="n">
        <v>0</v>
      </c>
      <c r="F1535" s="31">
        <f>D1535-E1535</f>
        <v/>
      </c>
    </row>
    <row r="1536" ht="15" customHeight="1" s="47">
      <c r="C1536" s="42" t="inlineStr">
        <is>
          <t>MINB%</t>
        </is>
      </c>
      <c r="D1536" s="29" t="n">
        <v>0</v>
      </c>
      <c r="E1536" s="29" t="n">
        <v>0.04347826086956522</v>
      </c>
      <c r="F1536" s="31">
        <f>D1536-E1536</f>
        <v/>
      </c>
    </row>
    <row r="1537" ht="15" customHeight="1" s="47">
      <c r="C1537" s="42" t="inlineStr">
        <is>
          <t>Asian%</t>
        </is>
      </c>
      <c r="D1537" s="29" t="n">
        <v>0</v>
      </c>
      <c r="E1537" s="29" t="n">
        <v>0</v>
      </c>
      <c r="F1537" s="31">
        <f>D1537-E1537</f>
        <v/>
      </c>
    </row>
    <row r="1538" ht="15" customHeight="1" s="47">
      <c r="C1538" s="42" t="inlineStr">
        <is>
          <t>Black%</t>
        </is>
      </c>
      <c r="D1538" s="29" t="n">
        <v>0</v>
      </c>
      <c r="E1538" s="29" t="n">
        <v>0</v>
      </c>
      <c r="F1538" s="31">
        <f>D1538-E1538</f>
        <v/>
      </c>
    </row>
    <row r="1539" ht="15" customHeight="1" s="47">
      <c r="C1539" s="42" t="inlineStr">
        <is>
          <t>Native American%</t>
        </is>
      </c>
      <c r="D1539" s="29" t="n">
        <v>0</v>
      </c>
      <c r="E1539" s="29" t="n">
        <v>0</v>
      </c>
      <c r="F1539" s="31">
        <f>D1539-E1539</f>
        <v/>
      </c>
    </row>
    <row r="1540" ht="15" customHeight="1" s="47">
      <c r="C1540" s="42" t="inlineStr">
        <is>
          <t>HoPI%</t>
        </is>
      </c>
      <c r="D1540" s="29" t="n">
        <v>0</v>
      </c>
      <c r="E1540" s="29" t="n">
        <v>0</v>
      </c>
      <c r="F1540" s="31">
        <f>D1540-E1540</f>
        <v/>
      </c>
    </row>
    <row r="1541" ht="15" customHeight="1" s="47">
      <c r="C1541" s="42" t="inlineStr">
        <is>
          <t>Hispanic%</t>
        </is>
      </c>
      <c r="D1541" s="29" t="n">
        <v>0</v>
      </c>
      <c r="E1541" s="29" t="n">
        <v>0.04347826086956522</v>
      </c>
      <c r="F1541" s="31">
        <f>D1541-E1541</f>
        <v/>
      </c>
    </row>
    <row r="1542" ht="15" customHeight="1" s="47">
      <c r="B1542" s="42" t="inlineStr">
        <is>
          <t>Michigan Non-MSA</t>
        </is>
      </c>
      <c r="C1542" s="42" t="inlineStr">
        <is>
          <t>Loans</t>
        </is>
      </c>
      <c r="D1542" s="25" t="n">
        <v>18</v>
      </c>
      <c r="E1542" s="25" t="n">
        <v>575</v>
      </c>
    </row>
    <row r="1543" ht="15" customHeight="1" s="47">
      <c r="C1543" s="42" t="inlineStr">
        <is>
          <t xml:space="preserve">LMICT% </t>
        </is>
      </c>
      <c r="D1543" s="29" t="n">
        <v>0.1830985915492958</v>
      </c>
      <c r="E1543" s="29" t="n">
        <v>0.2633846153846154</v>
      </c>
      <c r="F1543" s="31">
        <f>D1543-E1543</f>
        <v/>
      </c>
    </row>
    <row r="1544" ht="15" customHeight="1" s="47">
      <c r="C1544" s="42" t="inlineStr">
        <is>
          <t>LMIB%</t>
        </is>
      </c>
      <c r="D1544" s="29" t="n">
        <v>0.3380281690140845</v>
      </c>
      <c r="E1544" s="29" t="n">
        <v>0.4473846153846154</v>
      </c>
      <c r="F1544" s="31">
        <f>D1544-E1544</f>
        <v/>
      </c>
    </row>
    <row r="1545" ht="15" customHeight="1" s="47">
      <c r="C1545" s="42" t="inlineStr">
        <is>
          <t>LMIB$</t>
        </is>
      </c>
      <c r="D1545" s="48" t="n">
        <v>2690000</v>
      </c>
      <c r="E1545" s="48" t="n">
        <v>96285000</v>
      </c>
      <c r="F1545" s="49" t="n"/>
    </row>
    <row r="1546" ht="15" customHeight="1" s="47">
      <c r="C1546" s="42" t="inlineStr">
        <is>
          <t>MMCT%</t>
        </is>
      </c>
      <c r="D1546" s="29" t="n">
        <v>0.1408450704225352</v>
      </c>
      <c r="E1546" s="29" t="n">
        <v>0.1710769230769231</v>
      </c>
      <c r="F1546" s="31">
        <f>D1546-E1546</f>
        <v/>
      </c>
    </row>
    <row r="1547" ht="15" customHeight="1" s="47">
      <c r="C1547" s="42" t="inlineStr">
        <is>
          <t>MINB%</t>
        </is>
      </c>
      <c r="D1547" s="29" t="n">
        <v>0.02816901408450705</v>
      </c>
      <c r="E1547" s="29" t="n">
        <v>0.06092307692307692</v>
      </c>
      <c r="F1547" s="31">
        <f>D1547-E1547</f>
        <v/>
      </c>
    </row>
    <row r="1548" ht="15" customHeight="1" s="47">
      <c r="C1548" s="42" t="inlineStr">
        <is>
          <t>Asian%</t>
        </is>
      </c>
      <c r="D1548" s="29" t="n">
        <v>0</v>
      </c>
      <c r="E1548" s="29" t="n">
        <v>0</v>
      </c>
      <c r="F1548" s="31">
        <f>D1548-E1548</f>
        <v/>
      </c>
    </row>
    <row r="1549" ht="15" customHeight="1" s="47">
      <c r="C1549" s="42" t="inlineStr">
        <is>
          <t>Black%</t>
        </is>
      </c>
      <c r="D1549" s="29" t="n">
        <v>0</v>
      </c>
      <c r="E1549" s="29" t="n">
        <v>0</v>
      </c>
      <c r="F1549" s="31">
        <f>D1549-E1549</f>
        <v/>
      </c>
    </row>
    <row r="1550" ht="15" customHeight="1" s="47">
      <c r="C1550" s="42" t="inlineStr">
        <is>
          <t>Native American%</t>
        </is>
      </c>
      <c r="D1550" s="29" t="n">
        <v>0</v>
      </c>
      <c r="E1550" s="29" t="n">
        <v>0</v>
      </c>
      <c r="F1550" s="31">
        <f>D1550-E1550</f>
        <v/>
      </c>
    </row>
    <row r="1551" ht="15" customHeight="1" s="47">
      <c r="C1551" s="42" t="inlineStr">
        <is>
          <t>HoPI%</t>
        </is>
      </c>
      <c r="D1551" s="29" t="n">
        <v>0</v>
      </c>
      <c r="E1551" s="29" t="n">
        <v>0</v>
      </c>
      <c r="F1551" s="31">
        <f>D1551-E1551</f>
        <v/>
      </c>
    </row>
    <row r="1552" ht="15" customHeight="1" s="47">
      <c r="C1552" s="42" t="inlineStr">
        <is>
          <t>Hispanic%</t>
        </is>
      </c>
      <c r="D1552" s="29" t="n">
        <v>0.02816901408450705</v>
      </c>
      <c r="E1552" s="29" t="n">
        <v>0.06092307692307692</v>
      </c>
      <c r="F1552" s="31">
        <f>D1552-E1552</f>
        <v/>
      </c>
    </row>
    <row r="1553" ht="15" customHeight="1" s="47">
      <c r="B1553" s="42" t="inlineStr">
        <is>
          <t>Muskegon, MI</t>
        </is>
      </c>
      <c r="C1553" s="42" t="inlineStr">
        <is>
          <t>Loans</t>
        </is>
      </c>
      <c r="D1553" s="46" t="n">
        <v>71</v>
      </c>
      <c r="E1553" s="25" t="n">
        <v>1625</v>
      </c>
    </row>
    <row r="1554" ht="15" customHeight="1" s="47">
      <c r="C1554" s="42" t="inlineStr">
        <is>
          <t xml:space="preserve">LMICT% </t>
        </is>
      </c>
      <c r="D1554" s="29" t="n">
        <v>0.08196721311475409</v>
      </c>
      <c r="E1554" s="29" t="n">
        <v>0.1631439894319683</v>
      </c>
      <c r="F1554" s="31">
        <f>D1554-E1554</f>
        <v/>
      </c>
    </row>
    <row r="1555" ht="15" customHeight="1" s="47">
      <c r="C1555" s="42" t="inlineStr">
        <is>
          <t>LMIB%</t>
        </is>
      </c>
      <c r="D1555" s="29" t="n">
        <v>0.3442622950819672</v>
      </c>
      <c r="E1555" s="29" t="n">
        <v>0.3791281373844121</v>
      </c>
      <c r="F1555" s="31">
        <f>D1555-E1555</f>
        <v/>
      </c>
    </row>
    <row r="1556" ht="15" customHeight="1" s="47">
      <c r="C1556" s="42" t="inlineStr">
        <is>
          <t>LMIB$</t>
        </is>
      </c>
      <c r="D1556" s="48" t="n">
        <v>2225000</v>
      </c>
      <c r="E1556" s="48" t="n">
        <v>57470000</v>
      </c>
      <c r="F1556" s="49" t="n"/>
    </row>
    <row r="1557" ht="15" customHeight="1" s="47">
      <c r="C1557" s="42" t="inlineStr">
        <is>
          <t>MMCT%</t>
        </is>
      </c>
      <c r="D1557" s="29" t="n">
        <v>0.06557377049180328</v>
      </c>
      <c r="E1557" s="29" t="n">
        <v>0.08850726552179657</v>
      </c>
      <c r="F1557" s="31">
        <f>D1557-E1557</f>
        <v/>
      </c>
    </row>
    <row r="1558" ht="15" customHeight="1" s="47">
      <c r="C1558" s="42" t="inlineStr">
        <is>
          <t>MINB%</t>
        </is>
      </c>
      <c r="D1558" s="29" t="n">
        <v>0.06557377049180328</v>
      </c>
      <c r="E1558" s="29" t="n">
        <v>0.06142668428005284</v>
      </c>
      <c r="F1558" s="31">
        <f>D1558-E1558</f>
        <v/>
      </c>
    </row>
    <row r="1559" ht="15" customHeight="1" s="47">
      <c r="C1559" s="42" t="inlineStr">
        <is>
          <t>Asian%</t>
        </is>
      </c>
      <c r="D1559" s="29" t="n">
        <v>0</v>
      </c>
      <c r="E1559" s="29" t="n">
        <v>0</v>
      </c>
      <c r="F1559" s="31">
        <f>D1559-E1559</f>
        <v/>
      </c>
    </row>
    <row r="1560" ht="15" customHeight="1" s="47">
      <c r="C1560" s="42" t="inlineStr">
        <is>
          <t>Black%</t>
        </is>
      </c>
      <c r="D1560" s="29" t="n">
        <v>0</v>
      </c>
      <c r="E1560" s="29" t="n">
        <v>0</v>
      </c>
      <c r="F1560" s="31">
        <f>D1560-E1560</f>
        <v/>
      </c>
    </row>
    <row r="1561" ht="15" customHeight="1" s="47">
      <c r="C1561" s="42" t="inlineStr">
        <is>
          <t>Native American%</t>
        </is>
      </c>
      <c r="D1561" s="29" t="n">
        <v>0</v>
      </c>
      <c r="E1561" s="29" t="n">
        <v>0</v>
      </c>
      <c r="F1561" s="31">
        <f>D1561-E1561</f>
        <v/>
      </c>
    </row>
    <row r="1562" ht="15" customHeight="1" s="47">
      <c r="C1562" s="42" t="inlineStr">
        <is>
          <t>HoPI%</t>
        </is>
      </c>
      <c r="D1562" s="29" t="n">
        <v>0</v>
      </c>
      <c r="E1562" s="29" t="n">
        <v>0</v>
      </c>
      <c r="F1562" s="31">
        <f>D1562-E1562</f>
        <v/>
      </c>
    </row>
    <row r="1563" ht="15" customHeight="1" s="47">
      <c r="C1563" s="42" t="inlineStr">
        <is>
          <t>Hispanic%</t>
        </is>
      </c>
      <c r="D1563" s="29" t="n">
        <v>0.06557377049180328</v>
      </c>
      <c r="E1563" s="29" t="n">
        <v>0.06142668428005284</v>
      </c>
      <c r="F1563" s="31">
        <f>D1563-E1563</f>
        <v/>
      </c>
    </row>
    <row r="1564" ht="15" customHeight="1" s="47">
      <c r="B1564" s="42" t="inlineStr">
        <is>
          <t>Saginaw, MI</t>
        </is>
      </c>
      <c r="C1564" s="42" t="inlineStr">
        <is>
          <t>Loans</t>
        </is>
      </c>
      <c r="D1564" s="46" t="n">
        <v>61</v>
      </c>
      <c r="E1564" s="25" t="n">
        <v>1514</v>
      </c>
    </row>
    <row r="1565" ht="15" customHeight="1" s="47">
      <c r="C1565" s="42" t="inlineStr">
        <is>
          <t xml:space="preserve">LMICT% </t>
        </is>
      </c>
      <c r="D1565" s="29" t="n">
        <v>0</v>
      </c>
      <c r="E1565" s="29" t="n">
        <v>0.03820224719101124</v>
      </c>
      <c r="F1565" s="31">
        <f>D1565-E1565</f>
        <v/>
      </c>
    </row>
    <row r="1566" ht="15" customHeight="1" s="47">
      <c r="C1566" s="42" t="inlineStr">
        <is>
          <t>LMIB%</t>
        </is>
      </c>
      <c r="D1566" s="29" t="n">
        <v>0.2</v>
      </c>
      <c r="E1566" s="29" t="n">
        <v>0.1415730337078652</v>
      </c>
      <c r="F1566" s="31">
        <f>D1566-E1566</f>
        <v/>
      </c>
    </row>
    <row r="1567" ht="15" customHeight="1" s="47">
      <c r="C1567" s="42" t="inlineStr">
        <is>
          <t>LMIB$</t>
        </is>
      </c>
      <c r="D1567" s="48" t="n">
        <v>425000</v>
      </c>
      <c r="E1567" s="48" t="n">
        <v>12145000</v>
      </c>
      <c r="F1567" s="49" t="n"/>
    </row>
    <row r="1568" ht="15" customHeight="1" s="47">
      <c r="C1568" s="42" t="inlineStr">
        <is>
          <t>MMCT%</t>
        </is>
      </c>
      <c r="D1568" s="29" t="n">
        <v>0</v>
      </c>
      <c r="E1568" s="29" t="n">
        <v>0</v>
      </c>
      <c r="F1568" s="31">
        <f>D1568-E1568</f>
        <v/>
      </c>
    </row>
    <row r="1569" ht="15" customHeight="1" s="47">
      <c r="C1569" s="42" t="inlineStr">
        <is>
          <t>MINB%</t>
        </is>
      </c>
      <c r="D1569" s="29" t="n">
        <v>0</v>
      </c>
      <c r="E1569" s="29" t="n">
        <v>0.01123595505617978</v>
      </c>
      <c r="F1569" s="31">
        <f>D1569-E1569</f>
        <v/>
      </c>
    </row>
    <row r="1570" ht="15" customHeight="1" s="47">
      <c r="C1570" s="42" t="inlineStr">
        <is>
          <t>Asian%</t>
        </is>
      </c>
      <c r="D1570" s="29" t="n">
        <v>0</v>
      </c>
      <c r="E1570" s="29" t="n">
        <v>0</v>
      </c>
      <c r="F1570" s="31">
        <f>D1570-E1570</f>
        <v/>
      </c>
    </row>
    <row r="1571" ht="15" customHeight="1" s="47">
      <c r="C1571" s="42" t="inlineStr">
        <is>
          <t>Black%</t>
        </is>
      </c>
      <c r="D1571" s="29" t="n">
        <v>0</v>
      </c>
      <c r="E1571" s="29" t="n">
        <v>0</v>
      </c>
      <c r="F1571" s="31">
        <f>D1571-E1571</f>
        <v/>
      </c>
    </row>
    <row r="1572" ht="15" customHeight="1" s="47">
      <c r="C1572" s="42" t="inlineStr">
        <is>
          <t>Native American%</t>
        </is>
      </c>
      <c r="D1572" s="29" t="n">
        <v>0</v>
      </c>
      <c r="E1572" s="29" t="n">
        <v>0</v>
      </c>
      <c r="F1572" s="31">
        <f>D1572-E1572</f>
        <v/>
      </c>
    </row>
    <row r="1573" ht="15" customHeight="1" s="47">
      <c r="C1573" s="42" t="inlineStr">
        <is>
          <t>HoPI%</t>
        </is>
      </c>
      <c r="D1573" s="29" t="n">
        <v>0</v>
      </c>
      <c r="E1573" s="29" t="n">
        <v>0</v>
      </c>
      <c r="F1573" s="31">
        <f>D1573-E1573</f>
        <v/>
      </c>
    </row>
    <row r="1574" ht="15" customHeight="1" s="47">
      <c r="C1574" s="42" t="inlineStr">
        <is>
          <t>Hispanic%</t>
        </is>
      </c>
      <c r="D1574" s="29" t="n">
        <v>0</v>
      </c>
      <c r="E1574" s="29" t="n">
        <v>0.01123595505617978</v>
      </c>
      <c r="F1574" s="31">
        <f>D1574-E1574</f>
        <v/>
      </c>
    </row>
    <row r="1575" ht="15" customHeight="1" s="47">
      <c r="B1575" s="42" t="inlineStr">
        <is>
          <t>Michigan Non-MSA</t>
        </is>
      </c>
      <c r="C1575" s="42" t="inlineStr">
        <is>
          <t>Loans</t>
        </is>
      </c>
      <c r="D1575" s="46" t="n">
        <v>15</v>
      </c>
      <c r="E1575" s="25" t="n">
        <v>445</v>
      </c>
    </row>
    <row r="1576" ht="15" customHeight="1" s="47">
      <c r="C1576" s="42" t="inlineStr">
        <is>
          <t xml:space="preserve">LMICT% </t>
        </is>
      </c>
      <c r="D1576" s="29" t="n">
        <v>0.1387665198237885</v>
      </c>
      <c r="E1576" s="29" t="n">
        <v>0.1418574309097379</v>
      </c>
      <c r="F1576" s="31">
        <f>D1576-E1576</f>
        <v/>
      </c>
    </row>
    <row r="1577" ht="15" customHeight="1" s="47">
      <c r="C1577" s="42" t="inlineStr">
        <is>
          <t>LMIB%</t>
        </is>
      </c>
      <c r="D1577" s="29" t="n">
        <v>0.3612334801762114</v>
      </c>
      <c r="E1577" s="29" t="n">
        <v>0.3484165579409323</v>
      </c>
      <c r="F1577" s="31">
        <f>D1577-E1577</f>
        <v/>
      </c>
    </row>
    <row r="1578" ht="15" customHeight="1" s="47">
      <c r="C1578" s="42" t="inlineStr">
        <is>
          <t>LMIB$</t>
        </is>
      </c>
      <c r="D1578" s="48" t="n">
        <v>21540000</v>
      </c>
      <c r="E1578" s="48" t="n">
        <v>764175000</v>
      </c>
      <c r="F1578" s="49" t="n"/>
    </row>
    <row r="1579" ht="15" customHeight="1" s="47">
      <c r="C1579" s="42" t="inlineStr">
        <is>
          <t>MMCT%</t>
        </is>
      </c>
      <c r="D1579" s="29" t="n">
        <v>0.06387665198237885</v>
      </c>
      <c r="E1579" s="29" t="n">
        <v>0.05800023721978413</v>
      </c>
      <c r="F1579" s="31">
        <f>D1579-E1579</f>
        <v/>
      </c>
    </row>
    <row r="1580" ht="15" customHeight="1" s="47">
      <c r="C1580" s="42" t="inlineStr">
        <is>
          <t>MINB%</t>
        </is>
      </c>
      <c r="D1580" s="29" t="n">
        <v>0.03744493392070485</v>
      </c>
      <c r="E1580" s="29" t="n">
        <v>0.0399122286798719</v>
      </c>
      <c r="F1580" s="31">
        <f>D1580-E1580</f>
        <v/>
      </c>
    </row>
    <row r="1581" ht="15" customHeight="1" s="47">
      <c r="C1581" s="42" t="inlineStr">
        <is>
          <t>Asian%</t>
        </is>
      </c>
      <c r="D1581" s="29" t="n">
        <v>0</v>
      </c>
      <c r="E1581" s="29" t="n">
        <v>0</v>
      </c>
      <c r="F1581" s="31">
        <f>D1581-E1581</f>
        <v/>
      </c>
    </row>
    <row r="1582" ht="15" customHeight="1" s="47">
      <c r="C1582" s="42" t="inlineStr">
        <is>
          <t>Black%</t>
        </is>
      </c>
      <c r="D1582" s="29" t="n">
        <v>0</v>
      </c>
      <c r="E1582" s="29" t="n">
        <v>0</v>
      </c>
      <c r="F1582" s="31">
        <f>D1582-E1582</f>
        <v/>
      </c>
    </row>
    <row r="1583" ht="15" customHeight="1" s="47">
      <c r="C1583" s="42" t="inlineStr">
        <is>
          <t>Native American%</t>
        </is>
      </c>
      <c r="D1583" s="29" t="n">
        <v>0</v>
      </c>
      <c r="E1583" s="29" t="n">
        <v>0</v>
      </c>
      <c r="F1583" s="31">
        <f>D1583-E1583</f>
        <v/>
      </c>
    </row>
    <row r="1584" ht="15" customHeight="1" s="47">
      <c r="C1584" s="42" t="inlineStr">
        <is>
          <t>HoPI%</t>
        </is>
      </c>
      <c r="D1584" s="29" t="n">
        <v>0</v>
      </c>
      <c r="E1584" s="29" t="n">
        <v>0</v>
      </c>
      <c r="F1584" s="31">
        <f>D1584-E1584</f>
        <v/>
      </c>
    </row>
    <row r="1585" ht="15" customHeight="1" s="47">
      <c r="C1585" s="42" t="inlineStr">
        <is>
          <t>Hispanic%</t>
        </is>
      </c>
      <c r="D1585" s="29" t="n">
        <v>0.03744493392070485</v>
      </c>
      <c r="E1585" s="29" t="n">
        <v>0.0399122286798719</v>
      </c>
      <c r="F1585" s="31">
        <f>D1585-E1585</f>
        <v/>
      </c>
    </row>
    <row r="1586" ht="15" customHeight="1" s="47">
      <c r="B1586" s="42" t="inlineStr">
        <is>
          <t>Georgia Non-MSA</t>
        </is>
      </c>
      <c r="C1586" s="42" t="inlineStr">
        <is>
          <t>Loans</t>
        </is>
      </c>
      <c r="D1586" s="46" t="n">
        <v>454</v>
      </c>
      <c r="E1586" s="25" t="n">
        <v>16862</v>
      </c>
    </row>
    <row r="1587" ht="15" customHeight="1" s="47">
      <c r="C1587" s="42" t="inlineStr">
        <is>
          <t xml:space="preserve">LMICT% </t>
        </is>
      </c>
      <c r="D1587" s="29" t="n">
        <v>0.2857142857142857</v>
      </c>
      <c r="E1587" s="29" t="n">
        <v>0.3259668508287293</v>
      </c>
      <c r="F1587" s="31">
        <f>D1587-E1587</f>
        <v/>
      </c>
    </row>
    <row r="1588" ht="15" customHeight="1" s="47">
      <c r="C1588" s="42" t="inlineStr">
        <is>
          <t>LMIB%</t>
        </is>
      </c>
      <c r="D1588" s="29" t="n">
        <v>0.1428571428571428</v>
      </c>
      <c r="E1588" s="29" t="n">
        <v>0.3701657458563536</v>
      </c>
      <c r="F1588" s="31">
        <f>D1588-E1588</f>
        <v/>
      </c>
    </row>
    <row r="1589" ht="15" customHeight="1" s="47">
      <c r="C1589" s="42" t="inlineStr">
        <is>
          <t>LMIB$</t>
        </is>
      </c>
      <c r="D1589" s="48" t="n">
        <v>305000</v>
      </c>
      <c r="E1589" s="48" t="n">
        <v>107425000</v>
      </c>
      <c r="F1589" s="49" t="n"/>
    </row>
    <row r="1590" ht="15" customHeight="1" s="47">
      <c r="C1590" s="42" t="inlineStr">
        <is>
          <t>MMCT%</t>
        </is>
      </c>
      <c r="D1590" s="29" t="n">
        <v>0.04761904761904762</v>
      </c>
      <c r="E1590" s="29" t="n">
        <v>0.189073050951504</v>
      </c>
      <c r="F1590" s="31">
        <f>D1590-E1590</f>
        <v/>
      </c>
    </row>
    <row r="1591" ht="15" customHeight="1" s="47">
      <c r="C1591" s="42" t="inlineStr">
        <is>
          <t>MINB%</t>
        </is>
      </c>
      <c r="D1591" s="29" t="n">
        <v>0</v>
      </c>
      <c r="E1591" s="29" t="n">
        <v>0.08717004297114794</v>
      </c>
      <c r="F1591" s="31">
        <f>D1591-E1591</f>
        <v/>
      </c>
    </row>
    <row r="1592" ht="15" customHeight="1" s="47">
      <c r="C1592" s="42" t="inlineStr">
        <is>
          <t>Asian%</t>
        </is>
      </c>
      <c r="D1592" s="29" t="n">
        <v>0</v>
      </c>
      <c r="E1592" s="29" t="n">
        <v>0</v>
      </c>
      <c r="F1592" s="31">
        <f>D1592-E1592</f>
        <v/>
      </c>
    </row>
    <row r="1593" ht="15" customHeight="1" s="47">
      <c r="C1593" s="42" t="inlineStr">
        <is>
          <t>Black%</t>
        </is>
      </c>
      <c r="D1593" s="29" t="n">
        <v>0</v>
      </c>
      <c r="E1593" s="29" t="n">
        <v>0</v>
      </c>
      <c r="F1593" s="31">
        <f>D1593-E1593</f>
        <v/>
      </c>
    </row>
    <row r="1594" ht="15" customHeight="1" s="47">
      <c r="C1594" s="42" t="inlineStr">
        <is>
          <t>Native American%</t>
        </is>
      </c>
      <c r="D1594" s="29" t="n">
        <v>0</v>
      </c>
      <c r="E1594" s="29" t="n">
        <v>0</v>
      </c>
      <c r="F1594" s="31">
        <f>D1594-E1594</f>
        <v/>
      </c>
    </row>
    <row r="1595" ht="15" customHeight="1" s="47">
      <c r="C1595" s="42" t="inlineStr">
        <is>
          <t>HoPI%</t>
        </is>
      </c>
      <c r="D1595" s="29" t="n">
        <v>0</v>
      </c>
      <c r="E1595" s="29" t="n">
        <v>0</v>
      </c>
      <c r="F1595" s="31">
        <f>D1595-E1595</f>
        <v/>
      </c>
    </row>
    <row r="1596" ht="15" customHeight="1" s="47">
      <c r="C1596" s="42" t="inlineStr">
        <is>
          <t>Hispanic%</t>
        </is>
      </c>
      <c r="D1596" s="29" t="n">
        <v>0</v>
      </c>
      <c r="E1596" s="29" t="n">
        <v>0.08717004297114794</v>
      </c>
      <c r="F1596" s="31">
        <f>D1596-E1596</f>
        <v/>
      </c>
    </row>
    <row r="1597" ht="15" customHeight="1" s="47">
      <c r="B1597" s="42" t="inlineStr">
        <is>
          <t>Kansas City, MO-KS</t>
        </is>
      </c>
      <c r="C1597" s="42" t="inlineStr">
        <is>
          <t>Loans</t>
        </is>
      </c>
      <c r="D1597" s="46" t="n">
        <v>21</v>
      </c>
      <c r="E1597" s="25" t="n">
        <v>1629</v>
      </c>
    </row>
    <row r="1598" ht="15" customHeight="1" s="47">
      <c r="C1598" s="42" t="inlineStr">
        <is>
          <t xml:space="preserve">LMICT% </t>
        </is>
      </c>
      <c r="D1598" s="29" t="n">
        <v>0.1675392670157068</v>
      </c>
      <c r="E1598" s="29" t="n">
        <v>0.1623264637406226</v>
      </c>
      <c r="F1598" s="31">
        <f>D1598-E1598</f>
        <v/>
      </c>
    </row>
    <row r="1599" ht="15" customHeight="1" s="47">
      <c r="C1599" s="42" t="inlineStr">
        <is>
          <t>LMIB%</t>
        </is>
      </c>
      <c r="D1599" s="29" t="n">
        <v>0.3612565445026178</v>
      </c>
      <c r="E1599" s="29" t="n">
        <v>0.3591014917651117</v>
      </c>
      <c r="F1599" s="31">
        <f>D1599-E1599</f>
        <v/>
      </c>
    </row>
    <row r="1600" ht="15" customHeight="1" s="47">
      <c r="C1600" s="42" t="inlineStr">
        <is>
          <t>LMIB$</t>
        </is>
      </c>
      <c r="D1600" s="48" t="n">
        <v>19600000</v>
      </c>
      <c r="E1600" s="48" t="n">
        <v>1375155000</v>
      </c>
      <c r="F1600" s="49" t="n"/>
    </row>
    <row r="1601" ht="15" customHeight="1" s="47">
      <c r="C1601" s="42" t="inlineStr">
        <is>
          <t>MMCT%</t>
        </is>
      </c>
      <c r="D1601" s="29" t="n">
        <v>0.1047120418848168</v>
      </c>
      <c r="E1601" s="29" t="n">
        <v>0.08204708114167455</v>
      </c>
      <c r="F1601" s="31">
        <f>D1601-E1601</f>
        <v/>
      </c>
    </row>
    <row r="1602" ht="15" customHeight="1" s="47">
      <c r="C1602" s="42" t="inlineStr">
        <is>
          <t>MINB%</t>
        </is>
      </c>
      <c r="D1602" s="29" t="n">
        <v>0.01570680628272251</v>
      </c>
      <c r="E1602" s="29" t="n">
        <v>0.0394929723204277</v>
      </c>
      <c r="F1602" s="31">
        <f>D1602-E1602</f>
        <v/>
      </c>
    </row>
    <row r="1603" ht="15" customHeight="1" s="47">
      <c r="C1603" s="42" t="inlineStr">
        <is>
          <t>Asian%</t>
        </is>
      </c>
      <c r="D1603" s="29" t="n">
        <v>0</v>
      </c>
      <c r="E1603" s="29" t="n">
        <v>0</v>
      </c>
      <c r="F1603" s="31">
        <f>D1603-E1603</f>
        <v/>
      </c>
    </row>
    <row r="1604" ht="15" customHeight="1" s="47">
      <c r="C1604" s="42" t="inlineStr">
        <is>
          <t>Black%</t>
        </is>
      </c>
      <c r="D1604" s="29" t="n">
        <v>0</v>
      </c>
      <c r="E1604" s="29" t="n">
        <v>0</v>
      </c>
      <c r="F1604" s="31">
        <f>D1604-E1604</f>
        <v/>
      </c>
    </row>
    <row r="1605" ht="15" customHeight="1" s="47">
      <c r="C1605" s="42" t="inlineStr">
        <is>
          <t>Native American%</t>
        </is>
      </c>
      <c r="D1605" s="29" t="n">
        <v>0</v>
      </c>
      <c r="E1605" s="29" t="n">
        <v>0</v>
      </c>
      <c r="F1605" s="31">
        <f>D1605-E1605</f>
        <v/>
      </c>
    </row>
    <row r="1606" ht="15" customHeight="1" s="47">
      <c r="C1606" s="42" t="inlineStr">
        <is>
          <t>HoPI%</t>
        </is>
      </c>
      <c r="D1606" s="29" t="n">
        <v>0</v>
      </c>
      <c r="E1606" s="29" t="n">
        <v>0</v>
      </c>
      <c r="F1606" s="31">
        <f>D1606-E1606</f>
        <v/>
      </c>
    </row>
    <row r="1607" ht="15" customHeight="1" s="47">
      <c r="C1607" s="42" t="inlineStr">
        <is>
          <t>Hispanic%</t>
        </is>
      </c>
      <c r="D1607" s="29" t="n">
        <v>0.01570680628272251</v>
      </c>
      <c r="E1607" s="29" t="n">
        <v>0.0394929723204277</v>
      </c>
      <c r="F1607" s="31">
        <f>D1607-E1607</f>
        <v/>
      </c>
    </row>
    <row r="1608" ht="15" customHeight="1" s="47">
      <c r="B1608" s="42" t="inlineStr">
        <is>
          <t>St. Louis, MO-IL</t>
        </is>
      </c>
      <c r="C1608" s="42" t="inlineStr">
        <is>
          <t>Loans</t>
        </is>
      </c>
      <c r="D1608" s="46" t="n">
        <v>382</v>
      </c>
      <c r="E1608" s="25" t="n">
        <v>23194</v>
      </c>
    </row>
    <row r="1609" ht="15" customHeight="1" s="47">
      <c r="C1609" s="42" t="inlineStr">
        <is>
          <t xml:space="preserve">LMICT% </t>
        </is>
      </c>
      <c r="D1609" s="29" t="n">
        <v>0.2252427184466019</v>
      </c>
      <c r="E1609" s="29" t="n">
        <v>0.2371995820271683</v>
      </c>
      <c r="F1609" s="31">
        <f>D1609-E1609</f>
        <v/>
      </c>
    </row>
    <row r="1610" ht="15" customHeight="1" s="47">
      <c r="C1610" s="42" t="inlineStr">
        <is>
          <t>LMIB%</t>
        </is>
      </c>
      <c r="D1610" s="29" t="n">
        <v>0.3553398058252427</v>
      </c>
      <c r="E1610" s="29" t="n">
        <v>0.4325215014870187</v>
      </c>
      <c r="F1610" s="31">
        <f>D1610-E1610</f>
        <v/>
      </c>
    </row>
    <row r="1611" ht="15" customHeight="1" s="47">
      <c r="C1611" s="42" t="inlineStr">
        <is>
          <t>LMIB$</t>
        </is>
      </c>
      <c r="D1611" s="48" t="n">
        <v>23085000</v>
      </c>
      <c r="E1611" s="48" t="n">
        <v>757615000</v>
      </c>
      <c r="F1611" s="49" t="n"/>
    </row>
    <row r="1612" ht="15" customHeight="1" s="47">
      <c r="C1612" s="42" t="inlineStr">
        <is>
          <t>MMCT%</t>
        </is>
      </c>
      <c r="D1612" s="29" t="n">
        <v>0.06019417475728155</v>
      </c>
      <c r="E1612" s="29" t="n">
        <v>0.05272888031508721</v>
      </c>
      <c r="F1612" s="31">
        <f>D1612-E1612</f>
        <v/>
      </c>
    </row>
    <row r="1613" ht="15" customHeight="1" s="47">
      <c r="C1613" s="42" t="inlineStr">
        <is>
          <t>MINB%</t>
        </is>
      </c>
      <c r="D1613" s="29" t="n">
        <v>0.02330097087378641</v>
      </c>
      <c r="E1613" s="29" t="n">
        <v>0.02162205610481473</v>
      </c>
      <c r="F1613" s="31">
        <f>D1613-E1613</f>
        <v/>
      </c>
    </row>
    <row r="1614" ht="15" customHeight="1" s="47">
      <c r="C1614" s="42" t="inlineStr">
        <is>
          <t>Asian%</t>
        </is>
      </c>
      <c r="D1614" s="29" t="n">
        <v>0</v>
      </c>
      <c r="E1614" s="29" t="n">
        <v>0</v>
      </c>
      <c r="F1614" s="31">
        <f>D1614-E1614</f>
        <v/>
      </c>
    </row>
    <row r="1615" ht="15" customHeight="1" s="47">
      <c r="C1615" s="42" t="inlineStr">
        <is>
          <t>Black%</t>
        </is>
      </c>
      <c r="D1615" s="29" t="n">
        <v>0</v>
      </c>
      <c r="E1615" s="29" t="n">
        <v>0</v>
      </c>
      <c r="F1615" s="31">
        <f>D1615-E1615</f>
        <v/>
      </c>
    </row>
    <row r="1616" ht="15" customHeight="1" s="47">
      <c r="C1616" s="42" t="inlineStr">
        <is>
          <t>Native American%</t>
        </is>
      </c>
      <c r="D1616" s="29" t="n">
        <v>0</v>
      </c>
      <c r="E1616" s="29" t="n">
        <v>0</v>
      </c>
      <c r="F1616" s="31">
        <f>D1616-E1616</f>
        <v/>
      </c>
    </row>
    <row r="1617" ht="15" customHeight="1" s="47">
      <c r="C1617" s="42" t="inlineStr">
        <is>
          <t>HoPI%</t>
        </is>
      </c>
      <c r="D1617" s="29" t="n">
        <v>0</v>
      </c>
      <c r="E1617" s="29" t="n">
        <v>0</v>
      </c>
      <c r="F1617" s="31">
        <f>D1617-E1617</f>
        <v/>
      </c>
    </row>
    <row r="1618" ht="15" customHeight="1" s="47">
      <c r="C1618" s="42" t="inlineStr">
        <is>
          <t>Hispanic%</t>
        </is>
      </c>
      <c r="D1618" s="29" t="n">
        <v>0.02330097087378641</v>
      </c>
      <c r="E1618" s="29" t="n">
        <v>0.02162205610481473</v>
      </c>
      <c r="F1618" s="31">
        <f>D1618-E1618</f>
        <v/>
      </c>
    </row>
    <row r="1619" ht="15" customHeight="1" s="47">
      <c r="A1619" s="46" t="inlineStr">
        <is>
          <t>Ohio</t>
        </is>
      </c>
      <c r="B1619" s="42" t="inlineStr">
        <is>
          <t>Akron, OH</t>
        </is>
      </c>
      <c r="C1619" s="42" t="inlineStr">
        <is>
          <t>Loans</t>
        </is>
      </c>
      <c r="D1619" s="46" t="n">
        <v>515</v>
      </c>
      <c r="E1619" s="25" t="n">
        <v>12441</v>
      </c>
    </row>
    <row r="1620" ht="15" customHeight="1" s="47">
      <c r="C1620" s="42" t="inlineStr">
        <is>
          <t xml:space="preserve">LMICT% </t>
        </is>
      </c>
      <c r="D1620" s="29" t="n">
        <v>0.07272727272727272</v>
      </c>
      <c r="E1620" s="29" t="n">
        <v>0.1077170418006431</v>
      </c>
      <c r="F1620" s="31">
        <f>D1620-E1620</f>
        <v/>
      </c>
    </row>
    <row r="1621" ht="15" customHeight="1" s="47">
      <c r="C1621" s="42" t="inlineStr">
        <is>
          <t>LMIB%</t>
        </is>
      </c>
      <c r="D1621" s="29" t="n">
        <v>0.4181818181818182</v>
      </c>
      <c r="E1621" s="29" t="n">
        <v>0.3633440514469453</v>
      </c>
      <c r="F1621" s="31">
        <f>D1621-E1621</f>
        <v/>
      </c>
    </row>
    <row r="1622" ht="15" customHeight="1" s="47">
      <c r="C1622" s="42" t="inlineStr">
        <is>
          <t>LMIB$</t>
        </is>
      </c>
      <c r="D1622" s="48" t="n">
        <v>2345000</v>
      </c>
      <c r="E1622" s="48" t="n">
        <v>29190000</v>
      </c>
      <c r="F1622" s="49" t="n"/>
    </row>
    <row r="1623" ht="15" customHeight="1" s="47">
      <c r="C1623" s="42" t="inlineStr">
        <is>
          <t>MMCT%</t>
        </is>
      </c>
      <c r="D1623" s="29" t="n">
        <v>0</v>
      </c>
      <c r="E1623" s="29" t="n">
        <v>0</v>
      </c>
      <c r="F1623" s="31">
        <f>D1623-E1623</f>
        <v/>
      </c>
    </row>
    <row r="1624" ht="15" customHeight="1" s="47">
      <c r="C1624" s="42" t="inlineStr">
        <is>
          <t>MINB%</t>
        </is>
      </c>
      <c r="D1624" s="29" t="n">
        <v>0.07272727272727272</v>
      </c>
      <c r="E1624" s="29" t="n">
        <v>0.02090032154340836</v>
      </c>
      <c r="F1624" s="31">
        <f>D1624-E1624</f>
        <v/>
      </c>
    </row>
    <row r="1625" ht="15" customHeight="1" s="47">
      <c r="C1625" s="42" t="inlineStr">
        <is>
          <t>Asian%</t>
        </is>
      </c>
      <c r="D1625" s="29" t="n">
        <v>0</v>
      </c>
      <c r="E1625" s="29" t="n">
        <v>0</v>
      </c>
      <c r="F1625" s="31">
        <f>D1625-E1625</f>
        <v/>
      </c>
    </row>
    <row r="1626" ht="15" customHeight="1" s="47">
      <c r="C1626" s="42" t="inlineStr">
        <is>
          <t>Black%</t>
        </is>
      </c>
      <c r="D1626" s="29" t="n">
        <v>0</v>
      </c>
      <c r="E1626" s="29" t="n">
        <v>0</v>
      </c>
      <c r="F1626" s="31">
        <f>D1626-E1626</f>
        <v/>
      </c>
    </row>
    <row r="1627" ht="15" customHeight="1" s="47">
      <c r="C1627" s="42" t="inlineStr">
        <is>
          <t>Native American%</t>
        </is>
      </c>
      <c r="D1627" s="29" t="n">
        <v>0</v>
      </c>
      <c r="E1627" s="29" t="n">
        <v>0</v>
      </c>
      <c r="F1627" s="31">
        <f>D1627-E1627</f>
        <v/>
      </c>
    </row>
    <row r="1628" ht="15" customHeight="1" s="47">
      <c r="C1628" s="42" t="inlineStr">
        <is>
          <t>HoPI%</t>
        </is>
      </c>
      <c r="D1628" s="29" t="n">
        <v>0</v>
      </c>
      <c r="E1628" s="29" t="n">
        <v>0</v>
      </c>
      <c r="F1628" s="31">
        <f>D1628-E1628</f>
        <v/>
      </c>
    </row>
    <row r="1629" ht="15" customHeight="1" s="47">
      <c r="C1629" s="42" t="inlineStr">
        <is>
          <t>Hispanic%</t>
        </is>
      </c>
      <c r="D1629" s="29" t="n">
        <v>0.07272727272727272</v>
      </c>
      <c r="E1629" s="29" t="n">
        <v>0.02090032154340836</v>
      </c>
      <c r="F1629" s="31">
        <f>D1629-E1629</f>
        <v/>
      </c>
    </row>
    <row r="1630" ht="15" customHeight="1" s="47">
      <c r="B1630" s="42" t="inlineStr">
        <is>
          <t>Ohio Non-MSA</t>
        </is>
      </c>
      <c r="C1630" s="42" t="inlineStr">
        <is>
          <t>Loans</t>
        </is>
      </c>
      <c r="D1630" s="46" t="n">
        <v>55</v>
      </c>
      <c r="E1630" s="25" t="n">
        <v>622</v>
      </c>
    </row>
    <row r="1631" ht="15" customHeight="1" s="47">
      <c r="C1631" s="42" t="inlineStr">
        <is>
          <t xml:space="preserve">LMICT% </t>
        </is>
      </c>
      <c r="D1631" s="29" t="n">
        <v>0.1764705882352941</v>
      </c>
      <c r="E1631" s="29" t="n">
        <v>0.1088328075709779</v>
      </c>
      <c r="F1631" s="31">
        <f>D1631-E1631</f>
        <v/>
      </c>
    </row>
    <row r="1632" ht="15" customHeight="1" s="47">
      <c r="C1632" s="42" t="inlineStr">
        <is>
          <t>LMIB%</t>
        </is>
      </c>
      <c r="D1632" s="29" t="n">
        <v>0.4705882352941176</v>
      </c>
      <c r="E1632" s="29" t="n">
        <v>0.3501577287066246</v>
      </c>
      <c r="F1632" s="31">
        <f>D1632-E1632</f>
        <v/>
      </c>
    </row>
    <row r="1633" ht="15" customHeight="1" s="47">
      <c r="C1633" s="42" t="inlineStr">
        <is>
          <t>LMIB$</t>
        </is>
      </c>
      <c r="D1633" s="48" t="n">
        <v>1080000</v>
      </c>
      <c r="E1633" s="48" t="n">
        <v>30860000</v>
      </c>
      <c r="F1633" s="31" t="n"/>
    </row>
    <row r="1634" ht="15" customHeight="1" s="47">
      <c r="C1634" s="42" t="inlineStr">
        <is>
          <t>MMCT%</t>
        </is>
      </c>
      <c r="D1634" s="29" t="n">
        <v>0</v>
      </c>
      <c r="E1634" s="29" t="n">
        <v>0</v>
      </c>
      <c r="F1634" s="31">
        <f>D1634-E1634</f>
        <v/>
      </c>
    </row>
    <row r="1635" ht="15" customHeight="1" s="47">
      <c r="C1635" s="42" t="inlineStr">
        <is>
          <t>MINB%</t>
        </is>
      </c>
      <c r="D1635" s="29" t="n">
        <v>0</v>
      </c>
      <c r="E1635" s="29" t="n">
        <v>0.03627760252365931</v>
      </c>
      <c r="F1635" s="31">
        <f>D1635-E1635</f>
        <v/>
      </c>
    </row>
    <row r="1636" ht="15" customHeight="1" s="47">
      <c r="C1636" s="42" t="inlineStr">
        <is>
          <t>Asian%</t>
        </is>
      </c>
      <c r="D1636" s="29" t="n">
        <v>0</v>
      </c>
      <c r="E1636" s="29" t="n">
        <v>0</v>
      </c>
      <c r="F1636" s="31">
        <f>D1636-E1636</f>
        <v/>
      </c>
    </row>
    <row r="1637" ht="15" customHeight="1" s="47">
      <c r="C1637" s="42" t="inlineStr">
        <is>
          <t>Black%</t>
        </is>
      </c>
      <c r="D1637" s="29" t="n">
        <v>0</v>
      </c>
      <c r="E1637" s="29" t="n">
        <v>0</v>
      </c>
      <c r="F1637" s="31">
        <f>D1637-E1637</f>
        <v/>
      </c>
    </row>
    <row r="1638" ht="15" customHeight="1" s="47">
      <c r="C1638" s="42" t="inlineStr">
        <is>
          <t>Native American%</t>
        </is>
      </c>
      <c r="D1638" s="29" t="n">
        <v>0</v>
      </c>
      <c r="E1638" s="29" t="n">
        <v>0</v>
      </c>
      <c r="F1638" s="31">
        <f>D1638-E1638</f>
        <v/>
      </c>
    </row>
    <row r="1639" ht="15" customHeight="1" s="47">
      <c r="C1639" s="42" t="inlineStr">
        <is>
          <t>HoPI%</t>
        </is>
      </c>
      <c r="D1639" s="29" t="n">
        <v>0</v>
      </c>
      <c r="E1639" s="29" t="n">
        <v>0</v>
      </c>
      <c r="F1639" s="31">
        <f>D1639-E1639</f>
        <v/>
      </c>
    </row>
    <row r="1640" ht="15" customHeight="1" s="47">
      <c r="C1640" s="42" t="inlineStr">
        <is>
          <t>Hispanic%</t>
        </is>
      </c>
      <c r="D1640" s="29" t="n">
        <v>0</v>
      </c>
      <c r="E1640" s="29" t="n">
        <v>0.03627760252365931</v>
      </c>
      <c r="F1640" s="31">
        <f>D1640-E1640</f>
        <v/>
      </c>
    </row>
    <row r="1641" ht="15" customHeight="1" s="47">
      <c r="B1641" s="42" t="inlineStr">
        <is>
          <t>Ohio Non-MSA</t>
        </is>
      </c>
      <c r="C1641" s="42" t="inlineStr">
        <is>
          <t>Loans</t>
        </is>
      </c>
      <c r="D1641" s="46" t="n">
        <v>17</v>
      </c>
      <c r="E1641" s="25" t="n">
        <v>634</v>
      </c>
    </row>
    <row r="1642" ht="15" customHeight="1" s="47">
      <c r="C1642" s="42" t="inlineStr">
        <is>
          <t xml:space="preserve">LMICT% </t>
        </is>
      </c>
      <c r="D1642" s="29" t="n">
        <v>0.1666666666666666</v>
      </c>
      <c r="E1642" s="29" t="n">
        <v>0.2677595628415301</v>
      </c>
      <c r="F1642" s="31">
        <f>D1642-E1642</f>
        <v/>
      </c>
    </row>
    <row r="1643" ht="15" customHeight="1" s="47">
      <c r="C1643" s="42" t="inlineStr">
        <is>
          <t>LMIB%</t>
        </is>
      </c>
      <c r="D1643" s="29" t="n">
        <v>0.375</v>
      </c>
      <c r="E1643" s="29" t="n">
        <v>0.4043715846994536</v>
      </c>
      <c r="F1643" s="31">
        <f>D1643-E1643</f>
        <v/>
      </c>
    </row>
    <row r="1644" ht="15" customHeight="1" s="47">
      <c r="C1644" s="42" t="inlineStr">
        <is>
          <t>LMIB$</t>
        </is>
      </c>
      <c r="D1644" s="48" t="n">
        <v>915000</v>
      </c>
      <c r="E1644" s="48" t="n">
        <v>17270000</v>
      </c>
      <c r="F1644" s="49" t="n"/>
    </row>
    <row r="1645" ht="15" customHeight="1" s="47">
      <c r="C1645" s="42" t="inlineStr">
        <is>
          <t>MMCT%</t>
        </is>
      </c>
      <c r="D1645" s="29" t="n">
        <v>0</v>
      </c>
      <c r="E1645" s="29" t="n">
        <v>0</v>
      </c>
      <c r="F1645" s="31">
        <f>D1645-E1645</f>
        <v/>
      </c>
    </row>
    <row r="1646" ht="15" customHeight="1" s="47">
      <c r="C1646" s="42" t="inlineStr">
        <is>
          <t>MINB%</t>
        </is>
      </c>
      <c r="D1646" s="29" t="n">
        <v>0.04166666666666666</v>
      </c>
      <c r="E1646" s="29" t="n">
        <v>0.01639344262295082</v>
      </c>
      <c r="F1646" s="31">
        <f>D1646-E1646</f>
        <v/>
      </c>
    </row>
    <row r="1647" ht="15" customHeight="1" s="47">
      <c r="C1647" s="42" t="inlineStr">
        <is>
          <t>Asian%</t>
        </is>
      </c>
      <c r="D1647" s="29" t="n">
        <v>0</v>
      </c>
      <c r="E1647" s="29" t="n">
        <v>0</v>
      </c>
      <c r="F1647" s="31">
        <f>D1647-E1647</f>
        <v/>
      </c>
    </row>
    <row r="1648" ht="15" customHeight="1" s="47">
      <c r="C1648" s="42" t="inlineStr">
        <is>
          <t>Black%</t>
        </is>
      </c>
      <c r="D1648" s="29" t="n">
        <v>0</v>
      </c>
      <c r="E1648" s="29" t="n">
        <v>0</v>
      </c>
      <c r="F1648" s="31">
        <f>D1648-E1648</f>
        <v/>
      </c>
    </row>
    <row r="1649" ht="15" customHeight="1" s="47">
      <c r="C1649" s="42" t="inlineStr">
        <is>
          <t>Native American%</t>
        </is>
      </c>
      <c r="D1649" s="29" t="n">
        <v>0</v>
      </c>
      <c r="E1649" s="29" t="n">
        <v>0</v>
      </c>
      <c r="F1649" s="31">
        <f>D1649-E1649</f>
        <v/>
      </c>
    </row>
    <row r="1650" ht="15" customHeight="1" s="47">
      <c r="C1650" s="42" t="inlineStr">
        <is>
          <t>HoPI%</t>
        </is>
      </c>
      <c r="D1650" s="29" t="n">
        <v>0</v>
      </c>
      <c r="E1650" s="29" t="n">
        <v>0</v>
      </c>
      <c r="F1650" s="31">
        <f>D1650-E1650</f>
        <v/>
      </c>
    </row>
    <row r="1651" ht="15" customHeight="1" s="47">
      <c r="C1651" s="42" t="inlineStr">
        <is>
          <t>Hispanic%</t>
        </is>
      </c>
      <c r="D1651" s="29" t="n">
        <v>0.04166666666666666</v>
      </c>
      <c r="E1651" s="29" t="n">
        <v>0.01639344262295082</v>
      </c>
      <c r="F1651" s="31">
        <f>D1651-E1651</f>
        <v/>
      </c>
    </row>
    <row r="1652" ht="15" customHeight="1" s="47">
      <c r="B1652" s="42" t="inlineStr">
        <is>
          <t>Ohio Non-MSA</t>
        </is>
      </c>
      <c r="C1652" s="42" t="inlineStr">
        <is>
          <t>Loans</t>
        </is>
      </c>
      <c r="D1652" s="46" t="n">
        <v>24</v>
      </c>
      <c r="E1652" s="25" t="n">
        <v>366</v>
      </c>
    </row>
    <row r="1653" ht="15" customHeight="1" s="47">
      <c r="C1653" s="42" t="inlineStr">
        <is>
          <t xml:space="preserve">LMICT% </t>
        </is>
      </c>
      <c r="D1653" s="29" t="n">
        <v>0.1467576791808874</v>
      </c>
      <c r="E1653" s="29" t="n">
        <v>0.1284541723666211</v>
      </c>
      <c r="F1653" s="31">
        <f>D1653-E1653</f>
        <v/>
      </c>
    </row>
    <row r="1654" ht="15" customHeight="1" s="47">
      <c r="C1654" s="42" t="inlineStr">
        <is>
          <t>LMIB%</t>
        </is>
      </c>
      <c r="D1654" s="29" t="n">
        <v>0.3788395904436859</v>
      </c>
      <c r="E1654" s="29" t="n">
        <v>0.406155950752394</v>
      </c>
      <c r="F1654" s="31">
        <f>D1654-E1654</f>
        <v/>
      </c>
    </row>
    <row r="1655" ht="15" customHeight="1" s="47">
      <c r="C1655" s="42" t="inlineStr">
        <is>
          <t>LMIB$</t>
        </is>
      </c>
      <c r="D1655" s="48" t="n">
        <v>13735000</v>
      </c>
      <c r="E1655" s="48" t="n">
        <v>383485000</v>
      </c>
      <c r="F1655" s="49" t="n"/>
    </row>
    <row r="1656" ht="15" customHeight="1" s="47">
      <c r="C1656" s="42" t="inlineStr">
        <is>
          <t>MMCT%</t>
        </is>
      </c>
      <c r="D1656" s="29" t="n">
        <v>0.006825938566552902</v>
      </c>
      <c r="E1656" s="29" t="n">
        <v>0.006155950752393981</v>
      </c>
      <c r="F1656" s="31">
        <f>D1656-E1656</f>
        <v/>
      </c>
    </row>
    <row r="1657" ht="15" customHeight="1" s="47">
      <c r="C1657" s="42" t="inlineStr">
        <is>
          <t>MINB%</t>
        </is>
      </c>
      <c r="D1657" s="29" t="n">
        <v>0.0136518771331058</v>
      </c>
      <c r="E1657" s="29" t="n">
        <v>0.01792065663474692</v>
      </c>
      <c r="F1657" s="31">
        <f>D1657-E1657</f>
        <v/>
      </c>
    </row>
    <row r="1658" ht="15" customHeight="1" s="47">
      <c r="C1658" s="42" t="inlineStr">
        <is>
          <t>Asian%</t>
        </is>
      </c>
      <c r="D1658" s="29" t="n">
        <v>0</v>
      </c>
      <c r="E1658" s="29" t="n">
        <v>0</v>
      </c>
      <c r="F1658" s="31">
        <f>D1658-E1658</f>
        <v/>
      </c>
    </row>
    <row r="1659" ht="15" customHeight="1" s="47">
      <c r="C1659" s="42" t="inlineStr">
        <is>
          <t>Black%</t>
        </is>
      </c>
      <c r="D1659" s="29" t="n">
        <v>0</v>
      </c>
      <c r="E1659" s="29" t="n">
        <v>0</v>
      </c>
      <c r="F1659" s="31">
        <f>D1659-E1659</f>
        <v/>
      </c>
    </row>
    <row r="1660" ht="15" customHeight="1" s="47">
      <c r="C1660" s="42" t="inlineStr">
        <is>
          <t>Native American%</t>
        </is>
      </c>
      <c r="D1660" s="29" t="n">
        <v>0</v>
      </c>
      <c r="E1660" s="29" t="n">
        <v>0</v>
      </c>
      <c r="F1660" s="31">
        <f>D1660-E1660</f>
        <v/>
      </c>
    </row>
    <row r="1661" ht="15" customHeight="1" s="47">
      <c r="C1661" s="42" t="inlineStr">
        <is>
          <t>HoPI%</t>
        </is>
      </c>
      <c r="D1661" s="29" t="n">
        <v>0</v>
      </c>
      <c r="E1661" s="29" t="n">
        <v>0</v>
      </c>
      <c r="F1661" s="31">
        <f>D1661-E1661</f>
        <v/>
      </c>
    </row>
    <row r="1662" ht="15" customHeight="1" s="47">
      <c r="C1662" s="42" t="inlineStr">
        <is>
          <t>Hispanic%</t>
        </is>
      </c>
      <c r="D1662" s="29" t="n">
        <v>0.0136518771331058</v>
      </c>
      <c r="E1662" s="29" t="n">
        <v>0.01792065663474692</v>
      </c>
      <c r="F1662" s="31">
        <f>D1662-E1662</f>
        <v/>
      </c>
    </row>
    <row r="1663" ht="15" customHeight="1" s="47">
      <c r="B1663" s="42" t="inlineStr">
        <is>
          <t>Canton-Massillon, OH</t>
        </is>
      </c>
      <c r="C1663" s="42" t="inlineStr">
        <is>
          <t>Loans</t>
        </is>
      </c>
      <c r="D1663" s="46" t="n">
        <v>293</v>
      </c>
      <c r="E1663" s="25" t="n">
        <v>7310</v>
      </c>
    </row>
    <row r="1664" ht="15" customHeight="1" s="47">
      <c r="C1664" s="42" t="inlineStr">
        <is>
          <t xml:space="preserve">LMICT% </t>
        </is>
      </c>
      <c r="D1664" s="29" t="n">
        <v>0.125</v>
      </c>
      <c r="E1664" s="29" t="n">
        <v>0.177391304347826</v>
      </c>
      <c r="F1664" s="31">
        <f>D1664-E1664</f>
        <v/>
      </c>
    </row>
    <row r="1665" ht="15" customHeight="1" s="47">
      <c r="C1665" s="42" t="inlineStr">
        <is>
          <t>LMIB%</t>
        </is>
      </c>
      <c r="D1665" s="29" t="n">
        <v>0.5833333333333334</v>
      </c>
      <c r="E1665" s="29" t="n">
        <v>0.3165217391304348</v>
      </c>
      <c r="F1665" s="31">
        <f>D1665-E1665</f>
        <v/>
      </c>
    </row>
    <row r="1666" ht="15" customHeight="1" s="47">
      <c r="C1666" s="42" t="inlineStr">
        <is>
          <t>LMIB$</t>
        </is>
      </c>
      <c r="D1666" s="48" t="n">
        <v>1980000</v>
      </c>
      <c r="E1666" s="48" t="n">
        <v>25460000</v>
      </c>
      <c r="F1666" s="49" t="n"/>
    </row>
    <row r="1667" ht="15" customHeight="1" s="47">
      <c r="C1667" s="42" t="inlineStr">
        <is>
          <t>MMCT%</t>
        </is>
      </c>
      <c r="D1667" s="29" t="n">
        <v>0</v>
      </c>
      <c r="E1667" s="29" t="n">
        <v>0</v>
      </c>
      <c r="F1667" s="31">
        <f>D1667-E1667</f>
        <v/>
      </c>
    </row>
    <row r="1668" ht="15" customHeight="1" s="47">
      <c r="C1668" s="42" t="inlineStr">
        <is>
          <t>MINB%</t>
        </is>
      </c>
      <c r="D1668" s="29" t="n">
        <v>0</v>
      </c>
      <c r="E1668" s="29" t="n">
        <v>0.006956521739130434</v>
      </c>
      <c r="F1668" s="31">
        <f>D1668-E1668</f>
        <v/>
      </c>
    </row>
    <row r="1669" ht="15" customHeight="1" s="47">
      <c r="C1669" s="42" t="inlineStr">
        <is>
          <t>Asian%</t>
        </is>
      </c>
      <c r="D1669" s="29" t="n">
        <v>0</v>
      </c>
      <c r="E1669" s="29" t="n">
        <v>0</v>
      </c>
      <c r="F1669" s="31">
        <f>D1669-E1669</f>
        <v/>
      </c>
    </row>
    <row r="1670" ht="15" customHeight="1" s="47">
      <c r="C1670" s="42" t="inlineStr">
        <is>
          <t>Black%</t>
        </is>
      </c>
      <c r="D1670" s="29" t="n">
        <v>0</v>
      </c>
      <c r="E1670" s="29" t="n">
        <v>0</v>
      </c>
      <c r="F1670" s="31">
        <f>D1670-E1670</f>
        <v/>
      </c>
    </row>
    <row r="1671" ht="15" customHeight="1" s="47">
      <c r="C1671" s="42" t="inlineStr">
        <is>
          <t>Native American%</t>
        </is>
      </c>
      <c r="D1671" s="29" t="n">
        <v>0</v>
      </c>
      <c r="E1671" s="29" t="n">
        <v>0</v>
      </c>
      <c r="F1671" s="31">
        <f>D1671-E1671</f>
        <v/>
      </c>
    </row>
    <row r="1672" ht="15" customHeight="1" s="47">
      <c r="C1672" s="42" t="inlineStr">
        <is>
          <t>HoPI%</t>
        </is>
      </c>
      <c r="D1672" s="29" t="n">
        <v>0</v>
      </c>
      <c r="E1672" s="29" t="n">
        <v>0</v>
      </c>
      <c r="F1672" s="31">
        <f>D1672-E1672</f>
        <v/>
      </c>
    </row>
    <row r="1673" ht="15" customHeight="1" s="47">
      <c r="C1673" s="42" t="inlineStr">
        <is>
          <t>Hispanic%</t>
        </is>
      </c>
      <c r="D1673" s="29" t="n">
        <v>0</v>
      </c>
      <c r="E1673" s="29" t="n">
        <v>0.006956521739130434</v>
      </c>
      <c r="F1673" s="31">
        <f>D1673-E1673</f>
        <v/>
      </c>
    </row>
    <row r="1674" ht="15" customHeight="1" s="47">
      <c r="B1674" s="42" t="inlineStr">
        <is>
          <t>Ohio Non-MSA</t>
        </is>
      </c>
      <c r="C1674" s="42" t="inlineStr">
        <is>
          <t>Loans</t>
        </is>
      </c>
      <c r="D1674" s="46" t="n">
        <v>24</v>
      </c>
      <c r="E1674" s="25" t="n">
        <v>575</v>
      </c>
    </row>
    <row r="1675" ht="15" customHeight="1" s="47">
      <c r="C1675" s="42" t="inlineStr">
        <is>
          <t xml:space="preserve">LMICT% </t>
        </is>
      </c>
      <c r="D1675" s="29" t="n">
        <v>0.214622641509434</v>
      </c>
      <c r="E1675" s="29" t="n">
        <v>0.2239638918534329</v>
      </c>
      <c r="F1675" s="31">
        <f>D1675-E1675</f>
        <v/>
      </c>
    </row>
    <row r="1676" ht="15" customHeight="1" s="47">
      <c r="C1676" s="42" t="inlineStr">
        <is>
          <t>LMIB%</t>
        </is>
      </c>
      <c r="D1676" s="29" t="n">
        <v>0.3852201257861635</v>
      </c>
      <c r="E1676" s="29" t="n">
        <v>0.413464959089292</v>
      </c>
      <c r="F1676" s="31">
        <f>D1676-E1676</f>
        <v/>
      </c>
    </row>
    <row r="1677" ht="15" customHeight="1" s="47">
      <c r="C1677" s="42" t="inlineStr">
        <is>
          <t>LMIB$</t>
        </is>
      </c>
      <c r="D1677" s="48" t="n">
        <v>76580000</v>
      </c>
      <c r="E1677" s="48" t="n">
        <v>3187950000</v>
      </c>
      <c r="F1677" s="49" t="n"/>
    </row>
    <row r="1678" ht="15" customHeight="1" s="47">
      <c r="C1678" s="42" t="inlineStr">
        <is>
          <t>MMCT%</t>
        </is>
      </c>
      <c r="D1678" s="29" t="n">
        <v>0.08411949685534591</v>
      </c>
      <c r="E1678" s="29" t="n">
        <v>0.08622376378512983</v>
      </c>
      <c r="F1678" s="31">
        <f>D1678-E1678</f>
        <v/>
      </c>
    </row>
    <row r="1679" ht="15" customHeight="1" s="47">
      <c r="C1679" s="42" t="inlineStr">
        <is>
          <t>MINB%</t>
        </is>
      </c>
      <c r="D1679" s="29" t="n">
        <v>0.03144654088050314</v>
      </c>
      <c r="E1679" s="29" t="n">
        <v>0.03766453219494842</v>
      </c>
      <c r="F1679" s="31">
        <f>D1679-E1679</f>
        <v/>
      </c>
    </row>
    <row r="1680" ht="15" customHeight="1" s="47">
      <c r="C1680" s="42" t="inlineStr">
        <is>
          <t>Asian%</t>
        </is>
      </c>
      <c r="D1680" s="29" t="n">
        <v>0</v>
      </c>
      <c r="E1680" s="29" t="n">
        <v>0</v>
      </c>
      <c r="F1680" s="31">
        <f>D1680-E1680</f>
        <v/>
      </c>
    </row>
    <row r="1681" ht="15" customHeight="1" s="47">
      <c r="C1681" s="42" t="inlineStr">
        <is>
          <t>Black%</t>
        </is>
      </c>
      <c r="D1681" s="29" t="n">
        <v>0</v>
      </c>
      <c r="E1681" s="29" t="n">
        <v>0</v>
      </c>
      <c r="F1681" s="31">
        <f>D1681-E1681</f>
        <v/>
      </c>
    </row>
    <row r="1682" ht="15" customHeight="1" s="47">
      <c r="C1682" s="42" t="inlineStr">
        <is>
          <t>Native American%</t>
        </is>
      </c>
      <c r="D1682" s="29" t="n">
        <v>0</v>
      </c>
      <c r="E1682" s="29" t="n">
        <v>0</v>
      </c>
      <c r="F1682" s="31">
        <f>D1682-E1682</f>
        <v/>
      </c>
    </row>
    <row r="1683" ht="15" customHeight="1" s="47">
      <c r="C1683" s="42" t="inlineStr">
        <is>
          <t>HoPI%</t>
        </is>
      </c>
      <c r="D1683" s="29" t="n">
        <v>0</v>
      </c>
      <c r="E1683" s="29" t="n">
        <v>0</v>
      </c>
      <c r="F1683" s="31">
        <f>D1683-E1683</f>
        <v/>
      </c>
    </row>
    <row r="1684" ht="15" customHeight="1" s="47">
      <c r="C1684" s="42" t="inlineStr">
        <is>
          <t>Hispanic%</t>
        </is>
      </c>
      <c r="D1684" s="29" t="n">
        <v>0.03144654088050314</v>
      </c>
      <c r="E1684" s="29" t="n">
        <v>0.03766453219494842</v>
      </c>
      <c r="F1684" s="31">
        <f>D1684-E1684</f>
        <v/>
      </c>
    </row>
    <row r="1685" ht="15" customHeight="1" s="47">
      <c r="B1685" s="42" t="inlineStr">
        <is>
          <t>Cincinnati, OH-KY-IN</t>
        </is>
      </c>
      <c r="C1685" s="42" t="inlineStr">
        <is>
          <t>Loans</t>
        </is>
      </c>
      <c r="D1685" s="46" t="n">
        <v>1272</v>
      </c>
      <c r="E1685" s="25" t="n">
        <v>44976</v>
      </c>
    </row>
    <row r="1686" ht="15" customHeight="1" s="47">
      <c r="C1686" s="42" t="inlineStr">
        <is>
          <t xml:space="preserve">LMICT% </t>
        </is>
      </c>
      <c r="D1686" s="29" t="n">
        <v>0.2266514806378132</v>
      </c>
      <c r="E1686" s="29" t="n">
        <v>0.2085263664211033</v>
      </c>
      <c r="F1686" s="31">
        <f>D1686-E1686</f>
        <v/>
      </c>
    </row>
    <row r="1687" ht="15" customHeight="1" s="47">
      <c r="C1687" s="42" t="inlineStr">
        <is>
          <t>LMIB%</t>
        </is>
      </c>
      <c r="D1687" s="29" t="n">
        <v>0.3986332574031891</v>
      </c>
      <c r="E1687" s="29" t="n">
        <v>0.4336345915293284</v>
      </c>
      <c r="F1687" s="31">
        <f>D1687-E1687</f>
        <v/>
      </c>
    </row>
    <row r="1688" ht="15" customHeight="1" s="47">
      <c r="C1688" s="42" t="inlineStr">
        <is>
          <t>LMIB$</t>
        </is>
      </c>
      <c r="D1688" s="48" t="n">
        <v>93920000</v>
      </c>
      <c r="E1688" s="48" t="n">
        <v>2479505000</v>
      </c>
      <c r="F1688" s="49" t="n"/>
    </row>
    <row r="1689" ht="15" customHeight="1" s="47">
      <c r="C1689" s="42" t="inlineStr">
        <is>
          <t>MMCT%</t>
        </is>
      </c>
      <c r="D1689" s="29" t="n">
        <v>0.1708428246013667</v>
      </c>
      <c r="E1689" s="29" t="n">
        <v>0.1456165666691983</v>
      </c>
      <c r="F1689" s="31">
        <f>D1689-E1689</f>
        <v/>
      </c>
    </row>
    <row r="1690" ht="15" customHeight="1" s="47">
      <c r="C1690" s="42" t="inlineStr">
        <is>
          <t>MINB%</t>
        </is>
      </c>
      <c r="D1690" s="29" t="n">
        <v>0.05239179954441914</v>
      </c>
      <c r="E1690" s="29" t="n">
        <v>0.06911217437533226</v>
      </c>
      <c r="F1690" s="31">
        <f>D1690-E1690</f>
        <v/>
      </c>
    </row>
    <row r="1691" ht="15" customHeight="1" s="47">
      <c r="C1691" s="42" t="inlineStr">
        <is>
          <t>Asian%</t>
        </is>
      </c>
      <c r="D1691" s="29" t="n">
        <v>0</v>
      </c>
      <c r="E1691" s="29" t="n">
        <v>0</v>
      </c>
      <c r="F1691" s="31">
        <f>D1691-E1691</f>
        <v/>
      </c>
    </row>
    <row r="1692" ht="15" customHeight="1" s="47">
      <c r="C1692" s="42" t="inlineStr">
        <is>
          <t>Black%</t>
        </is>
      </c>
      <c r="D1692" s="29" t="n">
        <v>0</v>
      </c>
      <c r="E1692" s="29" t="n">
        <v>0</v>
      </c>
      <c r="F1692" s="31">
        <f>D1692-E1692</f>
        <v/>
      </c>
    </row>
    <row r="1693" ht="15" customHeight="1" s="47">
      <c r="C1693" s="42" t="inlineStr">
        <is>
          <t>Native American%</t>
        </is>
      </c>
      <c r="D1693" s="29" t="n">
        <v>0</v>
      </c>
      <c r="E1693" s="29" t="n">
        <v>0</v>
      </c>
      <c r="F1693" s="31">
        <f>D1693-E1693</f>
        <v/>
      </c>
    </row>
    <row r="1694" ht="15" customHeight="1" s="47">
      <c r="C1694" s="42" t="inlineStr">
        <is>
          <t>HoPI%</t>
        </is>
      </c>
      <c r="D1694" s="29" t="n">
        <v>0</v>
      </c>
      <c r="E1694" s="29" t="n">
        <v>0</v>
      </c>
      <c r="F1694" s="31">
        <f>D1694-E1694</f>
        <v/>
      </c>
    </row>
    <row r="1695" ht="15" customHeight="1" s="47">
      <c r="C1695" s="42" t="inlineStr">
        <is>
          <t>Hispanic%</t>
        </is>
      </c>
      <c r="D1695" s="29" t="n">
        <v>0.05239179954441914</v>
      </c>
      <c r="E1695" s="29" t="n">
        <v>0.06911217437533226</v>
      </c>
      <c r="F1695" s="31">
        <f>D1695-E1695</f>
        <v/>
      </c>
    </row>
    <row r="1696" ht="15" customHeight="1" s="47">
      <c r="B1696" s="42" t="inlineStr">
        <is>
          <t>Cleveland-Elyria, OH</t>
        </is>
      </c>
      <c r="C1696" s="42" t="inlineStr">
        <is>
          <t>Loans</t>
        </is>
      </c>
      <c r="D1696" s="46" t="n">
        <v>1756</v>
      </c>
      <c r="E1696" s="25" t="n">
        <v>39501</v>
      </c>
    </row>
    <row r="1697" ht="15" customHeight="1" s="47">
      <c r="C1697" s="42" t="inlineStr">
        <is>
          <t xml:space="preserve">LMICT% </t>
        </is>
      </c>
      <c r="D1697" s="29" t="n">
        <v>0.262705798138869</v>
      </c>
      <c r="E1697" s="29" t="n">
        <v>0.2366358249298264</v>
      </c>
      <c r="F1697" s="31">
        <f>D1697-E1697</f>
        <v/>
      </c>
    </row>
    <row r="1698" ht="15" customHeight="1" s="47">
      <c r="C1698" s="42" t="inlineStr">
        <is>
          <t>LMIB%</t>
        </is>
      </c>
      <c r="D1698" s="29" t="n">
        <v>0.4294917680744452</v>
      </c>
      <c r="E1698" s="29" t="n">
        <v>0.3432373427591225</v>
      </c>
      <c r="F1698" s="31">
        <f>D1698-E1698</f>
        <v/>
      </c>
    </row>
    <row r="1699" ht="15" customHeight="1" s="47">
      <c r="C1699" s="42" t="inlineStr">
        <is>
          <t>LMIB$</t>
        </is>
      </c>
      <c r="D1699" s="48" t="n">
        <v>107170000</v>
      </c>
      <c r="E1699" s="48" t="n">
        <v>3117240000</v>
      </c>
      <c r="F1699" s="49" t="n"/>
    </row>
    <row r="1700" ht="15" customHeight="1" s="47">
      <c r="C1700" s="42" t="inlineStr">
        <is>
          <t>MMCT%</t>
        </is>
      </c>
      <c r="D1700" s="29" t="n">
        <v>0.1181102362204724</v>
      </c>
      <c r="E1700" s="29" t="n">
        <v>0.1049173510759954</v>
      </c>
      <c r="F1700" s="31">
        <f>D1700-E1700</f>
        <v/>
      </c>
    </row>
    <row r="1701" ht="15" customHeight="1" s="47">
      <c r="C1701" s="42" t="inlineStr">
        <is>
          <t>MINB%</t>
        </is>
      </c>
      <c r="D1701" s="29" t="n">
        <v>0.03435934144595562</v>
      </c>
      <c r="E1701" s="29" t="n">
        <v>0.03915167896870777</v>
      </c>
      <c r="F1701" s="31">
        <f>D1701-E1701</f>
        <v/>
      </c>
    </row>
    <row r="1702" ht="15" customHeight="1" s="47">
      <c r="C1702" s="42" t="inlineStr">
        <is>
          <t>Asian%</t>
        </is>
      </c>
      <c r="D1702" s="29" t="n">
        <v>0</v>
      </c>
      <c r="E1702" s="29" t="n">
        <v>0</v>
      </c>
      <c r="F1702" s="31">
        <f>D1702-E1702</f>
        <v/>
      </c>
    </row>
    <row r="1703" ht="15" customHeight="1" s="47">
      <c r="C1703" s="42" t="inlineStr">
        <is>
          <t>Black%</t>
        </is>
      </c>
      <c r="D1703" s="29" t="n">
        <v>0</v>
      </c>
      <c r="E1703" s="29" t="n">
        <v>0</v>
      </c>
      <c r="F1703" s="31">
        <f>D1703-E1703</f>
        <v/>
      </c>
    </row>
    <row r="1704" ht="15" customHeight="1" s="47">
      <c r="C1704" s="42" t="inlineStr">
        <is>
          <t>Native American%</t>
        </is>
      </c>
      <c r="D1704" s="29" t="n">
        <v>0</v>
      </c>
      <c r="E1704" s="29" t="n">
        <v>0</v>
      </c>
      <c r="F1704" s="31">
        <f>D1704-E1704</f>
        <v/>
      </c>
    </row>
    <row r="1705" ht="15" customHeight="1" s="47">
      <c r="C1705" s="42" t="inlineStr">
        <is>
          <t>HoPI%</t>
        </is>
      </c>
      <c r="D1705" s="29" t="n">
        <v>0</v>
      </c>
      <c r="E1705" s="29" t="n">
        <v>0</v>
      </c>
      <c r="F1705" s="31">
        <f>D1705-E1705</f>
        <v/>
      </c>
    </row>
    <row r="1706" ht="15" customHeight="1" s="47">
      <c r="C1706" s="42" t="inlineStr">
        <is>
          <t>Hispanic%</t>
        </is>
      </c>
      <c r="D1706" s="29" t="n">
        <v>0.03435934144595562</v>
      </c>
      <c r="E1706" s="29" t="n">
        <v>0.03915167896870777</v>
      </c>
      <c r="F1706" s="31">
        <f>D1706-E1706</f>
        <v/>
      </c>
    </row>
    <row r="1707" ht="15" customHeight="1" s="47">
      <c r="A1707" s="46" t="inlineStr">
        <is>
          <t>Tennessee</t>
        </is>
      </c>
      <c r="B1707" s="42" t="inlineStr">
        <is>
          <t>Columbus, OH</t>
        </is>
      </c>
      <c r="C1707" s="42" t="inlineStr">
        <is>
          <t>Loans</t>
        </is>
      </c>
      <c r="D1707" s="46" t="n">
        <v>1397</v>
      </c>
      <c r="E1707" s="25" t="n">
        <v>48095</v>
      </c>
    </row>
    <row r="1708" ht="15" customHeight="1" s="47">
      <c r="C1708" s="42" t="inlineStr">
        <is>
          <t xml:space="preserve">LMICT% </t>
        </is>
      </c>
      <c r="D1708" s="29" t="n">
        <v>0.0588235294117647</v>
      </c>
      <c r="E1708" s="29" t="n">
        <v>0.2869318181818182</v>
      </c>
      <c r="F1708" s="31">
        <f>D1708-E1708</f>
        <v/>
      </c>
    </row>
    <row r="1709" ht="15" customHeight="1" s="47">
      <c r="C1709" s="42" t="inlineStr">
        <is>
          <t>LMIB%</t>
        </is>
      </c>
      <c r="D1709" s="29" t="n">
        <v>0.4705882352941176</v>
      </c>
      <c r="E1709" s="29" t="n">
        <v>0.4375</v>
      </c>
      <c r="F1709" s="31">
        <f>D1709-E1709</f>
        <v/>
      </c>
    </row>
    <row r="1710" ht="15" customHeight="1" s="47">
      <c r="C1710" s="42" t="inlineStr">
        <is>
          <t>LMIB$</t>
        </is>
      </c>
      <c r="D1710" s="48" t="n">
        <v>710000</v>
      </c>
      <c r="E1710" s="48" t="n">
        <v>18700000</v>
      </c>
      <c r="F1710" s="49" t="n"/>
    </row>
    <row r="1711" ht="15" customHeight="1" s="47">
      <c r="C1711" s="42" t="inlineStr">
        <is>
          <t>MMCT%</t>
        </is>
      </c>
      <c r="D1711" s="29" t="n">
        <v>0</v>
      </c>
      <c r="E1711" s="29" t="n">
        <v>0</v>
      </c>
      <c r="F1711" s="31">
        <f>D1711-E1711</f>
        <v/>
      </c>
    </row>
    <row r="1712" ht="15" customHeight="1" s="47">
      <c r="C1712" s="42" t="inlineStr">
        <is>
          <t>MINB%</t>
        </is>
      </c>
      <c r="D1712" s="29" t="n">
        <v>0</v>
      </c>
      <c r="E1712" s="29" t="n">
        <v>0.03125</v>
      </c>
      <c r="F1712" s="31">
        <f>D1712-E1712</f>
        <v/>
      </c>
    </row>
    <row r="1713" ht="15" customHeight="1" s="47">
      <c r="C1713" s="42" t="inlineStr">
        <is>
          <t>Asian%</t>
        </is>
      </c>
      <c r="D1713" s="29" t="n">
        <v>0</v>
      </c>
      <c r="E1713" s="29" t="n">
        <v>0</v>
      </c>
      <c r="F1713" s="31">
        <f>D1713-E1713</f>
        <v/>
      </c>
    </row>
    <row r="1714" ht="15" customHeight="1" s="47">
      <c r="C1714" s="42" t="inlineStr">
        <is>
          <t>Black%</t>
        </is>
      </c>
      <c r="D1714" s="29" t="n">
        <v>0</v>
      </c>
      <c r="E1714" s="29" t="n">
        <v>0</v>
      </c>
      <c r="F1714" s="31">
        <f>D1714-E1714</f>
        <v/>
      </c>
    </row>
    <row r="1715" ht="15" customHeight="1" s="47">
      <c r="C1715" s="42" t="inlineStr">
        <is>
          <t>Native American%</t>
        </is>
      </c>
      <c r="D1715" s="29" t="n">
        <v>0</v>
      </c>
      <c r="E1715" s="29" t="n">
        <v>0</v>
      </c>
      <c r="F1715" s="31">
        <f>D1715-E1715</f>
        <v/>
      </c>
    </row>
    <row r="1716" ht="15" customHeight="1" s="47">
      <c r="C1716" s="42" t="inlineStr">
        <is>
          <t>HoPI%</t>
        </is>
      </c>
      <c r="D1716" s="29" t="n">
        <v>0</v>
      </c>
      <c r="E1716" s="29" t="n">
        <v>0</v>
      </c>
      <c r="F1716" s="31">
        <f>D1716-E1716</f>
        <v/>
      </c>
    </row>
    <row r="1717" ht="15" customHeight="1" s="47">
      <c r="C1717" s="42" t="inlineStr">
        <is>
          <t>Hispanic%</t>
        </is>
      </c>
      <c r="D1717" s="29" t="n">
        <v>0</v>
      </c>
      <c r="E1717" s="29" t="n">
        <v>0.03125</v>
      </c>
      <c r="F1717" s="31">
        <f>D1717-E1717</f>
        <v/>
      </c>
    </row>
    <row r="1718" ht="15" customHeight="1" s="47">
      <c r="A1718" s="46" t="inlineStr">
        <is>
          <t>Texas</t>
        </is>
      </c>
      <c r="B1718" s="42" t="inlineStr">
        <is>
          <t>Ohio Non-MSA</t>
        </is>
      </c>
      <c r="C1718" s="42" t="inlineStr">
        <is>
          <t>Loans</t>
        </is>
      </c>
      <c r="D1718" s="46" t="n">
        <v>17</v>
      </c>
      <c r="E1718" s="25" t="n">
        <v>352</v>
      </c>
    </row>
    <row r="1719" ht="15" customHeight="1" s="47">
      <c r="C1719" s="42" t="inlineStr">
        <is>
          <t xml:space="preserve">LMICT% </t>
        </is>
      </c>
      <c r="D1719" s="29" t="n">
        <v>0.1952506596306069</v>
      </c>
      <c r="E1719" s="29" t="n">
        <v>0.1813151734411577</v>
      </c>
      <c r="F1719" s="31">
        <f>D1719-E1719</f>
        <v/>
      </c>
    </row>
    <row r="1720" ht="15" customHeight="1" s="47">
      <c r="C1720" s="42" t="inlineStr">
        <is>
          <t>LMIB%</t>
        </is>
      </c>
      <c r="D1720" s="29" t="n">
        <v>0.3773087071240105</v>
      </c>
      <c r="E1720" s="29" t="n">
        <v>0.3739093424132795</v>
      </c>
      <c r="F1720" s="31">
        <f>D1720-E1720</f>
        <v/>
      </c>
    </row>
    <row r="1721" ht="15" customHeight="1" s="47">
      <c r="C1721" s="42" t="inlineStr">
        <is>
          <t>LMIB$</t>
        </is>
      </c>
      <c r="D1721" s="48" t="n">
        <v>18515000</v>
      </c>
      <c r="E1721" s="48" t="n">
        <v>481610000</v>
      </c>
      <c r="F1721" s="49" t="n"/>
    </row>
    <row r="1722" ht="15" customHeight="1" s="47">
      <c r="C1722" s="42" t="inlineStr">
        <is>
          <t>MMCT%</t>
        </is>
      </c>
      <c r="D1722" s="29" t="n">
        <v>0.05277044854881266</v>
      </c>
      <c r="E1722" s="29" t="n">
        <v>0.05426686529048734</v>
      </c>
      <c r="F1722" s="31">
        <f>D1722-E1722</f>
        <v/>
      </c>
    </row>
    <row r="1723" ht="15" customHeight="1" s="47">
      <c r="C1723" s="42" t="inlineStr">
        <is>
          <t>MINB%</t>
        </is>
      </c>
      <c r="D1723" s="29" t="n">
        <v>0.02110817941952507</v>
      </c>
      <c r="E1723" s="29" t="n">
        <v>0.03830602255799107</v>
      </c>
      <c r="F1723" s="31">
        <f>D1723-E1723</f>
        <v/>
      </c>
    </row>
    <row r="1724" ht="15" customHeight="1" s="47">
      <c r="C1724" s="42" t="inlineStr">
        <is>
          <t>Asian%</t>
        </is>
      </c>
      <c r="D1724" s="29" t="n">
        <v>0</v>
      </c>
      <c r="E1724" s="29" t="n">
        <v>0</v>
      </c>
      <c r="F1724" s="31">
        <f>D1724-E1724</f>
        <v/>
      </c>
    </row>
    <row r="1725" ht="15" customHeight="1" s="47">
      <c r="C1725" s="42" t="inlineStr">
        <is>
          <t>Black%</t>
        </is>
      </c>
      <c r="D1725" s="29" t="n">
        <v>0</v>
      </c>
      <c r="E1725" s="29" t="n">
        <v>0</v>
      </c>
      <c r="F1725" s="31">
        <f>D1725-E1725</f>
        <v/>
      </c>
    </row>
    <row r="1726" ht="15" customHeight="1" s="47">
      <c r="C1726" s="42" t="inlineStr">
        <is>
          <t>Native American%</t>
        </is>
      </c>
      <c r="D1726" s="29" t="n">
        <v>0</v>
      </c>
      <c r="E1726" s="29" t="n">
        <v>0</v>
      </c>
      <c r="F1726" s="31">
        <f>D1726-E1726</f>
        <v/>
      </c>
    </row>
    <row r="1727" ht="15" customHeight="1" s="47">
      <c r="C1727" s="42" t="inlineStr">
        <is>
          <t>HoPI%</t>
        </is>
      </c>
      <c r="D1727" s="29" t="n">
        <v>0</v>
      </c>
      <c r="E1727" s="29" t="n">
        <v>0</v>
      </c>
      <c r="F1727" s="31">
        <f>D1727-E1727</f>
        <v/>
      </c>
    </row>
    <row r="1728" ht="15" customHeight="1" s="47">
      <c r="C1728" s="42" t="inlineStr">
        <is>
          <t>Hispanic%</t>
        </is>
      </c>
      <c r="D1728" s="29" t="n">
        <v>0.02110817941952507</v>
      </c>
      <c r="E1728" s="29" t="n">
        <v>0.03830602255799107</v>
      </c>
      <c r="F1728" s="31">
        <f>D1728-E1728</f>
        <v/>
      </c>
    </row>
    <row r="1729" ht="15" customHeight="1" s="47">
      <c r="B1729" s="42" t="inlineStr">
        <is>
          <t>Dayton-Kettering, OH</t>
        </is>
      </c>
      <c r="C1729" s="42" t="inlineStr">
        <is>
          <t>Loans</t>
        </is>
      </c>
      <c r="D1729" s="46" t="n">
        <v>379</v>
      </c>
      <c r="E1729" s="25" t="n">
        <v>9398</v>
      </c>
    </row>
    <row r="1730" ht="15" customHeight="1" s="47">
      <c r="C1730" s="42" t="inlineStr">
        <is>
          <t xml:space="preserve">LMICT% </t>
        </is>
      </c>
      <c r="D1730" s="29" t="n">
        <v>0.125</v>
      </c>
      <c r="E1730" s="29" t="n">
        <v>0.09523809523809523</v>
      </c>
      <c r="F1730" s="31">
        <f>D1730-E1730</f>
        <v/>
      </c>
    </row>
    <row r="1731" ht="15" customHeight="1" s="47">
      <c r="C1731" s="42" t="inlineStr">
        <is>
          <t>LMIB%</t>
        </is>
      </c>
      <c r="D1731" s="29" t="n">
        <v>0.4375</v>
      </c>
      <c r="E1731" s="29" t="n">
        <v>0.3630952380952381</v>
      </c>
      <c r="F1731" s="31">
        <f>D1731-E1731</f>
        <v/>
      </c>
    </row>
    <row r="1732" ht="15" customHeight="1" s="47">
      <c r="C1732" s="42" t="inlineStr">
        <is>
          <t>LMIB$</t>
        </is>
      </c>
      <c r="D1732" s="48" t="n">
        <v>805000</v>
      </c>
      <c r="E1732" s="48" t="n">
        <v>22235000</v>
      </c>
      <c r="F1732" s="31" t="n"/>
    </row>
    <row r="1733" ht="15" customHeight="1" s="47">
      <c r="C1733" s="42" t="inlineStr">
        <is>
          <t>MMCT%</t>
        </is>
      </c>
      <c r="D1733" s="29" t="n">
        <v>0</v>
      </c>
      <c r="E1733" s="29" t="n">
        <v>0</v>
      </c>
      <c r="F1733" s="31">
        <f>D1733-E1733</f>
        <v/>
      </c>
    </row>
    <row r="1734" ht="15" customHeight="1" s="47">
      <c r="C1734" s="42" t="inlineStr">
        <is>
          <t>MINB%</t>
        </is>
      </c>
      <c r="D1734" s="29" t="n">
        <v>0</v>
      </c>
      <c r="E1734" s="29" t="n">
        <v>0.07539682539682539</v>
      </c>
      <c r="F1734" s="31">
        <f>D1734-E1734</f>
        <v/>
      </c>
    </row>
    <row r="1735" ht="15" customHeight="1" s="47">
      <c r="C1735" s="42" t="inlineStr">
        <is>
          <t>Asian%</t>
        </is>
      </c>
      <c r="D1735" s="29" t="n">
        <v>0</v>
      </c>
      <c r="E1735" s="29" t="n">
        <v>0</v>
      </c>
      <c r="F1735" s="31">
        <f>D1735-E1735</f>
        <v/>
      </c>
    </row>
    <row r="1736" ht="15" customHeight="1" s="47">
      <c r="C1736" s="42" t="inlineStr">
        <is>
          <t>Black%</t>
        </is>
      </c>
      <c r="D1736" s="29" t="n">
        <v>0</v>
      </c>
      <c r="E1736" s="29" t="n">
        <v>0</v>
      </c>
      <c r="F1736" s="31">
        <f>D1736-E1736</f>
        <v/>
      </c>
    </row>
    <row r="1737" ht="15" customHeight="1" s="47">
      <c r="C1737" s="42" t="inlineStr">
        <is>
          <t>Native American%</t>
        </is>
      </c>
      <c r="D1737" s="29" t="n">
        <v>0</v>
      </c>
      <c r="E1737" s="29" t="n">
        <v>0</v>
      </c>
      <c r="F1737" s="31">
        <f>D1737-E1737</f>
        <v/>
      </c>
    </row>
    <row r="1738" ht="15" customHeight="1" s="47">
      <c r="C1738" s="42" t="inlineStr">
        <is>
          <t>HoPI%</t>
        </is>
      </c>
      <c r="D1738" s="29" t="n">
        <v>0</v>
      </c>
      <c r="E1738" s="29" t="n">
        <v>0</v>
      </c>
      <c r="F1738" s="31">
        <f>D1738-E1738</f>
        <v/>
      </c>
    </row>
    <row r="1739" ht="15" customHeight="1" s="47">
      <c r="C1739" s="42" t="inlineStr">
        <is>
          <t>Hispanic%</t>
        </is>
      </c>
      <c r="D1739" s="29" t="n">
        <v>0</v>
      </c>
      <c r="E1739" s="29" t="n">
        <v>0.07539682539682539</v>
      </c>
      <c r="F1739" s="31">
        <f>D1739-E1739</f>
        <v/>
      </c>
    </row>
    <row r="1740" ht="15" customHeight="1" s="47">
      <c r="A1740" s="46" t="inlineStr">
        <is>
          <t>Virginia</t>
        </is>
      </c>
      <c r="B1740" s="42" t="inlineStr">
        <is>
          <t>Ohio Non-MSA</t>
        </is>
      </c>
      <c r="C1740" s="42" t="inlineStr">
        <is>
          <t>Loans</t>
        </is>
      </c>
      <c r="D1740" s="46" t="n">
        <v>16</v>
      </c>
      <c r="E1740" s="25" t="n">
        <v>504</v>
      </c>
    </row>
    <row r="1741" ht="15" customHeight="1" s="47">
      <c r="C1741" s="42" t="inlineStr">
        <is>
          <t xml:space="preserve">LMICT% </t>
        </is>
      </c>
      <c r="D1741" s="29" t="n">
        <v>0.3846153846153847</v>
      </c>
      <c r="E1741" s="29" t="n">
        <v>0.3166666666666667</v>
      </c>
      <c r="F1741" s="31">
        <f>D1741-E1741</f>
        <v/>
      </c>
    </row>
    <row r="1742" ht="15" customHeight="1" s="47">
      <c r="C1742" s="42" t="inlineStr">
        <is>
          <t>LMIB%</t>
        </is>
      </c>
      <c r="D1742" s="29" t="n">
        <v>0.3076923076923077</v>
      </c>
      <c r="E1742" s="29" t="n">
        <v>0.3916666666666667</v>
      </c>
      <c r="F1742" s="31">
        <f>D1742-E1742</f>
        <v/>
      </c>
    </row>
    <row r="1743" ht="15" customHeight="1" s="47">
      <c r="C1743" s="42" t="inlineStr">
        <is>
          <t>LMIB$</t>
        </is>
      </c>
      <c r="D1743" s="48" t="n">
        <v>490000</v>
      </c>
      <c r="E1743" s="48" t="n">
        <v>11770000</v>
      </c>
      <c r="F1743" s="49" t="n"/>
    </row>
    <row r="1744" ht="15" customHeight="1" s="47">
      <c r="C1744" s="42" t="inlineStr">
        <is>
          <t>MMCT%</t>
        </is>
      </c>
      <c r="D1744" s="29" t="n">
        <v>0</v>
      </c>
      <c r="E1744" s="29" t="n">
        <v>0</v>
      </c>
      <c r="F1744" s="31">
        <f>D1744-E1744</f>
        <v/>
      </c>
    </row>
    <row r="1745" ht="15" customHeight="1" s="47">
      <c r="C1745" s="42" t="inlineStr">
        <is>
          <t>MINB%</t>
        </is>
      </c>
      <c r="D1745" s="29" t="n">
        <v>0</v>
      </c>
      <c r="E1745" s="29" t="n">
        <v>0.008333333333333333</v>
      </c>
      <c r="F1745" s="31">
        <f>D1745-E1745</f>
        <v/>
      </c>
    </row>
    <row r="1746" ht="15" customHeight="1" s="47">
      <c r="C1746" s="42" t="inlineStr">
        <is>
          <t>Asian%</t>
        </is>
      </c>
      <c r="D1746" s="29" t="n">
        <v>0</v>
      </c>
      <c r="E1746" s="29" t="n">
        <v>0</v>
      </c>
      <c r="F1746" s="31">
        <f>D1746-E1746</f>
        <v/>
      </c>
    </row>
    <row r="1747" ht="15" customHeight="1" s="47">
      <c r="C1747" s="42" t="inlineStr">
        <is>
          <t>Black%</t>
        </is>
      </c>
      <c r="D1747" s="29" t="n">
        <v>0</v>
      </c>
      <c r="E1747" s="29" t="n">
        <v>0</v>
      </c>
      <c r="F1747" s="31">
        <f>D1747-E1747</f>
        <v/>
      </c>
    </row>
    <row r="1748" ht="15" customHeight="1" s="47">
      <c r="C1748" s="42" t="inlineStr">
        <is>
          <t>Native American%</t>
        </is>
      </c>
      <c r="D1748" s="29" t="n">
        <v>0</v>
      </c>
      <c r="E1748" s="29" t="n">
        <v>0</v>
      </c>
      <c r="F1748" s="31">
        <f>D1748-E1748</f>
        <v/>
      </c>
    </row>
    <row r="1749" ht="15" customHeight="1" s="47">
      <c r="C1749" s="42" t="inlineStr">
        <is>
          <t>HoPI%</t>
        </is>
      </c>
      <c r="D1749" s="29" t="n">
        <v>0</v>
      </c>
      <c r="E1749" s="29" t="n">
        <v>0</v>
      </c>
      <c r="F1749" s="31">
        <f>D1749-E1749</f>
        <v/>
      </c>
    </row>
    <row r="1750" ht="15" customHeight="1" s="47">
      <c r="C1750" s="42" t="inlineStr">
        <is>
          <t>Hispanic%</t>
        </is>
      </c>
      <c r="D1750" s="29" t="n">
        <v>0</v>
      </c>
      <c r="E1750" s="29" t="n">
        <v>0.008333333333333333</v>
      </c>
      <c r="F1750" s="31">
        <f>D1750-E1750</f>
        <v/>
      </c>
    </row>
    <row r="1751" ht="15" customHeight="1" s="47">
      <c r="B1751" s="42" t="inlineStr">
        <is>
          <t>Ohio Non-MSA</t>
        </is>
      </c>
      <c r="C1751" s="42" t="inlineStr">
        <is>
          <t>Loans</t>
        </is>
      </c>
      <c r="D1751" s="46" t="n">
        <v>13</v>
      </c>
      <c r="E1751" s="25" t="n">
        <v>240</v>
      </c>
    </row>
    <row r="1752" ht="15" customHeight="1" s="47">
      <c r="C1752" s="42" t="inlineStr">
        <is>
          <t xml:space="preserve">LMICT% </t>
        </is>
      </c>
      <c r="D1752" s="29" t="n">
        <v>0.1081081081081081</v>
      </c>
      <c r="E1752" s="29" t="n">
        <v>0.1122715404699739</v>
      </c>
      <c r="F1752" s="31">
        <f>D1752-E1752</f>
        <v/>
      </c>
    </row>
    <row r="1753" ht="15" customHeight="1" s="47">
      <c r="C1753" s="42" t="inlineStr">
        <is>
          <t>LMIB%</t>
        </is>
      </c>
      <c r="D1753" s="29" t="n">
        <v>0.3513513513513514</v>
      </c>
      <c r="E1753" s="29" t="n">
        <v>0.3524804177545692</v>
      </c>
      <c r="F1753" s="31">
        <f>D1753-E1753</f>
        <v/>
      </c>
    </row>
    <row r="1754" ht="15" customHeight="1" s="47">
      <c r="C1754" s="42" t="inlineStr">
        <is>
          <t>LMIB$</t>
        </is>
      </c>
      <c r="D1754" s="48" t="n">
        <v>1455000</v>
      </c>
      <c r="E1754" s="48" t="n">
        <v>32360000</v>
      </c>
      <c r="F1754" s="49" t="n"/>
    </row>
    <row r="1755" ht="15" customHeight="1" s="47">
      <c r="C1755" s="42" t="inlineStr">
        <is>
          <t>MMCT%</t>
        </is>
      </c>
      <c r="D1755" s="29" t="n">
        <v>0</v>
      </c>
      <c r="E1755" s="29" t="n">
        <v>0.007832898172323759</v>
      </c>
      <c r="F1755" s="31">
        <f>D1755-E1755</f>
        <v/>
      </c>
    </row>
    <row r="1756" ht="15" customHeight="1" s="47">
      <c r="C1756" s="42" t="inlineStr">
        <is>
          <t>MINB%</t>
        </is>
      </c>
      <c r="D1756" s="29" t="n">
        <v>0</v>
      </c>
      <c r="E1756" s="29" t="n">
        <v>0.03002610966057441</v>
      </c>
      <c r="F1756" s="31">
        <f>D1756-E1756</f>
        <v/>
      </c>
    </row>
    <row r="1757" ht="15" customHeight="1" s="47">
      <c r="C1757" s="42" t="inlineStr">
        <is>
          <t>Asian%</t>
        </is>
      </c>
      <c r="D1757" s="29" t="n">
        <v>0</v>
      </c>
      <c r="E1757" s="29" t="n">
        <v>0</v>
      </c>
      <c r="F1757" s="31">
        <f>D1757-E1757</f>
        <v/>
      </c>
    </row>
    <row r="1758" ht="15" customHeight="1" s="47">
      <c r="C1758" s="42" t="inlineStr">
        <is>
          <t>Black%</t>
        </is>
      </c>
      <c r="D1758" s="29" t="n">
        <v>0</v>
      </c>
      <c r="E1758" s="29" t="n">
        <v>0</v>
      </c>
      <c r="F1758" s="31">
        <f>D1758-E1758</f>
        <v/>
      </c>
    </row>
    <row r="1759" ht="15" customHeight="1" s="47">
      <c r="C1759" s="42" t="inlineStr">
        <is>
          <t>Native American%</t>
        </is>
      </c>
      <c r="D1759" s="29" t="n">
        <v>0</v>
      </c>
      <c r="E1759" s="29" t="n">
        <v>0</v>
      </c>
      <c r="F1759" s="31">
        <f>D1759-E1759</f>
        <v/>
      </c>
    </row>
    <row r="1760" ht="15" customHeight="1" s="47">
      <c r="C1760" s="42" t="inlineStr">
        <is>
          <t>HoPI%</t>
        </is>
      </c>
      <c r="D1760" s="29" t="n">
        <v>0</v>
      </c>
      <c r="E1760" s="29" t="n">
        <v>0</v>
      </c>
      <c r="F1760" s="31">
        <f>D1760-E1760</f>
        <v/>
      </c>
    </row>
    <row r="1761" ht="15" customHeight="1" s="47">
      <c r="C1761" s="42" t="inlineStr">
        <is>
          <t>Hispanic%</t>
        </is>
      </c>
      <c r="D1761" s="29" t="n">
        <v>0</v>
      </c>
      <c r="E1761" s="29" t="n">
        <v>0.03002610966057441</v>
      </c>
      <c r="F1761" s="31">
        <f>D1761-E1761</f>
        <v/>
      </c>
    </row>
    <row r="1762" ht="15" customHeight="1" s="47">
      <c r="B1762" s="42" t="inlineStr">
        <is>
          <t>Mansfield, OH</t>
        </is>
      </c>
      <c r="C1762" s="42" t="inlineStr">
        <is>
          <t>Loans</t>
        </is>
      </c>
      <c r="D1762" s="25" t="n">
        <v>37</v>
      </c>
      <c r="E1762" s="25" t="n">
        <v>766</v>
      </c>
    </row>
    <row r="1763" ht="15" customHeight="1" s="47">
      <c r="C1763" s="42" t="inlineStr">
        <is>
          <t xml:space="preserve">LMICT% </t>
        </is>
      </c>
      <c r="D1763" s="29" t="n">
        <v>0.3461538461538461</v>
      </c>
      <c r="E1763" s="29" t="n">
        <v>0.358974358974359</v>
      </c>
      <c r="F1763" s="31">
        <f>D1763-E1763</f>
        <v/>
      </c>
    </row>
    <row r="1764" ht="15" customHeight="1" s="47">
      <c r="C1764" s="42" t="inlineStr">
        <is>
          <t>LMIB%</t>
        </is>
      </c>
      <c r="D1764" s="29" t="n">
        <v>0.3846153846153847</v>
      </c>
      <c r="E1764" s="29" t="n">
        <v>0.442002442002442</v>
      </c>
      <c r="F1764" s="31">
        <f>D1764-E1764</f>
        <v/>
      </c>
    </row>
    <row r="1765" ht="15" customHeight="1" s="47">
      <c r="C1765" s="42" t="inlineStr">
        <is>
          <t>LMIB$</t>
        </is>
      </c>
      <c r="D1765" s="48" t="n">
        <v>1070000</v>
      </c>
      <c r="E1765" s="48" t="n">
        <v>43850000</v>
      </c>
      <c r="F1765" s="49" t="n"/>
    </row>
    <row r="1766" ht="15" customHeight="1" s="47">
      <c r="C1766" s="42" t="inlineStr">
        <is>
          <t>MMCT%</t>
        </is>
      </c>
      <c r="D1766" s="29" t="n">
        <v>0</v>
      </c>
      <c r="E1766" s="29" t="n">
        <v>0</v>
      </c>
      <c r="F1766" s="31">
        <f>D1766-E1766</f>
        <v/>
      </c>
    </row>
    <row r="1767" ht="15" customHeight="1" s="47">
      <c r="C1767" s="42" t="inlineStr">
        <is>
          <t>MINB%</t>
        </is>
      </c>
      <c r="D1767" s="29" t="n">
        <v>0</v>
      </c>
      <c r="E1767" s="29" t="n">
        <v>0.03174603174603174</v>
      </c>
      <c r="F1767" s="31">
        <f>D1767-E1767</f>
        <v/>
      </c>
    </row>
    <row r="1768" ht="15" customHeight="1" s="47">
      <c r="C1768" s="42" t="inlineStr">
        <is>
          <t>Asian%</t>
        </is>
      </c>
      <c r="D1768" s="29" t="n">
        <v>0</v>
      </c>
      <c r="E1768" s="29" t="n">
        <v>0</v>
      </c>
      <c r="F1768" s="31">
        <f>D1768-E1768</f>
        <v/>
      </c>
    </row>
    <row r="1769" ht="15" customHeight="1" s="47">
      <c r="C1769" s="42" t="inlineStr">
        <is>
          <t>Black%</t>
        </is>
      </c>
      <c r="D1769" s="29" t="n">
        <v>0</v>
      </c>
      <c r="E1769" s="29" t="n">
        <v>0</v>
      </c>
      <c r="F1769" s="31">
        <f>D1769-E1769</f>
        <v/>
      </c>
    </row>
    <row r="1770" ht="15" customHeight="1" s="47">
      <c r="C1770" s="42" t="inlineStr">
        <is>
          <t>Native American%</t>
        </is>
      </c>
      <c r="D1770" s="29" t="n">
        <v>0</v>
      </c>
      <c r="E1770" s="29" t="n">
        <v>0</v>
      </c>
      <c r="F1770" s="31">
        <f>D1770-E1770</f>
        <v/>
      </c>
    </row>
    <row r="1771" ht="15" customHeight="1" s="47">
      <c r="C1771" s="42" t="inlineStr">
        <is>
          <t>HoPI%</t>
        </is>
      </c>
      <c r="D1771" s="29" t="n">
        <v>0</v>
      </c>
      <c r="E1771" s="29" t="n">
        <v>0</v>
      </c>
      <c r="F1771" s="31">
        <f>D1771-E1771</f>
        <v/>
      </c>
    </row>
    <row r="1772" ht="15" customHeight="1" s="47">
      <c r="C1772" s="42" t="inlineStr">
        <is>
          <t>Hispanic%</t>
        </is>
      </c>
      <c r="D1772" s="29" t="n">
        <v>0</v>
      </c>
      <c r="E1772" s="29" t="n">
        <v>0.03174603174603174</v>
      </c>
      <c r="F1772" s="31">
        <f>D1772-E1772</f>
        <v/>
      </c>
    </row>
    <row r="1773" ht="15" customHeight="1" s="47">
      <c r="A1773" s="46" t="inlineStr">
        <is>
          <t>West Virginia</t>
        </is>
      </c>
      <c r="B1773" s="42" t="inlineStr">
        <is>
          <t>Ohio Non-MSA</t>
        </is>
      </c>
      <c r="C1773" s="42" t="inlineStr">
        <is>
          <t>Loans</t>
        </is>
      </c>
      <c r="D1773" s="46" t="n">
        <v>26</v>
      </c>
      <c r="E1773" s="25" t="n">
        <v>819</v>
      </c>
    </row>
    <row r="1774" ht="15" customHeight="1" s="47">
      <c r="C1774" s="42" t="inlineStr">
        <is>
          <t xml:space="preserve">LMICT% </t>
        </is>
      </c>
      <c r="D1774" s="29" t="n">
        <v>0.0588235294117647</v>
      </c>
      <c r="E1774" s="29" t="n">
        <v>0.04983748645720477</v>
      </c>
      <c r="F1774" s="31">
        <f>D1774-E1774</f>
        <v/>
      </c>
    </row>
    <row r="1775" ht="15" customHeight="1" s="47">
      <c r="C1775" s="42" t="inlineStr">
        <is>
          <t>LMIB%</t>
        </is>
      </c>
      <c r="D1775" s="29" t="n">
        <v>0.6078431372549019</v>
      </c>
      <c r="E1775" s="29" t="n">
        <v>0.3076923076923077</v>
      </c>
      <c r="F1775" s="31">
        <f>D1775-E1775</f>
        <v/>
      </c>
    </row>
    <row r="1776" ht="15" customHeight="1" s="47">
      <c r="C1776" s="42" t="inlineStr">
        <is>
          <t>LMIB$</t>
        </is>
      </c>
      <c r="D1776" s="48" t="n">
        <v>3485000</v>
      </c>
      <c r="E1776" s="48" t="n">
        <v>40740000</v>
      </c>
      <c r="F1776" s="49" t="n"/>
    </row>
    <row r="1777" ht="15" customHeight="1" s="47">
      <c r="C1777" s="42" t="inlineStr">
        <is>
          <t>MMCT%</t>
        </is>
      </c>
      <c r="D1777" s="29" t="n">
        <v>0</v>
      </c>
      <c r="E1777" s="29" t="n">
        <v>0</v>
      </c>
      <c r="F1777" s="31">
        <f>D1777-E1777</f>
        <v/>
      </c>
    </row>
    <row r="1778" ht="15" customHeight="1" s="47">
      <c r="C1778" s="42" t="inlineStr">
        <is>
          <t>MINB%</t>
        </is>
      </c>
      <c r="D1778" s="29" t="n">
        <v>0</v>
      </c>
      <c r="E1778" s="29" t="n">
        <v>0.01841820151679307</v>
      </c>
      <c r="F1778" s="31">
        <f>D1778-E1778</f>
        <v/>
      </c>
    </row>
    <row r="1779" ht="15" customHeight="1" s="47">
      <c r="C1779" s="42" t="inlineStr">
        <is>
          <t>Asian%</t>
        </is>
      </c>
      <c r="D1779" s="29" t="n">
        <v>0</v>
      </c>
      <c r="E1779" s="29" t="n">
        <v>0</v>
      </c>
      <c r="F1779" s="31">
        <f>D1779-E1779</f>
        <v/>
      </c>
    </row>
    <row r="1780" ht="15" customHeight="1" s="47">
      <c r="C1780" s="42" t="inlineStr">
        <is>
          <t>Black%</t>
        </is>
      </c>
      <c r="D1780" s="29" t="n">
        <v>0</v>
      </c>
      <c r="E1780" s="29" t="n">
        <v>0</v>
      </c>
      <c r="F1780" s="31">
        <f>D1780-E1780</f>
        <v/>
      </c>
    </row>
    <row r="1781" ht="15" customHeight="1" s="47">
      <c r="C1781" s="42" t="inlineStr">
        <is>
          <t>Native American%</t>
        </is>
      </c>
      <c r="D1781" s="29" t="n">
        <v>0</v>
      </c>
      <c r="E1781" s="29" t="n">
        <v>0</v>
      </c>
      <c r="F1781" s="31">
        <f>D1781-E1781</f>
        <v/>
      </c>
    </row>
    <row r="1782" ht="15" customHeight="1" s="47">
      <c r="C1782" s="42" t="inlineStr">
        <is>
          <t>HoPI%</t>
        </is>
      </c>
      <c r="D1782" s="29" t="n">
        <v>0</v>
      </c>
      <c r="E1782" s="29" t="n">
        <v>0</v>
      </c>
      <c r="F1782" s="31">
        <f>D1782-E1782</f>
        <v/>
      </c>
    </row>
    <row r="1783" ht="15" customHeight="1" s="47">
      <c r="C1783" s="42" t="inlineStr">
        <is>
          <t>Hispanic%</t>
        </is>
      </c>
      <c r="D1783" s="29" t="n">
        <v>0</v>
      </c>
      <c r="E1783" s="29" t="n">
        <v>0.01841820151679307</v>
      </c>
      <c r="F1783" s="31">
        <f>D1783-E1783</f>
        <v/>
      </c>
    </row>
    <row r="1784" ht="15" customHeight="1" s="47">
      <c r="B1784" s="42" t="inlineStr">
        <is>
          <t>Ohio Non-MSA</t>
        </is>
      </c>
      <c r="C1784" s="42" t="inlineStr">
        <is>
          <t>Loans</t>
        </is>
      </c>
      <c r="D1784" s="46" t="n">
        <v>51</v>
      </c>
      <c r="E1784" s="25" t="n">
        <v>923</v>
      </c>
    </row>
    <row r="1785" ht="15" customHeight="1" s="47">
      <c r="C1785" s="42" t="inlineStr">
        <is>
          <t xml:space="preserve">LMICT% </t>
        </is>
      </c>
      <c r="D1785" s="29" t="n">
        <v>0.2580645161290323</v>
      </c>
      <c r="E1785" s="29" t="n">
        <v>0.2</v>
      </c>
      <c r="F1785" s="31">
        <f>D1785-E1785</f>
        <v/>
      </c>
    </row>
    <row r="1786" ht="15" customHeight="1" s="47">
      <c r="C1786" s="42" t="inlineStr">
        <is>
          <t>LMIB%</t>
        </is>
      </c>
      <c r="D1786" s="29" t="n">
        <v>0.3870967741935484</v>
      </c>
      <c r="E1786" s="29" t="n">
        <v>0.4157894736842105</v>
      </c>
      <c r="F1786" s="31">
        <f>D1786-E1786</f>
        <v/>
      </c>
    </row>
    <row r="1787" ht="15" customHeight="1" s="47">
      <c r="C1787" s="42" t="inlineStr">
        <is>
          <t>LMIB$</t>
        </is>
      </c>
      <c r="D1787" s="48" t="n">
        <v>1310000</v>
      </c>
      <c r="E1787" s="48" t="n">
        <v>27615000</v>
      </c>
      <c r="F1787" s="49" t="n"/>
    </row>
    <row r="1788" ht="15" customHeight="1" s="47">
      <c r="C1788" s="42" t="inlineStr">
        <is>
          <t>MMCT%</t>
        </is>
      </c>
      <c r="D1788" s="29" t="n">
        <v>0</v>
      </c>
      <c r="E1788" s="29" t="n">
        <v>0</v>
      </c>
      <c r="F1788" s="31">
        <f>D1788-E1788</f>
        <v/>
      </c>
    </row>
    <row r="1789" ht="15" customHeight="1" s="47">
      <c r="C1789" s="42" t="inlineStr">
        <is>
          <t>MINB%</t>
        </is>
      </c>
      <c r="D1789" s="29" t="n">
        <v>0.03225806451612903</v>
      </c>
      <c r="E1789" s="29" t="n">
        <v>0.01754385964912281</v>
      </c>
      <c r="F1789" s="31">
        <f>D1789-E1789</f>
        <v/>
      </c>
    </row>
    <row r="1790" ht="15" customHeight="1" s="47">
      <c r="C1790" s="42" t="inlineStr">
        <is>
          <t>Asian%</t>
        </is>
      </c>
      <c r="D1790" s="29" t="n">
        <v>0</v>
      </c>
      <c r="E1790" s="29" t="n">
        <v>0</v>
      </c>
      <c r="F1790" s="31">
        <f>D1790-E1790</f>
        <v/>
      </c>
    </row>
    <row r="1791" ht="15" customHeight="1" s="47">
      <c r="C1791" s="42" t="inlineStr">
        <is>
          <t>Black%</t>
        </is>
      </c>
      <c r="D1791" s="29" t="n">
        <v>0</v>
      </c>
      <c r="E1791" s="29" t="n">
        <v>0</v>
      </c>
      <c r="F1791" s="31">
        <f>D1791-E1791</f>
        <v/>
      </c>
    </row>
    <row r="1792" ht="15" customHeight="1" s="47">
      <c r="C1792" s="42" t="inlineStr">
        <is>
          <t>Native American%</t>
        </is>
      </c>
      <c r="D1792" s="29" t="n">
        <v>0</v>
      </c>
      <c r="E1792" s="29" t="n">
        <v>0</v>
      </c>
      <c r="F1792" s="31">
        <f>D1792-E1792</f>
        <v/>
      </c>
    </row>
    <row r="1793" ht="15" customHeight="1" s="47">
      <c r="C1793" s="42" t="inlineStr">
        <is>
          <t>HoPI%</t>
        </is>
      </c>
      <c r="D1793" s="29" t="n">
        <v>0</v>
      </c>
      <c r="E1793" s="29" t="n">
        <v>0</v>
      </c>
      <c r="F1793" s="31">
        <f>D1793-E1793</f>
        <v/>
      </c>
    </row>
    <row r="1794" ht="15" customHeight="1" s="47">
      <c r="C1794" s="42" t="inlineStr">
        <is>
          <t>Hispanic%</t>
        </is>
      </c>
      <c r="D1794" s="29" t="n">
        <v>0.03225806451612903</v>
      </c>
      <c r="E1794" s="29" t="n">
        <v>0.01754385964912281</v>
      </c>
      <c r="F1794" s="31">
        <f>D1794-E1794</f>
        <v/>
      </c>
    </row>
    <row r="1795" ht="15" customHeight="1" s="47">
      <c r="B1795" s="42" t="inlineStr">
        <is>
          <t>Ohio Non-MSA</t>
        </is>
      </c>
      <c r="C1795" s="42" t="inlineStr">
        <is>
          <t>Loans</t>
        </is>
      </c>
      <c r="D1795" s="46" t="n">
        <v>31</v>
      </c>
      <c r="E1795" s="25" t="n">
        <v>570</v>
      </c>
    </row>
    <row r="1796" ht="15" customHeight="1" s="47">
      <c r="C1796" s="42" t="inlineStr">
        <is>
          <t xml:space="preserve">LMICT% </t>
        </is>
      </c>
      <c r="D1796" s="29" t="n">
        <v>0.1129032258064516</v>
      </c>
      <c r="E1796" s="29" t="n">
        <v>0.06064516129032258</v>
      </c>
      <c r="F1796" s="31">
        <f>D1796-E1796</f>
        <v/>
      </c>
    </row>
    <row r="1797" ht="15" customHeight="1" s="47">
      <c r="C1797" s="42" t="inlineStr">
        <is>
          <t>LMIB%</t>
        </is>
      </c>
      <c r="D1797" s="29" t="n">
        <v>0.4193548387096774</v>
      </c>
      <c r="E1797" s="29" t="n">
        <v>0.4503225806451613</v>
      </c>
      <c r="F1797" s="31">
        <f>D1797-E1797</f>
        <v/>
      </c>
    </row>
    <row r="1798" ht="15" customHeight="1" s="47">
      <c r="C1798" s="42" t="inlineStr">
        <is>
          <t>LMIB$</t>
        </is>
      </c>
      <c r="D1798" s="48" t="n">
        <v>2980000</v>
      </c>
      <c r="E1798" s="48" t="n">
        <v>41535000</v>
      </c>
      <c r="F1798" s="49" t="n"/>
    </row>
    <row r="1799" ht="15" customHeight="1" s="47">
      <c r="C1799" s="42" t="inlineStr">
        <is>
          <t>MMCT%</t>
        </is>
      </c>
      <c r="D1799" s="29" t="n">
        <v>0</v>
      </c>
      <c r="E1799" s="29" t="n">
        <v>0</v>
      </c>
      <c r="F1799" s="31">
        <f>D1799-E1799</f>
        <v/>
      </c>
    </row>
    <row r="1800" ht="15" customHeight="1" s="47">
      <c r="C1800" s="42" t="inlineStr">
        <is>
          <t>MINB%</t>
        </is>
      </c>
      <c r="D1800" s="29" t="n">
        <v>0.03225806451612903</v>
      </c>
      <c r="E1800" s="29" t="n">
        <v>0.05419354838709677</v>
      </c>
      <c r="F1800" s="31">
        <f>D1800-E1800</f>
        <v/>
      </c>
    </row>
    <row r="1801" ht="15" customHeight="1" s="47">
      <c r="C1801" s="42" t="inlineStr">
        <is>
          <t>Asian%</t>
        </is>
      </c>
      <c r="D1801" s="29" t="n">
        <v>0</v>
      </c>
      <c r="E1801" s="29" t="n">
        <v>0</v>
      </c>
      <c r="F1801" s="31">
        <f>D1801-E1801</f>
        <v/>
      </c>
    </row>
    <row r="1802" ht="15" customHeight="1" s="47">
      <c r="C1802" s="42" t="inlineStr">
        <is>
          <t>Black%</t>
        </is>
      </c>
      <c r="D1802" s="29" t="n">
        <v>0</v>
      </c>
      <c r="E1802" s="29" t="n">
        <v>0</v>
      </c>
      <c r="F1802" s="31">
        <f>D1802-E1802</f>
        <v/>
      </c>
    </row>
    <row r="1803" ht="15" customHeight="1" s="47">
      <c r="C1803" s="42" t="inlineStr">
        <is>
          <t>Native American%</t>
        </is>
      </c>
      <c r="D1803" s="29" t="n">
        <v>0</v>
      </c>
      <c r="E1803" s="29" t="n">
        <v>0</v>
      </c>
      <c r="F1803" s="31">
        <f>D1803-E1803</f>
        <v/>
      </c>
    </row>
    <row r="1804" ht="15" customHeight="1" s="47">
      <c r="C1804" s="42" t="inlineStr">
        <is>
          <t>HoPI%</t>
        </is>
      </c>
      <c r="D1804" s="29" t="n">
        <v>0</v>
      </c>
      <c r="E1804" s="29" t="n">
        <v>0</v>
      </c>
      <c r="F1804" s="31">
        <f>D1804-E1804</f>
        <v/>
      </c>
    </row>
    <row r="1805" ht="15" customHeight="1" s="47">
      <c r="C1805" s="42" t="inlineStr">
        <is>
          <t>Hispanic%</t>
        </is>
      </c>
      <c r="D1805" s="29" t="n">
        <v>0.03225806451612903</v>
      </c>
      <c r="E1805" s="29" t="n">
        <v>0.05419354838709677</v>
      </c>
      <c r="F1805" s="31">
        <f>D1805-E1805</f>
        <v/>
      </c>
    </row>
    <row r="1806" ht="15" customHeight="1" s="47">
      <c r="A1806" s="46" t="inlineStr">
        <is>
          <t>Wisconsin</t>
        </is>
      </c>
      <c r="B1806" s="42" t="inlineStr">
        <is>
          <t>Ohio Non-MSA</t>
        </is>
      </c>
      <c r="C1806" s="42" t="inlineStr">
        <is>
          <t>Loans</t>
        </is>
      </c>
      <c r="D1806" s="46" t="n">
        <v>62</v>
      </c>
      <c r="E1806" s="25" t="n">
        <v>775</v>
      </c>
    </row>
    <row r="1807" ht="15" customHeight="1" s="47">
      <c r="C1807" s="42" t="inlineStr">
        <is>
          <t xml:space="preserve">LMICT% </t>
        </is>
      </c>
      <c r="D1807" s="29" t="n">
        <v>0.2653061224489796</v>
      </c>
      <c r="E1807" s="29" t="n">
        <v>0.2962382445141066</v>
      </c>
      <c r="F1807" s="31">
        <f>D1807-E1807</f>
        <v/>
      </c>
    </row>
    <row r="1808" ht="15" customHeight="1" s="47">
      <c r="C1808" s="42" t="inlineStr">
        <is>
          <t>LMIB%</t>
        </is>
      </c>
      <c r="D1808" s="29" t="n">
        <v>0.3061224489795918</v>
      </c>
      <c r="E1808" s="29" t="n">
        <v>0.4216300940438871</v>
      </c>
      <c r="F1808" s="31">
        <f>D1808-E1808</f>
        <v/>
      </c>
    </row>
    <row r="1809" ht="15" customHeight="1" s="47">
      <c r="C1809" s="42" t="inlineStr">
        <is>
          <t>LMIB$</t>
        </is>
      </c>
      <c r="D1809" s="48" t="n">
        <v>1465000</v>
      </c>
      <c r="E1809" s="48" t="n">
        <v>29645000</v>
      </c>
      <c r="F1809" s="49" t="n"/>
    </row>
    <row r="1810" ht="15" customHeight="1" s="47">
      <c r="C1810" s="42" t="inlineStr">
        <is>
          <t>MMCT%</t>
        </is>
      </c>
      <c r="D1810" s="29" t="n">
        <v>0</v>
      </c>
      <c r="E1810" s="29" t="n">
        <v>0</v>
      </c>
      <c r="F1810" s="31">
        <f>D1810-E1810</f>
        <v/>
      </c>
    </row>
    <row r="1811" ht="15" customHeight="1" s="47">
      <c r="C1811" s="42" t="inlineStr">
        <is>
          <t>MINB%</t>
        </is>
      </c>
      <c r="D1811" s="29" t="n">
        <v>0.02040816326530612</v>
      </c>
      <c r="E1811" s="29" t="n">
        <v>0.007836990595611285</v>
      </c>
      <c r="F1811" s="31">
        <f>D1811-E1811</f>
        <v/>
      </c>
    </row>
    <row r="1812" ht="15" customHeight="1" s="47">
      <c r="C1812" s="42" t="inlineStr">
        <is>
          <t>Asian%</t>
        </is>
      </c>
      <c r="D1812" s="29" t="n">
        <v>0</v>
      </c>
      <c r="E1812" s="29" t="n">
        <v>0</v>
      </c>
      <c r="F1812" s="31">
        <f>D1812-E1812</f>
        <v/>
      </c>
    </row>
    <row r="1813" ht="15" customHeight="1" s="47">
      <c r="C1813" s="42" t="inlineStr">
        <is>
          <t>Black%</t>
        </is>
      </c>
      <c r="D1813" s="29" t="n">
        <v>0</v>
      </c>
      <c r="E1813" s="29" t="n">
        <v>0</v>
      </c>
      <c r="F1813" s="31">
        <f>D1813-E1813</f>
        <v/>
      </c>
    </row>
    <row r="1814" ht="15" customHeight="1" s="47">
      <c r="C1814" s="42" t="inlineStr">
        <is>
          <t>Native American%</t>
        </is>
      </c>
      <c r="D1814" s="29" t="n">
        <v>0</v>
      </c>
      <c r="E1814" s="29" t="n">
        <v>0</v>
      </c>
      <c r="F1814" s="31">
        <f>D1814-E1814</f>
        <v/>
      </c>
    </row>
    <row r="1815" ht="15" customHeight="1" s="47">
      <c r="C1815" s="42" t="inlineStr">
        <is>
          <t>HoPI%</t>
        </is>
      </c>
      <c r="D1815" s="29" t="n">
        <v>0</v>
      </c>
      <c r="E1815" s="29" t="n">
        <v>0</v>
      </c>
      <c r="F1815" s="31">
        <f>D1815-E1815</f>
        <v/>
      </c>
    </row>
    <row r="1816" ht="15" customHeight="1" s="47">
      <c r="C1816" s="42" t="inlineStr">
        <is>
          <t>Hispanic%</t>
        </is>
      </c>
      <c r="D1816" s="29" t="n">
        <v>0.02040816326530612</v>
      </c>
      <c r="E1816" s="29" t="n">
        <v>0.007836990595611285</v>
      </c>
      <c r="F1816" s="31">
        <f>D1816-E1816</f>
        <v/>
      </c>
    </row>
    <row r="1817" ht="15" customHeight="1" s="47">
      <c r="B1817" s="42" t="inlineStr">
        <is>
          <t>Ohio Non-MSA</t>
        </is>
      </c>
      <c r="C1817" s="42" t="inlineStr">
        <is>
          <t>Loans</t>
        </is>
      </c>
      <c r="D1817" s="46" t="n">
        <v>49</v>
      </c>
      <c r="E1817" s="25" t="n">
        <v>638</v>
      </c>
    </row>
    <row r="1818" ht="15" customHeight="1" s="47">
      <c r="C1818" s="42" t="inlineStr">
        <is>
          <t xml:space="preserve">LMICT% </t>
        </is>
      </c>
      <c r="D1818" s="29" t="n">
        <v>0.06060606060606061</v>
      </c>
      <c r="E1818" s="29" t="n">
        <v>0.05855338691159587</v>
      </c>
      <c r="F1818" s="31">
        <f>D1818-E1818</f>
        <v/>
      </c>
    </row>
    <row r="1819" ht="15" customHeight="1" s="47">
      <c r="C1819" s="42" t="inlineStr">
        <is>
          <t>LMIB%</t>
        </is>
      </c>
      <c r="D1819" s="29" t="n">
        <v>0.4242424242424242</v>
      </c>
      <c r="E1819" s="29" t="n">
        <v>0.4247990815154994</v>
      </c>
      <c r="F1819" s="31">
        <f>D1819-E1819</f>
        <v/>
      </c>
    </row>
    <row r="1820" ht="15" customHeight="1" s="47">
      <c r="C1820" s="42" t="inlineStr">
        <is>
          <t>LMIB$</t>
        </is>
      </c>
      <c r="D1820" s="48" t="n">
        <v>1540000</v>
      </c>
      <c r="E1820" s="48" t="n">
        <v>42160000</v>
      </c>
      <c r="F1820" s="49" t="n"/>
    </row>
    <row r="1821" ht="15" customHeight="1" s="47">
      <c r="C1821" s="42" t="inlineStr">
        <is>
          <t>MMCT%</t>
        </is>
      </c>
      <c r="D1821" s="29" t="n">
        <v>0</v>
      </c>
      <c r="E1821" s="29" t="n">
        <v>0</v>
      </c>
      <c r="F1821" s="31">
        <f>D1821-E1821</f>
        <v/>
      </c>
    </row>
    <row r="1822" ht="15" customHeight="1" s="47">
      <c r="C1822" s="42" t="inlineStr">
        <is>
          <t>MINB%</t>
        </is>
      </c>
      <c r="D1822" s="29" t="n">
        <v>0</v>
      </c>
      <c r="E1822" s="29" t="n">
        <v>0.01148105625717566</v>
      </c>
      <c r="F1822" s="31">
        <f>D1822-E1822</f>
        <v/>
      </c>
    </row>
    <row r="1823" ht="15" customHeight="1" s="47">
      <c r="C1823" s="42" t="inlineStr">
        <is>
          <t>Asian%</t>
        </is>
      </c>
      <c r="D1823" s="29" t="n">
        <v>0</v>
      </c>
      <c r="E1823" s="29" t="n">
        <v>0</v>
      </c>
      <c r="F1823" s="31">
        <f>D1823-E1823</f>
        <v/>
      </c>
    </row>
    <row r="1824" ht="15" customHeight="1" s="47">
      <c r="C1824" s="42" t="inlineStr">
        <is>
          <t>Black%</t>
        </is>
      </c>
      <c r="D1824" s="29" t="n">
        <v>0</v>
      </c>
      <c r="E1824" s="29" t="n">
        <v>0</v>
      </c>
      <c r="F1824" s="31">
        <f>D1824-E1824</f>
        <v/>
      </c>
    </row>
    <row r="1825" ht="15" customHeight="1" s="47">
      <c r="C1825" s="42" t="inlineStr">
        <is>
          <t>Native American%</t>
        </is>
      </c>
      <c r="D1825" s="29" t="n">
        <v>0</v>
      </c>
      <c r="E1825" s="29" t="n">
        <v>0</v>
      </c>
      <c r="F1825" s="31">
        <f>D1825-E1825</f>
        <v/>
      </c>
    </row>
    <row r="1826" ht="15" customHeight="1" s="47">
      <c r="C1826" s="42" t="inlineStr">
        <is>
          <t>HoPI%</t>
        </is>
      </c>
      <c r="D1826" s="29" t="n">
        <v>0</v>
      </c>
      <c r="E1826" s="29" t="n">
        <v>0</v>
      </c>
      <c r="F1826" s="31">
        <f>D1826-E1826</f>
        <v/>
      </c>
    </row>
    <row r="1827" ht="15" customHeight="1" s="47">
      <c r="C1827" s="42" t="inlineStr">
        <is>
          <t>Hispanic%</t>
        </is>
      </c>
      <c r="D1827" s="29" t="n">
        <v>0</v>
      </c>
      <c r="E1827" s="29" t="n">
        <v>0.01148105625717566</v>
      </c>
      <c r="F1827" s="31">
        <f>D1827-E1827</f>
        <v/>
      </c>
    </row>
    <row r="1828" ht="15" customHeight="1" s="47">
      <c r="B1828" s="42" t="inlineStr">
        <is>
          <t>Ohio Non-MSA</t>
        </is>
      </c>
      <c r="C1828" s="42" t="inlineStr">
        <is>
          <t>Loans</t>
        </is>
      </c>
      <c r="D1828" s="46" t="n">
        <v>33</v>
      </c>
      <c r="E1828" s="25" t="n">
        <v>871</v>
      </c>
    </row>
    <row r="1829" ht="15" customHeight="1" s="47">
      <c r="C1829" s="42" t="inlineStr">
        <is>
          <t xml:space="preserve">LMICT% </t>
        </is>
      </c>
      <c r="D1829" s="29" t="n">
        <v>0.2133333333333333</v>
      </c>
      <c r="E1829" s="29" t="n">
        <v>0.1432</v>
      </c>
      <c r="F1829" s="31">
        <f>D1829-E1829</f>
        <v/>
      </c>
    </row>
    <row r="1830" ht="15" customHeight="1" s="47">
      <c r="C1830" s="42" t="inlineStr">
        <is>
          <t>LMIB%</t>
        </is>
      </c>
      <c r="D1830" s="29" t="n">
        <v>0.4133333333333333</v>
      </c>
      <c r="E1830" s="29" t="n">
        <v>0.3456</v>
      </c>
      <c r="F1830" s="31">
        <f>D1830-E1830</f>
        <v/>
      </c>
    </row>
    <row r="1831" ht="15" customHeight="1" s="47">
      <c r="C1831" s="42" t="inlineStr">
        <is>
          <t>LMIB$</t>
        </is>
      </c>
      <c r="D1831" s="48" t="n">
        <v>3505000</v>
      </c>
      <c r="E1831" s="48" t="n">
        <v>55850000</v>
      </c>
      <c r="F1831" s="31" t="n"/>
    </row>
    <row r="1832" ht="15" customHeight="1" s="47">
      <c r="C1832" s="42" t="inlineStr">
        <is>
          <t>MMCT%</t>
        </is>
      </c>
      <c r="D1832" s="29" t="n">
        <v>0</v>
      </c>
      <c r="E1832" s="29" t="n">
        <v>0</v>
      </c>
      <c r="F1832" s="31">
        <f>D1832-E1832</f>
        <v/>
      </c>
    </row>
    <row r="1833" ht="15" customHeight="1" s="47">
      <c r="C1833" s="42" t="inlineStr">
        <is>
          <t>MINB%</t>
        </is>
      </c>
      <c r="D1833" s="29" t="n">
        <v>0.01333333333333333</v>
      </c>
      <c r="E1833" s="29" t="n">
        <v>0.0384</v>
      </c>
      <c r="F1833" s="31">
        <f>D1833-E1833</f>
        <v/>
      </c>
    </row>
    <row r="1834" ht="15" customHeight="1" s="47">
      <c r="C1834" s="42" t="inlineStr">
        <is>
          <t>Asian%</t>
        </is>
      </c>
      <c r="D1834" s="29" t="n">
        <v>0</v>
      </c>
      <c r="E1834" s="29" t="n">
        <v>0</v>
      </c>
      <c r="F1834" s="31">
        <f>D1834-E1834</f>
        <v/>
      </c>
    </row>
    <row r="1835" ht="15" customHeight="1" s="47">
      <c r="C1835" s="42" t="inlineStr">
        <is>
          <t>Black%</t>
        </is>
      </c>
      <c r="D1835" s="29" t="n">
        <v>0</v>
      </c>
      <c r="E1835" s="29" t="n">
        <v>0</v>
      </c>
      <c r="F1835" s="31">
        <f>D1835-E1835</f>
        <v/>
      </c>
    </row>
    <row r="1836" ht="15" customHeight="1" s="47">
      <c r="C1836" s="42" t="inlineStr">
        <is>
          <t>Native American%</t>
        </is>
      </c>
      <c r="D1836" s="29" t="n">
        <v>0</v>
      </c>
      <c r="E1836" s="29" t="n">
        <v>0</v>
      </c>
      <c r="F1836" s="31">
        <f>D1836-E1836</f>
        <v/>
      </c>
    </row>
    <row r="1837" ht="15" customHeight="1" s="47">
      <c r="C1837" s="42" t="inlineStr">
        <is>
          <t>HoPI%</t>
        </is>
      </c>
      <c r="D1837" s="29" t="n">
        <v>0</v>
      </c>
      <c r="E1837" s="29" t="n">
        <v>0</v>
      </c>
      <c r="F1837" s="31">
        <f>D1837-E1837</f>
        <v/>
      </c>
    </row>
    <row r="1838" ht="15" customHeight="1" s="47">
      <c r="C1838" s="42" t="inlineStr">
        <is>
          <t>Hispanic%</t>
        </is>
      </c>
      <c r="D1838" s="29" t="n">
        <v>0.01333333333333333</v>
      </c>
      <c r="E1838" s="29" t="n">
        <v>0.0384</v>
      </c>
      <c r="F1838" s="31">
        <f>D1838-E1838</f>
        <v/>
      </c>
    </row>
    <row r="1839">
      <c r="B1839" t="inlineStr">
        <is>
          <t>Ohio Non-MSA</t>
        </is>
      </c>
      <c r="C1839" t="inlineStr">
        <is>
          <t>Loans</t>
        </is>
      </c>
      <c r="D1839" t="n">
        <v>75</v>
      </c>
      <c r="E1839" t="n">
        <v>1250</v>
      </c>
    </row>
    <row r="1840" ht="15" customHeight="1" s="47">
      <c r="C1840" t="inlineStr">
        <is>
          <t>LMICT%</t>
        </is>
      </c>
      <c r="D1840" s="31" t="n">
        <v>0.1666666666666666</v>
      </c>
      <c r="E1840" s="31" t="n">
        <v>0.02608695652173913</v>
      </c>
      <c r="F1840" s="31">
        <f>D1840-E1840</f>
        <v/>
      </c>
    </row>
    <row r="1841" ht="15" customHeight="1" s="47">
      <c r="C1841" t="inlineStr">
        <is>
          <t>LMIB%</t>
        </is>
      </c>
      <c r="D1841" s="31" t="n">
        <v>0.5833333333333334</v>
      </c>
      <c r="E1841" s="31" t="n">
        <v>0.3855072463768117</v>
      </c>
      <c r="F1841" s="31">
        <f>D1841-E1841</f>
        <v/>
      </c>
    </row>
    <row r="1842" ht="15" customHeight="1" s="47">
      <c r="C1842" t="inlineStr">
        <is>
          <t>LMIB$</t>
        </is>
      </c>
      <c r="D1842" s="50" t="n">
        <v>905000</v>
      </c>
      <c r="E1842" s="50" t="n">
        <v>17245000</v>
      </c>
      <c r="F1842" s="49" t="n"/>
    </row>
    <row r="1843" ht="15" customHeight="1" s="47">
      <c r="C1843" t="inlineStr">
        <is>
          <t>MMCT%</t>
        </is>
      </c>
      <c r="D1843" s="31" t="n">
        <v>0</v>
      </c>
      <c r="E1843" s="31" t="n">
        <v>0</v>
      </c>
      <c r="F1843" s="31">
        <f>D1843-E1843</f>
        <v/>
      </c>
    </row>
    <row r="1844" ht="15" customHeight="1" s="47">
      <c r="C1844" t="inlineStr">
        <is>
          <t>MINB%</t>
        </is>
      </c>
      <c r="D1844" s="31" t="n">
        <v>0</v>
      </c>
      <c r="E1844" s="31" t="n">
        <v>0.02318840579710145</v>
      </c>
      <c r="F1844" s="31">
        <f>D1844-E1844</f>
        <v/>
      </c>
    </row>
    <row r="1845" ht="15" customHeight="1" s="47">
      <c r="C1845" t="inlineStr">
        <is>
          <t>Asian%</t>
        </is>
      </c>
      <c r="D1845" s="31" t="n">
        <v>0</v>
      </c>
      <c r="E1845" s="31" t="n">
        <v>0</v>
      </c>
      <c r="F1845" s="31">
        <f>D1845-E1845</f>
        <v/>
      </c>
    </row>
    <row r="1846" ht="15" customHeight="1" s="47">
      <c r="C1846" t="inlineStr">
        <is>
          <t>Black%</t>
        </is>
      </c>
      <c r="D1846" s="31" t="n">
        <v>0</v>
      </c>
      <c r="E1846" s="31" t="n">
        <v>0</v>
      </c>
      <c r="F1846" s="31">
        <f>D1846-E1846</f>
        <v/>
      </c>
    </row>
    <row r="1847" ht="15" customHeight="1" s="47">
      <c r="C1847" t="inlineStr">
        <is>
          <t>Native American%</t>
        </is>
      </c>
      <c r="D1847" s="31" t="n">
        <v>0</v>
      </c>
      <c r="E1847" s="31" t="n">
        <v>0</v>
      </c>
      <c r="F1847" s="31">
        <f>D1847-E1847</f>
        <v/>
      </c>
    </row>
    <row r="1848" ht="15" customHeight="1" s="47">
      <c r="C1848" t="inlineStr">
        <is>
          <t>HoPI%</t>
        </is>
      </c>
      <c r="D1848" s="31" t="n">
        <v>0</v>
      </c>
      <c r="E1848" s="31" t="n">
        <v>0</v>
      </c>
      <c r="F1848" s="31">
        <f>D1848-E1848</f>
        <v/>
      </c>
    </row>
    <row r="1849" ht="15" customHeight="1" s="47">
      <c r="C1849" t="inlineStr">
        <is>
          <t>Hispanic%</t>
        </is>
      </c>
      <c r="D1849" s="31" t="n">
        <v>0</v>
      </c>
      <c r="E1849" s="31" t="n">
        <v>0.02318840579710145</v>
      </c>
      <c r="F1849" s="31">
        <f>D1849-E1849</f>
        <v/>
      </c>
    </row>
    <row r="1850">
      <c r="B1850" t="inlineStr">
        <is>
          <t>Ohio Non-MSA</t>
        </is>
      </c>
      <c r="C1850" t="inlineStr">
        <is>
          <t>Loans</t>
        </is>
      </c>
      <c r="D1850" t="n">
        <v>12</v>
      </c>
      <c r="E1850" t="n">
        <v>345</v>
      </c>
    </row>
    <row r="1851" ht="15" customHeight="1" s="47">
      <c r="C1851" t="inlineStr">
        <is>
          <t>LMICT%</t>
        </is>
      </c>
      <c r="D1851" s="31" t="n">
        <v>0.3287671232876712</v>
      </c>
      <c r="E1851" s="31" t="n">
        <v>0.2889589905362776</v>
      </c>
      <c r="F1851" s="31">
        <f>D1851-E1851</f>
        <v/>
      </c>
    </row>
    <row r="1852" ht="15" customHeight="1" s="47">
      <c r="C1852" t="inlineStr">
        <is>
          <t>LMIB%</t>
        </is>
      </c>
      <c r="D1852" s="31" t="n">
        <v>0.410958904109589</v>
      </c>
      <c r="E1852" s="31" t="n">
        <v>0.3917981072555205</v>
      </c>
      <c r="F1852" s="31">
        <f>D1852-E1852</f>
        <v/>
      </c>
    </row>
    <row r="1853" ht="15" customHeight="1" s="47">
      <c r="C1853" t="inlineStr">
        <is>
          <t>LMIB$</t>
        </is>
      </c>
      <c r="D1853" s="50" t="n">
        <v>3260000</v>
      </c>
      <c r="E1853" s="50" t="n">
        <v>75365000</v>
      </c>
      <c r="F1853" s="49" t="n"/>
    </row>
    <row r="1854" ht="15" customHeight="1" s="47">
      <c r="C1854" t="inlineStr">
        <is>
          <t>MMCT%</t>
        </is>
      </c>
      <c r="D1854" s="31" t="n">
        <v>0.0273972602739726</v>
      </c>
      <c r="E1854" s="31" t="n">
        <v>0.03785488958990536</v>
      </c>
      <c r="F1854" s="31">
        <f>D1854-E1854</f>
        <v/>
      </c>
    </row>
    <row r="1855" ht="15" customHeight="1" s="47">
      <c r="C1855" t="inlineStr">
        <is>
          <t>MINB%</t>
        </is>
      </c>
      <c r="D1855" s="31" t="n">
        <v>0.0547945205479452</v>
      </c>
      <c r="E1855" s="31" t="n">
        <v>0.03217665615141956</v>
      </c>
      <c r="F1855" s="31">
        <f>D1855-E1855</f>
        <v/>
      </c>
    </row>
    <row r="1856" ht="15" customHeight="1" s="47">
      <c r="C1856" t="inlineStr">
        <is>
          <t>Asian%</t>
        </is>
      </c>
      <c r="D1856" s="31" t="n">
        <v>0</v>
      </c>
      <c r="E1856" s="31" t="n">
        <v>0</v>
      </c>
      <c r="F1856" s="31">
        <f>D1856-E1856</f>
        <v/>
      </c>
    </row>
    <row r="1857" ht="15" customHeight="1" s="47">
      <c r="C1857" t="inlineStr">
        <is>
          <t>Black%</t>
        </is>
      </c>
      <c r="D1857" s="31" t="n">
        <v>0</v>
      </c>
      <c r="E1857" s="31" t="n">
        <v>0</v>
      </c>
      <c r="F1857" s="31">
        <f>D1857-E1857</f>
        <v/>
      </c>
    </row>
    <row r="1858" ht="15" customHeight="1" s="47">
      <c r="C1858" t="inlineStr">
        <is>
          <t>Native American%</t>
        </is>
      </c>
      <c r="D1858" s="31" t="n">
        <v>0</v>
      </c>
      <c r="E1858" s="31" t="n">
        <v>0</v>
      </c>
      <c r="F1858" s="31">
        <f>D1858-E1858</f>
        <v/>
      </c>
    </row>
    <row r="1859" ht="15" customHeight="1" s="47">
      <c r="C1859" t="inlineStr">
        <is>
          <t>HoPI%</t>
        </is>
      </c>
      <c r="D1859" s="31" t="n">
        <v>0</v>
      </c>
      <c r="E1859" s="31" t="n">
        <v>0</v>
      </c>
      <c r="F1859" s="31">
        <f>D1859-E1859</f>
        <v/>
      </c>
    </row>
    <row r="1860" ht="15" customHeight="1" s="47">
      <c r="C1860" t="inlineStr">
        <is>
          <t>Hispanic%</t>
        </is>
      </c>
      <c r="D1860" s="31" t="n">
        <v>0.0547945205479452</v>
      </c>
      <c r="E1860" s="31" t="n">
        <v>0.03217665615141956</v>
      </c>
      <c r="F1860" s="31">
        <f>D1860-E1860</f>
        <v/>
      </c>
    </row>
    <row r="1861">
      <c r="B1861" t="inlineStr">
        <is>
          <t>Springfield, OH</t>
        </is>
      </c>
      <c r="C1861" t="inlineStr">
        <is>
          <t>Loans</t>
        </is>
      </c>
      <c r="D1861" t="n">
        <v>73</v>
      </c>
      <c r="E1861" t="n">
        <v>1585</v>
      </c>
    </row>
    <row r="1862" ht="15" customHeight="1" s="47">
      <c r="C1862" t="inlineStr">
        <is>
          <t>LMICT%</t>
        </is>
      </c>
      <c r="D1862" s="31" t="n">
        <v>0.1111111111111111</v>
      </c>
      <c r="E1862" s="31" t="n">
        <v>0.1912144702842377</v>
      </c>
      <c r="F1862" s="31">
        <f>D1862-E1862</f>
        <v/>
      </c>
    </row>
    <row r="1863" ht="15" customHeight="1" s="47">
      <c r="C1863" t="inlineStr">
        <is>
          <t>LMIB%</t>
        </is>
      </c>
      <c r="D1863" s="31" t="n">
        <v>0.4074074074074074</v>
      </c>
      <c r="E1863" s="31" t="n">
        <v>0.5064599483204134</v>
      </c>
      <c r="F1863" s="31">
        <f>D1863-E1863</f>
        <v/>
      </c>
    </row>
    <row r="1864" ht="15" customHeight="1" s="47">
      <c r="C1864" t="inlineStr">
        <is>
          <t>LMIB$</t>
        </is>
      </c>
      <c r="D1864" s="50" t="n">
        <v>1105000</v>
      </c>
      <c r="E1864" s="50" t="n">
        <v>22290000</v>
      </c>
      <c r="F1864" s="49" t="n"/>
    </row>
    <row r="1865" ht="15" customHeight="1" s="47">
      <c r="C1865" t="inlineStr">
        <is>
          <t>MMCT%</t>
        </is>
      </c>
      <c r="D1865" s="31" t="n">
        <v>0</v>
      </c>
      <c r="E1865" s="31" t="n">
        <v>0</v>
      </c>
      <c r="F1865" s="31">
        <f>D1865-E1865</f>
        <v/>
      </c>
    </row>
    <row r="1866" ht="15" customHeight="1" s="47">
      <c r="C1866" t="inlineStr">
        <is>
          <t>MINB%</t>
        </is>
      </c>
      <c r="D1866" s="31" t="n">
        <v>0.03703703703703703</v>
      </c>
      <c r="E1866" s="31" t="n">
        <v>0.03875968992248062</v>
      </c>
      <c r="F1866" s="31">
        <f>D1866-E1866</f>
        <v/>
      </c>
    </row>
    <row r="1867" ht="15" customHeight="1" s="47">
      <c r="C1867" t="inlineStr">
        <is>
          <t>Asian%</t>
        </is>
      </c>
      <c r="D1867" s="31" t="n">
        <v>0</v>
      </c>
      <c r="E1867" s="31" t="n">
        <v>0</v>
      </c>
      <c r="F1867" s="31">
        <f>D1867-E1867</f>
        <v/>
      </c>
    </row>
    <row r="1868" ht="15" customHeight="1" s="47">
      <c r="C1868" t="inlineStr">
        <is>
          <t>Black%</t>
        </is>
      </c>
      <c r="D1868" s="31" t="n">
        <v>0</v>
      </c>
      <c r="E1868" s="31" t="n">
        <v>0</v>
      </c>
      <c r="F1868" s="31">
        <f>D1868-E1868</f>
        <v/>
      </c>
    </row>
    <row r="1869" ht="15" customHeight="1" s="47">
      <c r="C1869" t="inlineStr">
        <is>
          <t>Native American%</t>
        </is>
      </c>
      <c r="D1869" s="31" t="n">
        <v>0</v>
      </c>
      <c r="E1869" s="31" t="n">
        <v>0</v>
      </c>
      <c r="F1869" s="31">
        <f>D1869-E1869</f>
        <v/>
      </c>
    </row>
    <row r="1870" ht="15" customHeight="1" s="47">
      <c r="C1870" t="inlineStr">
        <is>
          <t>HoPI%</t>
        </is>
      </c>
      <c r="D1870" s="31" t="n">
        <v>0</v>
      </c>
      <c r="E1870" s="31" t="n">
        <v>0</v>
      </c>
      <c r="F1870" s="31">
        <f>D1870-E1870</f>
        <v/>
      </c>
    </row>
    <row r="1871" ht="15" customHeight="1" s="47">
      <c r="C1871" t="inlineStr">
        <is>
          <t>Hispanic%</t>
        </is>
      </c>
      <c r="D1871" s="31" t="n">
        <v>0.03703703703703703</v>
      </c>
      <c r="E1871" s="31" t="n">
        <v>0.03875968992248062</v>
      </c>
      <c r="F1871" s="31">
        <f>D1871-E1871</f>
        <v/>
      </c>
    </row>
    <row r="1872">
      <c r="B1872" t="inlineStr">
        <is>
          <t>Ohio Non-MSA</t>
        </is>
      </c>
      <c r="C1872" t="inlineStr">
        <is>
          <t>Loans</t>
        </is>
      </c>
      <c r="D1872" t="n">
        <v>27</v>
      </c>
      <c r="E1872" t="n">
        <v>387</v>
      </c>
    </row>
    <row r="1873" ht="15" customHeight="1" s="47">
      <c r="C1873" t="inlineStr">
        <is>
          <t>LMICT%</t>
        </is>
      </c>
      <c r="D1873" s="31" t="n">
        <v>0.08856088560885608</v>
      </c>
      <c r="E1873" s="31" t="n">
        <v>0.1174340403517848</v>
      </c>
      <c r="F1873" s="31">
        <f>D1873-E1873</f>
        <v/>
      </c>
    </row>
    <row r="1874" ht="15" customHeight="1" s="47">
      <c r="C1874" t="inlineStr">
        <is>
          <t>LMIB%</t>
        </is>
      </c>
      <c r="D1874" s="31" t="n">
        <v>0.3874538745387454</v>
      </c>
      <c r="E1874" s="31" t="n">
        <v>0.3642007242628039</v>
      </c>
      <c r="F1874" s="31">
        <f>D1874-E1874</f>
        <v/>
      </c>
    </row>
    <row r="1875" ht="15" customHeight="1" s="47">
      <c r="C1875" t="inlineStr">
        <is>
          <t>LMIB$</t>
        </is>
      </c>
      <c r="D1875" s="50" t="n">
        <v>11345000</v>
      </c>
      <c r="E1875" s="50" t="n">
        <v>258780000</v>
      </c>
      <c r="F1875" s="49" t="n"/>
    </row>
    <row r="1876" ht="15" customHeight="1" s="47">
      <c r="C1876" t="inlineStr">
        <is>
          <t>MMCT%</t>
        </is>
      </c>
      <c r="D1876" s="31" t="n">
        <v>0.04059040590405904</v>
      </c>
      <c r="E1876" s="31" t="n">
        <v>0.05345749267115021</v>
      </c>
      <c r="F1876" s="31">
        <f>D1876-E1876</f>
        <v/>
      </c>
    </row>
    <row r="1877" ht="15" customHeight="1" s="47">
      <c r="C1877" t="inlineStr">
        <is>
          <t>MINB%</t>
        </is>
      </c>
      <c r="D1877" s="31" t="n">
        <v>0.06273062730627306</v>
      </c>
      <c r="E1877" s="31" t="n">
        <v>0.05380237972064148</v>
      </c>
      <c r="F1877" s="31">
        <f>D1877-E1877</f>
        <v/>
      </c>
    </row>
    <row r="1878" ht="15" customHeight="1" s="47">
      <c r="C1878" t="inlineStr">
        <is>
          <t>Asian%</t>
        </is>
      </c>
      <c r="D1878" s="31" t="n">
        <v>0</v>
      </c>
      <c r="E1878" s="31" t="n">
        <v>0</v>
      </c>
      <c r="F1878" s="31">
        <f>D1878-E1878</f>
        <v/>
      </c>
    </row>
    <row r="1879" ht="15" customHeight="1" s="47">
      <c r="C1879" t="inlineStr">
        <is>
          <t>Black%</t>
        </is>
      </c>
      <c r="D1879" s="31" t="n">
        <v>0</v>
      </c>
      <c r="E1879" s="31" t="n">
        <v>0</v>
      </c>
      <c r="F1879" s="31">
        <f>D1879-E1879</f>
        <v/>
      </c>
    </row>
    <row r="1880" ht="15" customHeight="1" s="47">
      <c r="C1880" t="inlineStr">
        <is>
          <t>Native American%</t>
        </is>
      </c>
      <c r="D1880" s="31" t="n">
        <v>0</v>
      </c>
      <c r="E1880" s="31" t="n">
        <v>0</v>
      </c>
      <c r="F1880" s="31">
        <f>D1880-E1880</f>
        <v/>
      </c>
    </row>
    <row r="1881" ht="15" customHeight="1" s="47">
      <c r="C1881" t="inlineStr">
        <is>
          <t>HoPI%</t>
        </is>
      </c>
      <c r="D1881" s="31" t="n">
        <v>0</v>
      </c>
      <c r="E1881" s="31" t="n">
        <v>0</v>
      </c>
      <c r="F1881" s="31">
        <f>D1881-E1881</f>
        <v/>
      </c>
    </row>
    <row r="1882" ht="15" customHeight="1" s="47">
      <c r="C1882" t="inlineStr">
        <is>
          <t>Hispanic%</t>
        </is>
      </c>
      <c r="D1882" s="31" t="n">
        <v>0.06273062730627306</v>
      </c>
      <c r="E1882" s="31" t="n">
        <v>0.05380237972064148</v>
      </c>
      <c r="F1882" s="31">
        <f>D1882-E1882</f>
        <v/>
      </c>
    </row>
    <row r="1883">
      <c r="B1883" t="inlineStr">
        <is>
          <t>Toledo, OH</t>
        </is>
      </c>
      <c r="C1883" t="inlineStr">
        <is>
          <t>Loans</t>
        </is>
      </c>
      <c r="D1883" t="n">
        <v>271</v>
      </c>
      <c r="E1883" t="n">
        <v>5799</v>
      </c>
    </row>
    <row r="1884" ht="15" customHeight="1" s="47">
      <c r="C1884" t="inlineStr">
        <is>
          <t>LMICT%</t>
        </is>
      </c>
      <c r="D1884" s="31" t="n">
        <v>0.25</v>
      </c>
      <c r="E1884" s="31" t="n">
        <v>0.2015503875968992</v>
      </c>
      <c r="F1884" s="31">
        <f>D1884-E1884</f>
        <v/>
      </c>
    </row>
    <row r="1885" ht="15" customHeight="1" s="47">
      <c r="C1885" t="inlineStr">
        <is>
          <t>LMIB%</t>
        </is>
      </c>
      <c r="D1885" s="31" t="n">
        <v>0.625</v>
      </c>
      <c r="E1885" s="31" t="n">
        <v>0.3953488372093023</v>
      </c>
      <c r="F1885" s="31">
        <f>D1885-E1885</f>
        <v/>
      </c>
    </row>
    <row r="1886" ht="15" customHeight="1" s="47">
      <c r="C1886" t="inlineStr">
        <is>
          <t>LMIB$</t>
        </is>
      </c>
      <c r="D1886" s="50" t="n">
        <v>645000</v>
      </c>
      <c r="E1886" s="50" t="n">
        <v>13980000</v>
      </c>
      <c r="F1886" s="49" t="n"/>
    </row>
    <row r="1887" ht="15" customHeight="1" s="47">
      <c r="C1887" t="inlineStr">
        <is>
          <t>MMCT%</t>
        </is>
      </c>
      <c r="D1887" s="31" t="n">
        <v>0</v>
      </c>
      <c r="E1887" s="31" t="n">
        <v>0</v>
      </c>
      <c r="F1887" s="31">
        <f>D1887-E1887</f>
        <v/>
      </c>
    </row>
    <row r="1888" ht="15" customHeight="1" s="47">
      <c r="C1888" t="inlineStr">
        <is>
          <t>MINB%</t>
        </is>
      </c>
      <c r="D1888" s="31" t="n">
        <v>0</v>
      </c>
      <c r="E1888" s="31" t="n">
        <v>0.01550387596899225</v>
      </c>
      <c r="F1888" s="31">
        <f>D1888-E1888</f>
        <v/>
      </c>
    </row>
    <row r="1889" ht="15" customHeight="1" s="47">
      <c r="C1889" t="inlineStr">
        <is>
          <t>Asian%</t>
        </is>
      </c>
      <c r="D1889" s="31" t="n">
        <v>0</v>
      </c>
      <c r="E1889" s="31" t="n">
        <v>0</v>
      </c>
      <c r="F1889" s="31">
        <f>D1889-E1889</f>
        <v/>
      </c>
    </row>
    <row r="1890" ht="15" customHeight="1" s="47">
      <c r="C1890" t="inlineStr">
        <is>
          <t>Black%</t>
        </is>
      </c>
      <c r="D1890" s="31" t="n">
        <v>0</v>
      </c>
      <c r="E1890" s="31" t="n">
        <v>0</v>
      </c>
      <c r="F1890" s="31">
        <f>D1890-E1890</f>
        <v/>
      </c>
    </row>
    <row r="1891" ht="15" customHeight="1" s="47">
      <c r="C1891" t="inlineStr">
        <is>
          <t>Native American%</t>
        </is>
      </c>
      <c r="D1891" s="31" t="n">
        <v>0</v>
      </c>
      <c r="E1891" s="31" t="n">
        <v>0</v>
      </c>
      <c r="F1891" s="31">
        <f>D1891-E1891</f>
        <v/>
      </c>
    </row>
    <row r="1892" ht="15" customHeight="1" s="47">
      <c r="C1892" t="inlineStr">
        <is>
          <t>HoPI%</t>
        </is>
      </c>
      <c r="D1892" s="31" t="n">
        <v>0</v>
      </c>
      <c r="E1892" s="31" t="n">
        <v>0</v>
      </c>
      <c r="F1892" s="31">
        <f>D1892-E1892</f>
        <v/>
      </c>
    </row>
    <row r="1893" ht="15" customHeight="1" s="47">
      <c r="C1893" t="inlineStr">
        <is>
          <t>Hispanic%</t>
        </is>
      </c>
      <c r="D1893" s="31" t="n">
        <v>0</v>
      </c>
      <c r="E1893" s="31" t="n">
        <v>0.01550387596899225</v>
      </c>
      <c r="F1893" s="31">
        <f>D1893-E1893</f>
        <v/>
      </c>
    </row>
    <row r="1894">
      <c r="B1894" t="inlineStr">
        <is>
          <t>Ohio Non-MSA</t>
        </is>
      </c>
      <c r="C1894" t="inlineStr">
        <is>
          <t>Loans</t>
        </is>
      </c>
      <c r="D1894" t="n">
        <v>8</v>
      </c>
      <c r="E1894" t="n">
        <v>258</v>
      </c>
    </row>
    <row r="1895" ht="15" customHeight="1" s="47">
      <c r="C1895" t="inlineStr">
        <is>
          <t>LMICT%</t>
        </is>
      </c>
      <c r="D1895" s="31" t="n">
        <v>0.1111111111111111</v>
      </c>
      <c r="E1895" s="31" t="n">
        <v>0.046</v>
      </c>
      <c r="F1895" s="31">
        <f>D1895-E1895</f>
        <v/>
      </c>
    </row>
    <row r="1896" ht="15" customHeight="1" s="47">
      <c r="C1896" t="inlineStr">
        <is>
          <t>LMIB%</t>
        </is>
      </c>
      <c r="D1896" s="31" t="n">
        <v>0.4722222222222222</v>
      </c>
      <c r="E1896" s="31" t="n">
        <v>0.382</v>
      </c>
      <c r="F1896" s="31">
        <f>D1896-E1896</f>
        <v/>
      </c>
    </row>
    <row r="1897" ht="15" customHeight="1" s="47">
      <c r="C1897" t="inlineStr">
        <is>
          <t>LMIB$</t>
        </is>
      </c>
      <c r="D1897" s="50" t="n">
        <v>1515000</v>
      </c>
      <c r="E1897" s="50" t="n">
        <v>19835000</v>
      </c>
      <c r="F1897" s="49" t="n"/>
    </row>
    <row r="1898" ht="15" customHeight="1" s="47">
      <c r="C1898" t="inlineStr">
        <is>
          <t>MMCT%</t>
        </is>
      </c>
      <c r="D1898" s="31" t="n">
        <v>0</v>
      </c>
      <c r="E1898" s="31" t="n">
        <v>0</v>
      </c>
      <c r="F1898" s="31">
        <f>D1898-E1898</f>
        <v/>
      </c>
    </row>
    <row r="1899" ht="15" customHeight="1" s="47">
      <c r="C1899" t="inlineStr">
        <is>
          <t>MINB%</t>
        </is>
      </c>
      <c r="D1899" s="31" t="n">
        <v>0.02777777777777778</v>
      </c>
      <c r="E1899" s="31" t="n">
        <v>0.028</v>
      </c>
      <c r="F1899" s="31">
        <f>D1899-E1899</f>
        <v/>
      </c>
    </row>
    <row r="1900" ht="15" customHeight="1" s="47">
      <c r="C1900" t="inlineStr">
        <is>
          <t>Asian%</t>
        </is>
      </c>
      <c r="D1900" s="31" t="n">
        <v>0</v>
      </c>
      <c r="E1900" s="31" t="n">
        <v>0</v>
      </c>
      <c r="F1900" s="31">
        <f>D1900-E1900</f>
        <v/>
      </c>
    </row>
    <row r="1901" ht="15" customHeight="1" s="47">
      <c r="C1901" t="inlineStr">
        <is>
          <t>Black%</t>
        </is>
      </c>
      <c r="D1901" s="31" t="n">
        <v>0</v>
      </c>
      <c r="E1901" s="31" t="n">
        <v>0</v>
      </c>
      <c r="F1901" s="31">
        <f>D1901-E1901</f>
        <v/>
      </c>
    </row>
    <row r="1902" ht="15" customHeight="1" s="47">
      <c r="C1902" t="inlineStr">
        <is>
          <t>Native American%</t>
        </is>
      </c>
      <c r="D1902" s="31" t="n">
        <v>0</v>
      </c>
      <c r="E1902" s="31" t="n">
        <v>0</v>
      </c>
      <c r="F1902" s="31">
        <f>D1902-E1902</f>
        <v/>
      </c>
    </row>
    <row r="1903" ht="15" customHeight="1" s="47">
      <c r="C1903" t="inlineStr">
        <is>
          <t>HoPI%</t>
        </is>
      </c>
      <c r="D1903" s="31" t="n">
        <v>0</v>
      </c>
      <c r="E1903" s="31" t="n">
        <v>0</v>
      </c>
      <c r="F1903" s="31">
        <f>D1903-E1903</f>
        <v/>
      </c>
    </row>
    <row r="1904" ht="15" customHeight="1" s="47">
      <c r="C1904" t="inlineStr">
        <is>
          <t>Hispanic%</t>
        </is>
      </c>
      <c r="D1904" s="31" t="n">
        <v>0.02777777777777778</v>
      </c>
      <c r="E1904" s="31" t="n">
        <v>0.028</v>
      </c>
      <c r="F1904" s="31">
        <f>D1904-E1904</f>
        <v/>
      </c>
    </row>
    <row r="1905">
      <c r="B1905" t="inlineStr">
        <is>
          <t>Weirton-Steubenville, WV-OH</t>
        </is>
      </c>
      <c r="C1905" t="inlineStr">
        <is>
          <t>Loans</t>
        </is>
      </c>
      <c r="D1905" t="n">
        <v>36</v>
      </c>
      <c r="E1905" t="n">
        <v>500</v>
      </c>
    </row>
    <row r="1906" ht="15" customHeight="1" s="47">
      <c r="C1906" t="inlineStr">
        <is>
          <t>LMICT%</t>
        </is>
      </c>
      <c r="D1906" s="31" t="n">
        <v>0.1379310344827586</v>
      </c>
      <c r="E1906" s="31" t="n">
        <v>0.1902985074626866</v>
      </c>
      <c r="F1906" s="31">
        <f>D1906-E1906</f>
        <v/>
      </c>
    </row>
    <row r="1907" ht="15" customHeight="1" s="47">
      <c r="C1907" t="inlineStr">
        <is>
          <t>LMIB%</t>
        </is>
      </c>
      <c r="D1907" s="31" t="n">
        <v>0.5517241379310345</v>
      </c>
      <c r="E1907" s="31" t="n">
        <v>0.376865671641791</v>
      </c>
      <c r="F1907" s="31">
        <f>D1907-E1907</f>
        <v/>
      </c>
    </row>
    <row r="1908" ht="15" customHeight="1" s="47">
      <c r="C1908" t="inlineStr">
        <is>
          <t>LMIB$</t>
        </is>
      </c>
      <c r="D1908" s="50" t="n">
        <v>1490000</v>
      </c>
      <c r="E1908" s="50" t="n">
        <v>21760000</v>
      </c>
      <c r="F1908" s="49" t="n"/>
    </row>
    <row r="1909" ht="15" customHeight="1" s="47">
      <c r="C1909" t="inlineStr">
        <is>
          <t>MMCT%</t>
        </is>
      </c>
      <c r="D1909" s="31" t="n">
        <v>0</v>
      </c>
      <c r="E1909" s="31" t="n">
        <v>0</v>
      </c>
      <c r="F1909" s="31">
        <f>D1909-E1909</f>
        <v/>
      </c>
    </row>
    <row r="1910" ht="15" customHeight="1" s="47">
      <c r="C1910" t="inlineStr">
        <is>
          <t>MINB%</t>
        </is>
      </c>
      <c r="D1910" s="31" t="n">
        <v>0</v>
      </c>
      <c r="E1910" s="31" t="n">
        <v>0.009328358208955223</v>
      </c>
      <c r="F1910" s="31">
        <f>D1910-E1910</f>
        <v/>
      </c>
    </row>
    <row r="1911" ht="15" customHeight="1" s="47">
      <c r="C1911" t="inlineStr">
        <is>
          <t>Asian%</t>
        </is>
      </c>
      <c r="D1911" s="31" t="n">
        <v>0</v>
      </c>
      <c r="E1911" s="31" t="n">
        <v>0</v>
      </c>
      <c r="F1911" s="31">
        <f>D1911-E1911</f>
        <v/>
      </c>
    </row>
    <row r="1912" ht="15" customHeight="1" s="47">
      <c r="C1912" t="inlineStr">
        <is>
          <t>Black%</t>
        </is>
      </c>
      <c r="D1912" s="31" t="n">
        <v>0</v>
      </c>
      <c r="E1912" s="31" t="n">
        <v>0</v>
      </c>
      <c r="F1912" s="31">
        <f>D1912-E1912</f>
        <v/>
      </c>
    </row>
    <row r="1913" ht="15" customHeight="1" s="47">
      <c r="C1913" t="inlineStr">
        <is>
          <t>Native American%</t>
        </is>
      </c>
      <c r="D1913" s="31" t="n">
        <v>0</v>
      </c>
      <c r="E1913" s="31" t="n">
        <v>0</v>
      </c>
      <c r="F1913" s="31">
        <f>D1913-E1913</f>
        <v/>
      </c>
    </row>
    <row r="1914" ht="15" customHeight="1" s="47">
      <c r="C1914" t="inlineStr">
        <is>
          <t>HoPI%</t>
        </is>
      </c>
      <c r="D1914" s="31" t="n">
        <v>0</v>
      </c>
      <c r="E1914" s="31" t="n">
        <v>0</v>
      </c>
      <c r="F1914" s="31">
        <f>D1914-E1914</f>
        <v/>
      </c>
    </row>
    <row r="1915" ht="15" customHeight="1" s="47">
      <c r="C1915" t="inlineStr">
        <is>
          <t>Hispanic%</t>
        </is>
      </c>
      <c r="D1915" s="31" t="n">
        <v>0</v>
      </c>
      <c r="E1915" s="31" t="n">
        <v>0.009328358208955223</v>
      </c>
      <c r="F1915" s="31">
        <f>D1915-E1915</f>
        <v/>
      </c>
    </row>
    <row r="1916">
      <c r="B1916" t="inlineStr">
        <is>
          <t>Wheeling, WV-OH</t>
        </is>
      </c>
      <c r="C1916" t="inlineStr">
        <is>
          <t>Loans</t>
        </is>
      </c>
      <c r="D1916" t="n">
        <v>29</v>
      </c>
      <c r="E1916" t="n">
        <v>536</v>
      </c>
    </row>
    <row r="1917" ht="15" customHeight="1" s="47">
      <c r="C1917" t="inlineStr">
        <is>
          <t>LMICT%</t>
        </is>
      </c>
      <c r="D1917" s="31" t="n">
        <v>0.2857142857142857</v>
      </c>
      <c r="E1917" s="31" t="n">
        <v>0.1578266494178525</v>
      </c>
      <c r="F1917" s="31">
        <f>D1917-E1917</f>
        <v/>
      </c>
    </row>
    <row r="1918" ht="15" customHeight="1" s="47">
      <c r="C1918" t="inlineStr">
        <is>
          <t>LMIB%</t>
        </is>
      </c>
      <c r="D1918" s="31" t="n">
        <v>0.4285714285714285</v>
      </c>
      <c r="E1918" s="31" t="n">
        <v>0.3065976714100905</v>
      </c>
      <c r="F1918" s="31">
        <f>D1918-E1918</f>
        <v/>
      </c>
    </row>
    <row r="1919" ht="15" customHeight="1" s="47">
      <c r="C1919" t="inlineStr">
        <is>
          <t>LMIB$</t>
        </is>
      </c>
      <c r="D1919" s="50" t="n">
        <v>1165000</v>
      </c>
      <c r="E1919" s="50" t="n">
        <v>32375000</v>
      </c>
      <c r="F1919" s="49" t="n"/>
    </row>
    <row r="1920" ht="15" customHeight="1" s="47">
      <c r="C1920" t="inlineStr">
        <is>
          <t>MMCT%</t>
        </is>
      </c>
      <c r="D1920" s="31" t="n">
        <v>0</v>
      </c>
      <c r="E1920" s="31" t="n">
        <v>0</v>
      </c>
      <c r="F1920" s="31">
        <f>D1920-E1920</f>
        <v/>
      </c>
    </row>
    <row r="1921" ht="15" customHeight="1" s="47">
      <c r="C1921" t="inlineStr">
        <is>
          <t>MINB%</t>
        </is>
      </c>
      <c r="D1921" s="31" t="n">
        <v>0</v>
      </c>
      <c r="E1921" s="31" t="n">
        <v>0.01940491591203105</v>
      </c>
      <c r="F1921" s="31">
        <f>D1921-E1921</f>
        <v/>
      </c>
    </row>
    <row r="1922" ht="15" customHeight="1" s="47">
      <c r="C1922" t="inlineStr">
        <is>
          <t>Asian%</t>
        </is>
      </c>
      <c r="D1922" s="31" t="n">
        <v>0</v>
      </c>
      <c r="E1922" s="31" t="n">
        <v>0</v>
      </c>
      <c r="F1922" s="31">
        <f>D1922-E1922</f>
        <v/>
      </c>
    </row>
    <row r="1923" ht="15" customHeight="1" s="47">
      <c r="C1923" t="inlineStr">
        <is>
          <t>Black%</t>
        </is>
      </c>
      <c r="D1923" s="31" t="n">
        <v>0</v>
      </c>
      <c r="E1923" s="31" t="n">
        <v>0</v>
      </c>
      <c r="F1923" s="31">
        <f>D1923-E1923</f>
        <v/>
      </c>
    </row>
    <row r="1924" ht="15" customHeight="1" s="47">
      <c r="C1924" t="inlineStr">
        <is>
          <t>Native American%</t>
        </is>
      </c>
      <c r="D1924" s="31" t="n">
        <v>0</v>
      </c>
      <c r="E1924" s="31" t="n">
        <v>0</v>
      </c>
      <c r="F1924" s="31">
        <f>D1924-E1924</f>
        <v/>
      </c>
    </row>
    <row r="1925" ht="15" customHeight="1" s="47">
      <c r="C1925" t="inlineStr">
        <is>
          <t>HoPI%</t>
        </is>
      </c>
      <c r="D1925" s="31" t="n">
        <v>0</v>
      </c>
      <c r="E1925" s="31" t="n">
        <v>0</v>
      </c>
      <c r="F1925" s="31">
        <f>D1925-E1925</f>
        <v/>
      </c>
    </row>
    <row r="1926" ht="15" customHeight="1" s="47">
      <c r="C1926" t="inlineStr">
        <is>
          <t>Hispanic%</t>
        </is>
      </c>
      <c r="D1926" s="31" t="n">
        <v>0</v>
      </c>
      <c r="E1926" s="31" t="n">
        <v>0.01940491591203105</v>
      </c>
      <c r="F1926" s="31">
        <f>D1926-E1926</f>
        <v/>
      </c>
    </row>
    <row r="1927">
      <c r="B1927" t="inlineStr">
        <is>
          <t>Ohio Non-MSA</t>
        </is>
      </c>
      <c r="C1927" t="inlineStr">
        <is>
          <t>Loans</t>
        </is>
      </c>
      <c r="D1927" t="n">
        <v>21</v>
      </c>
      <c r="E1927" t="n">
        <v>773</v>
      </c>
    </row>
    <row r="1928" ht="15" customHeight="1" s="47">
      <c r="C1928" t="inlineStr">
        <is>
          <t>LMICT%</t>
        </is>
      </c>
      <c r="D1928" s="31" t="n">
        <v>0.09230769230769231</v>
      </c>
      <c r="E1928" s="31" t="n">
        <v>0.07815079801871216</v>
      </c>
      <c r="F1928" s="31">
        <f>D1928-E1928</f>
        <v/>
      </c>
    </row>
    <row r="1929" ht="15" customHeight="1" s="47">
      <c r="C1929" t="inlineStr">
        <is>
          <t>LMIB%</t>
        </is>
      </c>
      <c r="D1929" s="31" t="n">
        <v>0.3846153846153847</v>
      </c>
      <c r="E1929" s="31" t="n">
        <v>0.3225096312603192</v>
      </c>
      <c r="F1929" s="31">
        <f>D1929-E1929</f>
        <v/>
      </c>
    </row>
    <row r="1930" ht="15" customHeight="1" s="47">
      <c r="C1930" t="inlineStr">
        <is>
          <t>LMIB$</t>
        </is>
      </c>
      <c r="D1930" s="50" t="n">
        <v>6780000</v>
      </c>
      <c r="E1930" s="50" t="n">
        <v>84000000</v>
      </c>
      <c r="F1930" s="31" t="n"/>
    </row>
    <row r="1931" ht="15" customHeight="1" s="47">
      <c r="C1931" t="inlineStr">
        <is>
          <t>MMCT%</t>
        </is>
      </c>
      <c r="D1931" s="31" t="n">
        <v>0</v>
      </c>
      <c r="E1931" s="31" t="n">
        <v>0</v>
      </c>
      <c r="F1931" s="31">
        <f>D1931-E1931</f>
        <v/>
      </c>
    </row>
    <row r="1932" ht="15" customHeight="1" s="47">
      <c r="C1932" t="inlineStr">
        <is>
          <t>MINB%</t>
        </is>
      </c>
      <c r="D1932" s="31" t="n">
        <v>0.01538461538461539</v>
      </c>
      <c r="E1932" s="31" t="n">
        <v>0.02036323610346726</v>
      </c>
      <c r="F1932" s="31">
        <f>D1932-E1932</f>
        <v/>
      </c>
    </row>
    <row r="1933" ht="15" customHeight="1" s="47">
      <c r="C1933" t="inlineStr">
        <is>
          <t>Asian%</t>
        </is>
      </c>
      <c r="D1933" s="31" t="n">
        <v>0</v>
      </c>
      <c r="E1933" s="31" t="n">
        <v>0</v>
      </c>
      <c r="F1933" s="31">
        <f>D1933-E1933</f>
        <v/>
      </c>
    </row>
    <row r="1934" ht="15" customHeight="1" s="47">
      <c r="C1934" t="inlineStr">
        <is>
          <t>Black%</t>
        </is>
      </c>
      <c r="D1934" s="31" t="n">
        <v>0</v>
      </c>
      <c r="E1934" s="31" t="n">
        <v>0</v>
      </c>
      <c r="F1934" s="31">
        <f>D1934-E1934</f>
        <v/>
      </c>
    </row>
    <row r="1935" ht="15" customHeight="1" s="47">
      <c r="C1935" t="inlineStr">
        <is>
          <t>Native American%</t>
        </is>
      </c>
      <c r="D1935" s="31" t="n">
        <v>0</v>
      </c>
      <c r="E1935" s="31" t="n">
        <v>0</v>
      </c>
      <c r="F1935" s="31">
        <f>D1935-E1935</f>
        <v/>
      </c>
    </row>
    <row r="1936" ht="15" customHeight="1" s="47">
      <c r="C1936" t="inlineStr">
        <is>
          <t>HoPI%</t>
        </is>
      </c>
      <c r="D1936" s="31" t="n">
        <v>0</v>
      </c>
      <c r="E1936" s="31" t="n">
        <v>0</v>
      </c>
      <c r="F1936" s="31">
        <f>D1936-E1936</f>
        <v/>
      </c>
    </row>
    <row r="1937" ht="15" customHeight="1" s="47">
      <c r="C1937" t="inlineStr">
        <is>
          <t>Hispanic%</t>
        </is>
      </c>
      <c r="D1937" s="31" t="n">
        <v>0.01538461538461539</v>
      </c>
      <c r="E1937" s="31" t="n">
        <v>0.02036323610346726</v>
      </c>
      <c r="F1937" s="31">
        <f>D1937-E1937</f>
        <v/>
      </c>
    </row>
    <row r="1938">
      <c r="B1938" t="inlineStr">
        <is>
          <t>Ohio Non-MSA</t>
        </is>
      </c>
      <c r="C1938" t="inlineStr">
        <is>
          <t>Loans</t>
        </is>
      </c>
      <c r="D1938" t="n">
        <v>130</v>
      </c>
      <c r="E1938" t="n">
        <v>1817</v>
      </c>
    </row>
    <row r="1939" ht="15" customHeight="1" s="47">
      <c r="C1939" t="inlineStr">
        <is>
          <t>LMICT%</t>
        </is>
      </c>
      <c r="D1939" s="31" t="n">
        <v>0.1</v>
      </c>
      <c r="E1939" s="31" t="n">
        <v>0.1286819398988396</v>
      </c>
      <c r="F1939" s="31">
        <f>D1939-E1939</f>
        <v/>
      </c>
    </row>
    <row r="1940" ht="15" customHeight="1" s="47">
      <c r="C1940" t="inlineStr">
        <is>
          <t>LMIB%</t>
        </is>
      </c>
      <c r="D1940" s="31" t="n">
        <v>0.3542857142857143</v>
      </c>
      <c r="E1940" s="31" t="n">
        <v>0.4073192502231479</v>
      </c>
      <c r="F1940" s="31">
        <f>D1940-E1940</f>
        <v/>
      </c>
    </row>
    <row r="1941" ht="15" customHeight="1" s="47">
      <c r="C1941" t="inlineStr">
        <is>
          <t>LMIB$</t>
        </is>
      </c>
      <c r="D1941" s="50" t="n">
        <v>12800000</v>
      </c>
      <c r="E1941" s="50" t="n">
        <v>299860000</v>
      </c>
      <c r="F1941" s="49" t="n"/>
    </row>
    <row r="1942" ht="15" customHeight="1" s="47">
      <c r="C1942" t="inlineStr">
        <is>
          <t>MMCT%</t>
        </is>
      </c>
      <c r="D1942" s="31" t="n">
        <v>0.02</v>
      </c>
      <c r="E1942" s="31" t="n">
        <v>0.03005058018446891</v>
      </c>
      <c r="F1942" s="31">
        <f>D1942-E1942</f>
        <v/>
      </c>
    </row>
    <row r="1943" ht="15" customHeight="1" s="47">
      <c r="C1943" t="inlineStr">
        <is>
          <t>MINB%</t>
        </is>
      </c>
      <c r="D1943" s="31" t="n">
        <v>0.01714285714285714</v>
      </c>
      <c r="E1943" s="31" t="n">
        <v>0.02811663195477537</v>
      </c>
      <c r="F1943" s="31">
        <f>D1943-E1943</f>
        <v/>
      </c>
    </row>
    <row r="1944" ht="15" customHeight="1" s="47">
      <c r="C1944" t="inlineStr">
        <is>
          <t>Asian%</t>
        </is>
      </c>
      <c r="D1944" s="31" t="n">
        <v>0</v>
      </c>
      <c r="E1944" s="31" t="n">
        <v>0</v>
      </c>
      <c r="F1944" s="31">
        <f>D1944-E1944</f>
        <v/>
      </c>
    </row>
    <row r="1945" ht="15" customHeight="1" s="47">
      <c r="C1945" t="inlineStr">
        <is>
          <t>Black%</t>
        </is>
      </c>
      <c r="D1945" s="31" t="n">
        <v>0</v>
      </c>
      <c r="E1945" s="31" t="n">
        <v>0</v>
      </c>
      <c r="F1945" s="31">
        <f>D1945-E1945</f>
        <v/>
      </c>
    </row>
    <row r="1946" ht="15" customHeight="1" s="47">
      <c r="C1946" t="inlineStr">
        <is>
          <t>Native American%</t>
        </is>
      </c>
      <c r="D1946" s="31" t="n">
        <v>0</v>
      </c>
      <c r="E1946" s="31" t="n">
        <v>0</v>
      </c>
      <c r="F1946" s="31">
        <f>D1946-E1946</f>
        <v/>
      </c>
    </row>
    <row r="1947" ht="15" customHeight="1" s="47">
      <c r="C1947" t="inlineStr">
        <is>
          <t>HoPI%</t>
        </is>
      </c>
      <c r="D1947" s="31" t="n">
        <v>0</v>
      </c>
      <c r="E1947" s="31" t="n">
        <v>0</v>
      </c>
      <c r="F1947" s="31">
        <f>D1947-E1947</f>
        <v/>
      </c>
    </row>
    <row r="1948" ht="15" customHeight="1" s="47">
      <c r="C1948" t="inlineStr">
        <is>
          <t>Hispanic%</t>
        </is>
      </c>
      <c r="D1948" s="31" t="n">
        <v>0.01714285714285714</v>
      </c>
      <c r="E1948" s="31" t="n">
        <v>0.02811663195477537</v>
      </c>
      <c r="F1948" s="31">
        <f>D1948-E1948</f>
        <v/>
      </c>
    </row>
    <row r="1949">
      <c r="B1949" t="inlineStr">
        <is>
          <t>Youngstown-Warren-Boardman, OH-PA</t>
        </is>
      </c>
      <c r="C1949" t="inlineStr">
        <is>
          <t>Loans</t>
        </is>
      </c>
      <c r="D1949" t="n">
        <v>350</v>
      </c>
      <c r="E1949" t="n">
        <v>6722</v>
      </c>
    </row>
    <row r="1950" ht="15" customHeight="1" s="47">
      <c r="C1950" t="inlineStr">
        <is>
          <t>LMICT%</t>
        </is>
      </c>
      <c r="D1950" s="31" t="n">
        <v>0.3035714285714285</v>
      </c>
      <c r="E1950" s="31" t="n">
        <v>0.2911534154535274</v>
      </c>
      <c r="F1950" s="31">
        <f>D1950-E1950</f>
        <v/>
      </c>
    </row>
    <row r="1951" ht="15" customHeight="1" s="47">
      <c r="C1951" t="inlineStr">
        <is>
          <t>LMIB%</t>
        </is>
      </c>
      <c r="D1951" s="31" t="n">
        <v>0.4642857142857143</v>
      </c>
      <c r="E1951" s="31" t="n">
        <v>0.3762597984322508</v>
      </c>
      <c r="F1951" s="31">
        <f>D1951-E1951</f>
        <v/>
      </c>
    </row>
    <row r="1952" ht="15" customHeight="1" s="47">
      <c r="C1952" t="inlineStr">
        <is>
          <t>LMIB$</t>
        </is>
      </c>
      <c r="D1952" s="50" t="n">
        <v>3400000</v>
      </c>
      <c r="E1952" s="50" t="n">
        <v>43230000</v>
      </c>
      <c r="F1952" s="49" t="n"/>
    </row>
    <row r="1953" ht="15" customHeight="1" s="47">
      <c r="C1953" t="inlineStr">
        <is>
          <t>MMCT%</t>
        </is>
      </c>
      <c r="D1953" s="31" t="n">
        <v>0</v>
      </c>
      <c r="E1953" s="31" t="n">
        <v>0</v>
      </c>
      <c r="F1953" s="31">
        <f>D1953-E1953</f>
        <v/>
      </c>
    </row>
    <row r="1954" ht="15" customHeight="1" s="47">
      <c r="C1954" t="inlineStr">
        <is>
          <t>MINB%</t>
        </is>
      </c>
      <c r="D1954" s="31" t="n">
        <v>0</v>
      </c>
      <c r="E1954" s="31" t="n">
        <v>0.01455767077267637</v>
      </c>
      <c r="F1954" s="31">
        <f>D1954-E1954</f>
        <v/>
      </c>
    </row>
    <row r="1955" ht="15" customHeight="1" s="47">
      <c r="C1955" t="inlineStr">
        <is>
          <t>Asian%</t>
        </is>
      </c>
      <c r="D1955" s="31" t="n">
        <v>0</v>
      </c>
      <c r="E1955" s="31" t="n">
        <v>0</v>
      </c>
      <c r="F1955" s="31">
        <f>D1955-E1955</f>
        <v/>
      </c>
    </row>
    <row r="1956" ht="15" customHeight="1" s="47">
      <c r="C1956" t="inlineStr">
        <is>
          <t>Black%</t>
        </is>
      </c>
      <c r="D1956" s="31" t="n">
        <v>0</v>
      </c>
      <c r="E1956" s="31" t="n">
        <v>0</v>
      </c>
      <c r="F1956" s="31">
        <f>D1956-E1956</f>
        <v/>
      </c>
    </row>
    <row r="1957" ht="15" customHeight="1" s="47">
      <c r="C1957" t="inlineStr">
        <is>
          <t>Native American%</t>
        </is>
      </c>
      <c r="D1957" s="31" t="n">
        <v>0</v>
      </c>
      <c r="E1957" s="31" t="n">
        <v>0</v>
      </c>
      <c r="F1957" s="31">
        <f>D1957-E1957</f>
        <v/>
      </c>
    </row>
    <row r="1958" ht="15" customHeight="1" s="47">
      <c r="C1958" t="inlineStr">
        <is>
          <t>HoPI%</t>
        </is>
      </c>
      <c r="D1958" s="31" t="n">
        <v>0</v>
      </c>
      <c r="E1958" s="31" t="n">
        <v>0</v>
      </c>
      <c r="F1958" s="31">
        <f>D1958-E1958</f>
        <v/>
      </c>
    </row>
    <row r="1959" ht="15" customHeight="1" s="47">
      <c r="C1959" t="inlineStr">
        <is>
          <t>Hispanic%</t>
        </is>
      </c>
      <c r="D1959" s="31" t="n">
        <v>0</v>
      </c>
      <c r="E1959" s="31" t="n">
        <v>0.01455767077267637</v>
      </c>
      <c r="F1959" s="31">
        <f>D1959-E1959</f>
        <v/>
      </c>
    </row>
    <row r="1960">
      <c r="B1960" t="inlineStr">
        <is>
          <t>Ohio Non-MSA</t>
        </is>
      </c>
      <c r="C1960" t="inlineStr">
        <is>
          <t>Loans</t>
        </is>
      </c>
      <c r="D1960" t="n">
        <v>56</v>
      </c>
      <c r="E1960" t="n">
        <v>893</v>
      </c>
    </row>
    <row r="1961" ht="15" customHeight="1" s="47">
      <c r="C1961" t="inlineStr">
        <is>
          <t>LMICT%</t>
        </is>
      </c>
      <c r="D1961" s="31" t="n">
        <v>0.182</v>
      </c>
      <c r="E1961" s="31" t="n">
        <v>0.2020660291756823</v>
      </c>
      <c r="F1961" s="31">
        <f>D1961-E1961</f>
        <v/>
      </c>
    </row>
    <row r="1962" ht="15" customHeight="1" s="47">
      <c r="C1962" t="inlineStr">
        <is>
          <t>LMIB%</t>
        </is>
      </c>
      <c r="D1962" s="31" t="n">
        <v>0.3459999999999999</v>
      </c>
      <c r="E1962" s="31" t="n">
        <v>0.3609269211977386</v>
      </c>
      <c r="F1962" s="31">
        <f>D1962-E1962</f>
        <v/>
      </c>
    </row>
    <row r="1963" ht="15" customHeight="1" s="47">
      <c r="C1963" t="inlineStr">
        <is>
          <t>LMIB$</t>
        </is>
      </c>
      <c r="D1963" s="50" t="n">
        <v>28805000</v>
      </c>
      <c r="E1963" s="50" t="n">
        <v>980865000</v>
      </c>
      <c r="F1963" s="49" t="n"/>
    </row>
    <row r="1964" ht="15" customHeight="1" s="47">
      <c r="C1964" t="inlineStr">
        <is>
          <t>MMCT%</t>
        </is>
      </c>
      <c r="D1964" s="31" t="n">
        <v>0.09</v>
      </c>
      <c r="E1964" s="31" t="n">
        <v>0.1045578278774342</v>
      </c>
      <c r="F1964" s="31">
        <f>D1964-E1964</f>
        <v/>
      </c>
    </row>
    <row r="1965" ht="15" customHeight="1" s="47">
      <c r="C1965" t="inlineStr">
        <is>
          <t>MINB%</t>
        </is>
      </c>
      <c r="D1965" s="31" t="n">
        <v>0.13</v>
      </c>
      <c r="E1965" s="31" t="n">
        <v>0.1855936343965938</v>
      </c>
      <c r="F1965" s="31">
        <f>D1965-E1965</f>
        <v/>
      </c>
    </row>
    <row r="1966" ht="15" customHeight="1" s="47">
      <c r="C1966" t="inlineStr">
        <is>
          <t>Asian%</t>
        </is>
      </c>
      <c r="D1966" s="31" t="n">
        <v>0</v>
      </c>
      <c r="E1966" s="31" t="n">
        <v>0</v>
      </c>
      <c r="F1966" s="31">
        <f>D1966-E1966</f>
        <v/>
      </c>
    </row>
    <row r="1967" ht="15" customHeight="1" s="47">
      <c r="C1967" t="inlineStr">
        <is>
          <t>Black%</t>
        </is>
      </c>
      <c r="D1967" s="31" t="n">
        <v>0</v>
      </c>
      <c r="E1967" s="31" t="n">
        <v>0</v>
      </c>
      <c r="F1967" s="31">
        <f>D1967-E1967</f>
        <v/>
      </c>
    </row>
    <row r="1968" ht="15" customHeight="1" s="47">
      <c r="C1968" t="inlineStr">
        <is>
          <t>Native American%</t>
        </is>
      </c>
      <c r="D1968" s="31" t="n">
        <v>0</v>
      </c>
      <c r="E1968" s="31" t="n">
        <v>0</v>
      </c>
      <c r="F1968" s="31">
        <f>D1968-E1968</f>
        <v/>
      </c>
    </row>
    <row r="1969" ht="15" customHeight="1" s="47">
      <c r="C1969" t="inlineStr">
        <is>
          <t>HoPI%</t>
        </is>
      </c>
      <c r="D1969" s="31" t="n">
        <v>0</v>
      </c>
      <c r="E1969" s="31" t="n">
        <v>0</v>
      </c>
      <c r="F1969" s="31">
        <f>D1969-E1969</f>
        <v/>
      </c>
    </row>
    <row r="1970" ht="15" customHeight="1" s="47">
      <c r="C1970" t="inlineStr">
        <is>
          <t>Hispanic%</t>
        </is>
      </c>
      <c r="D1970" s="31" t="n">
        <v>0.13</v>
      </c>
      <c r="E1970" s="31" t="n">
        <v>0.1855936343965938</v>
      </c>
      <c r="F1970" s="31">
        <f>D1970-E1970</f>
        <v/>
      </c>
    </row>
    <row r="1971">
      <c r="A1971" t="inlineStr">
        <is>
          <t>Pennsylvania</t>
        </is>
      </c>
      <c r="B1971" t="inlineStr">
        <is>
          <t>Allentown-Bethlehem-Easton, PA-NJ</t>
        </is>
      </c>
      <c r="C1971" t="inlineStr">
        <is>
          <t>Loans</t>
        </is>
      </c>
      <c r="D1971" t="n">
        <v>500</v>
      </c>
      <c r="E1971" t="n">
        <v>14327</v>
      </c>
    </row>
    <row r="1972" ht="15" customHeight="1" s="47">
      <c r="C1972" t="inlineStr">
        <is>
          <t>LMICT%</t>
        </is>
      </c>
      <c r="D1972" s="31" t="n">
        <v>0.1578947368421053</v>
      </c>
      <c r="E1972" s="31" t="n">
        <v>0.1252236135957066</v>
      </c>
      <c r="F1972" s="31">
        <f>D1972-E1972</f>
        <v/>
      </c>
    </row>
    <row r="1973" ht="15" customHeight="1" s="47">
      <c r="C1973" t="inlineStr">
        <is>
          <t>LMIB%</t>
        </is>
      </c>
      <c r="D1973" s="31" t="n">
        <v>0.5263157894736842</v>
      </c>
      <c r="E1973" s="31" t="n">
        <v>0.3828264758497317</v>
      </c>
      <c r="F1973" s="31">
        <f>D1973-E1973</f>
        <v/>
      </c>
    </row>
    <row r="1974" ht="15" customHeight="1" s="47">
      <c r="C1974" t="inlineStr">
        <is>
          <t>LMIB$</t>
        </is>
      </c>
      <c r="D1974" s="50" t="n">
        <v>1420000</v>
      </c>
      <c r="E1974" s="50" t="n">
        <v>25820000</v>
      </c>
      <c r="F1974" s="49" t="n"/>
    </row>
    <row r="1975" ht="15" customHeight="1" s="47">
      <c r="C1975" t="inlineStr">
        <is>
          <t>MMCT%</t>
        </is>
      </c>
      <c r="D1975" s="31" t="n">
        <v>0</v>
      </c>
      <c r="E1975" s="31" t="n">
        <v>0</v>
      </c>
      <c r="F1975" s="31">
        <f>D1975-E1975</f>
        <v/>
      </c>
    </row>
    <row r="1976" ht="15" customHeight="1" s="47">
      <c r="C1976" t="inlineStr">
        <is>
          <t>MINB%</t>
        </is>
      </c>
      <c r="D1976" s="31" t="n">
        <v>0</v>
      </c>
      <c r="E1976" s="31" t="n">
        <v>0.02504472271914132</v>
      </c>
      <c r="F1976" s="31">
        <f>D1976-E1976</f>
        <v/>
      </c>
    </row>
    <row r="1977" ht="15" customHeight="1" s="47">
      <c r="C1977" t="inlineStr">
        <is>
          <t>Asian%</t>
        </is>
      </c>
      <c r="D1977" s="31" t="n">
        <v>0</v>
      </c>
      <c r="E1977" s="31" t="n">
        <v>0</v>
      </c>
      <c r="F1977" s="31">
        <f>D1977-E1977</f>
        <v/>
      </c>
    </row>
    <row r="1978" ht="15" customHeight="1" s="47">
      <c r="C1978" t="inlineStr">
        <is>
          <t>Black%</t>
        </is>
      </c>
      <c r="D1978" s="31" t="n">
        <v>0</v>
      </c>
      <c r="E1978" s="31" t="n">
        <v>0</v>
      </c>
      <c r="F1978" s="31">
        <f>D1978-E1978</f>
        <v/>
      </c>
    </row>
    <row r="1979" ht="15" customHeight="1" s="47">
      <c r="C1979" t="inlineStr">
        <is>
          <t>Native American%</t>
        </is>
      </c>
      <c r="D1979" s="31" t="n">
        <v>0</v>
      </c>
      <c r="E1979" s="31" t="n">
        <v>0</v>
      </c>
      <c r="F1979" s="31">
        <f>D1979-E1979</f>
        <v/>
      </c>
    </row>
    <row r="1980" ht="15" customHeight="1" s="47">
      <c r="C1980" t="inlineStr">
        <is>
          <t>HoPI%</t>
        </is>
      </c>
      <c r="D1980" s="31" t="n">
        <v>0</v>
      </c>
      <c r="E1980" s="31" t="n">
        <v>0</v>
      </c>
      <c r="F1980" s="31">
        <f>D1980-E1980</f>
        <v/>
      </c>
    </row>
    <row r="1981" ht="15" customHeight="1" s="47">
      <c r="C1981" t="inlineStr">
        <is>
          <t>Hispanic%</t>
        </is>
      </c>
      <c r="D1981" s="31" t="n">
        <v>0</v>
      </c>
      <c r="E1981" s="31" t="n">
        <v>0.02504472271914132</v>
      </c>
      <c r="F1981" s="31">
        <f>D1981-E1981</f>
        <v/>
      </c>
    </row>
    <row r="1982">
      <c r="B1982" t="inlineStr">
        <is>
          <t>Altoona, PA</t>
        </is>
      </c>
      <c r="C1982" t="inlineStr">
        <is>
          <t>Loans</t>
        </is>
      </c>
      <c r="D1982" t="n">
        <v>19</v>
      </c>
      <c r="E1982" t="n">
        <v>559</v>
      </c>
    </row>
    <row r="1983" ht="15" customHeight="1" s="47">
      <c r="C1983" t="inlineStr">
        <is>
          <t>LMICT%</t>
        </is>
      </c>
      <c r="D1983" s="31" t="n">
        <v>0.1818181818181818</v>
      </c>
      <c r="E1983" s="31" t="n">
        <v>0.1764705882352941</v>
      </c>
      <c r="F1983" s="31">
        <f>D1983-E1983</f>
        <v/>
      </c>
    </row>
    <row r="1984" ht="15" customHeight="1" s="47">
      <c r="C1984" t="inlineStr">
        <is>
          <t>LMIB%</t>
        </is>
      </c>
      <c r="D1984" s="31" t="n">
        <v>0.2121212121212121</v>
      </c>
      <c r="E1984" s="31" t="n">
        <v>0.3861236802413274</v>
      </c>
      <c r="F1984" s="31">
        <f>D1984-E1984</f>
        <v/>
      </c>
    </row>
    <row r="1985" ht="15" customHeight="1" s="47">
      <c r="C1985" t="inlineStr">
        <is>
          <t>LMIB$</t>
        </is>
      </c>
      <c r="D1985" s="50" t="n">
        <v>1075000</v>
      </c>
      <c r="E1985" s="50" t="n">
        <v>35860000</v>
      </c>
      <c r="F1985" s="49" t="n"/>
    </row>
    <row r="1986" ht="15" customHeight="1" s="47">
      <c r="C1986" t="inlineStr">
        <is>
          <t>MMCT%</t>
        </is>
      </c>
      <c r="D1986" s="31" t="n">
        <v>0</v>
      </c>
      <c r="E1986" s="31" t="n">
        <v>0</v>
      </c>
      <c r="F1986" s="31">
        <f>D1986-E1986</f>
        <v/>
      </c>
    </row>
    <row r="1987" ht="15" customHeight="1" s="47">
      <c r="C1987" t="inlineStr">
        <is>
          <t>MINB%</t>
        </is>
      </c>
      <c r="D1987" s="31" t="n">
        <v>0.09090909090909091</v>
      </c>
      <c r="E1987" s="31" t="n">
        <v>0.05580693815987934</v>
      </c>
      <c r="F1987" s="31">
        <f>D1987-E1987</f>
        <v/>
      </c>
    </row>
    <row r="1988" ht="15" customHeight="1" s="47">
      <c r="C1988" t="inlineStr">
        <is>
          <t>Asian%</t>
        </is>
      </c>
      <c r="D1988" s="31" t="n">
        <v>0</v>
      </c>
      <c r="E1988" s="31" t="n">
        <v>0</v>
      </c>
      <c r="F1988" s="31">
        <f>D1988-E1988</f>
        <v/>
      </c>
    </row>
    <row r="1989" ht="15" customHeight="1" s="47">
      <c r="C1989" t="inlineStr">
        <is>
          <t>Black%</t>
        </is>
      </c>
      <c r="D1989" s="31" t="n">
        <v>0</v>
      </c>
      <c r="E1989" s="31" t="n">
        <v>0</v>
      </c>
      <c r="F1989" s="31">
        <f>D1989-E1989</f>
        <v/>
      </c>
    </row>
    <row r="1990" ht="15" customHeight="1" s="47">
      <c r="C1990" t="inlineStr">
        <is>
          <t>Native American%</t>
        </is>
      </c>
      <c r="D1990" s="31" t="n">
        <v>0</v>
      </c>
      <c r="E1990" s="31" t="n">
        <v>0</v>
      </c>
      <c r="F1990" s="31">
        <f>D1990-E1990</f>
        <v/>
      </c>
    </row>
    <row r="1991" ht="15" customHeight="1" s="47">
      <c r="C1991" t="inlineStr">
        <is>
          <t>HoPI%</t>
        </is>
      </c>
      <c r="D1991" s="31" t="n">
        <v>0</v>
      </c>
      <c r="E1991" s="31" t="n">
        <v>0</v>
      </c>
      <c r="F1991" s="31">
        <f>D1991-E1991</f>
        <v/>
      </c>
    </row>
    <row r="1992" ht="15" customHeight="1" s="47">
      <c r="C1992" t="inlineStr">
        <is>
          <t>Hispanic%</t>
        </is>
      </c>
      <c r="D1992" s="31" t="n">
        <v>0.09090909090909091</v>
      </c>
      <c r="E1992" s="31" t="n">
        <v>0.05580693815987934</v>
      </c>
      <c r="F1992" s="31">
        <f>D1992-E1992</f>
        <v/>
      </c>
    </row>
    <row r="1993">
      <c r="B1993" t="inlineStr">
        <is>
          <t>Bloomsburg-Berwick, PA</t>
        </is>
      </c>
      <c r="C1993" t="inlineStr">
        <is>
          <t>Loans</t>
        </is>
      </c>
      <c r="D1993" t="n">
        <v>33</v>
      </c>
      <c r="E1993" t="n">
        <v>663</v>
      </c>
    </row>
    <row r="1994" ht="15" customHeight="1" s="47">
      <c r="C1994" t="inlineStr">
        <is>
          <t>LMICT%</t>
        </is>
      </c>
      <c r="D1994" s="31" t="n">
        <v>0.103448275862069</v>
      </c>
      <c r="E1994" s="31" t="n">
        <v>0.07352941176470588</v>
      </c>
      <c r="F1994" s="31">
        <f>D1994-E1994</f>
        <v/>
      </c>
    </row>
    <row r="1995" ht="15" customHeight="1" s="47">
      <c r="C1995" t="inlineStr">
        <is>
          <t>LMIB%</t>
        </is>
      </c>
      <c r="D1995" s="31" t="n">
        <v>0.3103448275862069</v>
      </c>
      <c r="E1995" s="31" t="n">
        <v>0.3823529411764706</v>
      </c>
      <c r="F1995" s="31">
        <f>D1995-E1995</f>
        <v/>
      </c>
    </row>
    <row r="1996" ht="15" customHeight="1" s="47">
      <c r="C1996" t="inlineStr">
        <is>
          <t>LMIB$</t>
        </is>
      </c>
      <c r="D1996" s="50" t="n">
        <v>795000</v>
      </c>
      <c r="E1996" s="50" t="n">
        <v>5180000</v>
      </c>
      <c r="F1996" s="49" t="n"/>
    </row>
    <row r="1997" ht="15" customHeight="1" s="47">
      <c r="C1997" t="inlineStr">
        <is>
          <t>MMCT%</t>
        </is>
      </c>
      <c r="D1997" s="31" t="n">
        <v>0</v>
      </c>
      <c r="E1997" s="31" t="n">
        <v>0</v>
      </c>
      <c r="F1997" s="31">
        <f>D1997-E1997</f>
        <v/>
      </c>
    </row>
    <row r="1998" ht="15" customHeight="1" s="47">
      <c r="C1998" t="inlineStr">
        <is>
          <t>MINB%</t>
        </is>
      </c>
      <c r="D1998" s="31" t="n">
        <v>0</v>
      </c>
      <c r="E1998" s="31" t="n">
        <v>0.02941176470588235</v>
      </c>
      <c r="F1998" s="31">
        <f>D1998-E1998</f>
        <v/>
      </c>
    </row>
    <row r="1999" ht="15" customHeight="1" s="47">
      <c r="C1999" t="inlineStr">
        <is>
          <t>Asian%</t>
        </is>
      </c>
      <c r="D1999" s="31" t="n">
        <v>0</v>
      </c>
      <c r="E1999" s="31" t="n">
        <v>0</v>
      </c>
      <c r="F1999" s="31">
        <f>D1999-E1999</f>
        <v/>
      </c>
    </row>
    <row r="2000" ht="15" customHeight="1" s="47">
      <c r="C2000" t="inlineStr">
        <is>
          <t>Black%</t>
        </is>
      </c>
      <c r="D2000" s="31" t="n">
        <v>0</v>
      </c>
      <c r="E2000" s="31" t="n">
        <v>0</v>
      </c>
      <c r="F2000" s="31">
        <f>D2000-E2000</f>
        <v/>
      </c>
    </row>
    <row r="2001" ht="15" customHeight="1" s="47">
      <c r="C2001" t="inlineStr">
        <is>
          <t>Native American%</t>
        </is>
      </c>
      <c r="D2001" s="31" t="n">
        <v>0</v>
      </c>
      <c r="E2001" s="31" t="n">
        <v>0</v>
      </c>
      <c r="F2001" s="31">
        <f>D2001-E2001</f>
        <v/>
      </c>
    </row>
    <row r="2002" ht="15" customHeight="1" s="47">
      <c r="C2002" t="inlineStr">
        <is>
          <t>HoPI%</t>
        </is>
      </c>
      <c r="D2002" s="31" t="n">
        <v>0</v>
      </c>
      <c r="E2002" s="31" t="n">
        <v>0</v>
      </c>
      <c r="F2002" s="31">
        <f>D2002-E2002</f>
        <v/>
      </c>
    </row>
    <row r="2003" ht="15" customHeight="1" s="47">
      <c r="C2003" t="inlineStr">
        <is>
          <t>Hispanic%</t>
        </is>
      </c>
      <c r="D2003" s="31" t="n">
        <v>0</v>
      </c>
      <c r="E2003" s="31" t="n">
        <v>0.02941176470588235</v>
      </c>
      <c r="F2003" s="31">
        <f>D2003-E2003</f>
        <v/>
      </c>
    </row>
    <row r="2004">
      <c r="B2004" t="inlineStr">
        <is>
          <t>Pennsylvania Non-MSA</t>
        </is>
      </c>
      <c r="C2004" t="inlineStr">
        <is>
          <t>Loans</t>
        </is>
      </c>
      <c r="D2004" t="n">
        <v>29</v>
      </c>
      <c r="E2004" t="n">
        <v>136</v>
      </c>
    </row>
    <row r="2005" ht="15" customHeight="1" s="47">
      <c r="C2005" t="inlineStr">
        <is>
          <t>LMICT%</t>
        </is>
      </c>
      <c r="D2005" s="31" t="n">
        <v>0</v>
      </c>
      <c r="E2005" s="31" t="n">
        <v>0.1196581196581197</v>
      </c>
      <c r="F2005" s="31">
        <f>D2005-E2005</f>
        <v/>
      </c>
    </row>
    <row r="2006" ht="15" customHeight="1" s="47">
      <c r="C2006" t="inlineStr">
        <is>
          <t>LMIB%</t>
        </is>
      </c>
      <c r="D2006" s="31" t="n">
        <v>0.2727272727272727</v>
      </c>
      <c r="E2006" s="31" t="n">
        <v>0.4017094017094017</v>
      </c>
      <c r="F2006" s="31">
        <f>D2006-E2006</f>
        <v/>
      </c>
    </row>
    <row r="2007" ht="15" customHeight="1" s="47">
      <c r="C2007" t="inlineStr">
        <is>
          <t>LMIB$</t>
        </is>
      </c>
      <c r="D2007" s="50" t="n">
        <v>1055000</v>
      </c>
      <c r="E2007" s="50" t="n">
        <v>29720000</v>
      </c>
      <c r="F2007" s="49" t="n"/>
    </row>
    <row r="2008" ht="15" customHeight="1" s="47">
      <c r="C2008" t="inlineStr">
        <is>
          <t>MMCT%</t>
        </is>
      </c>
      <c r="D2008" s="31" t="n">
        <v>0</v>
      </c>
      <c r="E2008" s="31" t="n">
        <v>0</v>
      </c>
      <c r="F2008" s="31">
        <f>D2008-E2008</f>
        <v/>
      </c>
    </row>
    <row r="2009" ht="15" customHeight="1" s="47">
      <c r="C2009" t="inlineStr">
        <is>
          <t>MINB%</t>
        </is>
      </c>
      <c r="D2009" s="31" t="n">
        <v>0.0303030303030303</v>
      </c>
      <c r="E2009" s="31" t="n">
        <v>0.0113960113960114</v>
      </c>
      <c r="F2009" s="31">
        <f>D2009-E2009</f>
        <v/>
      </c>
    </row>
    <row r="2010" ht="15" customHeight="1" s="47">
      <c r="C2010" t="inlineStr">
        <is>
          <t>Asian%</t>
        </is>
      </c>
      <c r="D2010" s="31" t="n">
        <v>0</v>
      </c>
      <c r="E2010" s="31" t="n">
        <v>0</v>
      </c>
      <c r="F2010" s="31">
        <f>D2010-E2010</f>
        <v/>
      </c>
    </row>
    <row r="2011" ht="15" customHeight="1" s="47">
      <c r="C2011" t="inlineStr">
        <is>
          <t>Black%</t>
        </is>
      </c>
      <c r="D2011" s="31" t="n">
        <v>0</v>
      </c>
      <c r="E2011" s="31" t="n">
        <v>0</v>
      </c>
      <c r="F2011" s="31">
        <f>D2011-E2011</f>
        <v/>
      </c>
    </row>
    <row r="2012" ht="15" customHeight="1" s="47">
      <c r="C2012" t="inlineStr">
        <is>
          <t>Native American%</t>
        </is>
      </c>
      <c r="D2012" s="31" t="n">
        <v>0</v>
      </c>
      <c r="E2012" s="31" t="n">
        <v>0</v>
      </c>
      <c r="F2012" s="31">
        <f>D2012-E2012</f>
        <v/>
      </c>
    </row>
    <row r="2013" ht="15" customHeight="1" s="47">
      <c r="C2013" t="inlineStr">
        <is>
          <t>HoPI%</t>
        </is>
      </c>
      <c r="D2013" s="31" t="n">
        <v>0</v>
      </c>
      <c r="E2013" s="31" t="n">
        <v>0</v>
      </c>
      <c r="F2013" s="31">
        <f>D2013-E2013</f>
        <v/>
      </c>
    </row>
    <row r="2014" ht="15" customHeight="1" s="47">
      <c r="C2014" t="inlineStr">
        <is>
          <t>Hispanic%</t>
        </is>
      </c>
      <c r="D2014" s="31" t="n">
        <v>0.0303030303030303</v>
      </c>
      <c r="E2014" s="31" t="n">
        <v>0.0113960113960114</v>
      </c>
      <c r="F2014" s="31">
        <f>D2014-E2014</f>
        <v/>
      </c>
    </row>
    <row r="2015">
      <c r="B2015" t="inlineStr">
        <is>
          <t>Pennsylvania Non-MSA</t>
        </is>
      </c>
      <c r="C2015" t="inlineStr">
        <is>
          <t>Loans</t>
        </is>
      </c>
      <c r="D2015" t="n">
        <v>33</v>
      </c>
      <c r="E2015" t="n">
        <v>702</v>
      </c>
    </row>
    <row r="2016" ht="15" customHeight="1" s="47">
      <c r="C2016" t="inlineStr">
        <is>
          <t>LMICT%</t>
        </is>
      </c>
      <c r="D2016" s="31" t="n">
        <v>0.07857142857142857</v>
      </c>
      <c r="E2016" s="31" t="n">
        <v>0.07711442786069651</v>
      </c>
      <c r="F2016" s="31">
        <f>D2016-E2016</f>
        <v/>
      </c>
    </row>
    <row r="2017" ht="15" customHeight="1" s="47">
      <c r="C2017" t="inlineStr">
        <is>
          <t>LMIB%</t>
        </is>
      </c>
      <c r="D2017" s="31" t="n">
        <v>0.3214285714285715</v>
      </c>
      <c r="E2017" s="31" t="n">
        <v>0.314365671641791</v>
      </c>
      <c r="F2017" s="31">
        <f>D2017-E2017</f>
        <v/>
      </c>
    </row>
    <row r="2018" ht="15" customHeight="1" s="47">
      <c r="C2018" t="inlineStr">
        <is>
          <t>LMIB$</t>
        </is>
      </c>
      <c r="D2018" s="50" t="n">
        <v>6685000</v>
      </c>
      <c r="E2018" s="50" t="n">
        <v>188205000</v>
      </c>
      <c r="F2018" s="49" t="n"/>
    </row>
    <row r="2019" ht="15" customHeight="1" s="47">
      <c r="C2019" t="inlineStr">
        <is>
          <t>MMCT%</t>
        </is>
      </c>
      <c r="D2019" s="31" t="n">
        <v>0.1428571428571428</v>
      </c>
      <c r="E2019" s="31" t="n">
        <v>0.1756840796019901</v>
      </c>
      <c r="F2019" s="31">
        <f>D2019-E2019</f>
        <v/>
      </c>
    </row>
    <row r="2020" ht="15" customHeight="1" s="47">
      <c r="C2020" t="inlineStr">
        <is>
          <t>MINB%</t>
        </is>
      </c>
      <c r="D2020" s="31" t="n">
        <v>0.1214285714285714</v>
      </c>
      <c r="E2020" s="31" t="n">
        <v>0.1778606965174129</v>
      </c>
      <c r="F2020" s="31">
        <f>D2020-E2020</f>
        <v/>
      </c>
    </row>
    <row r="2021" ht="15" customHeight="1" s="47">
      <c r="C2021" t="inlineStr">
        <is>
          <t>Asian%</t>
        </is>
      </c>
      <c r="D2021" s="31" t="n">
        <v>0</v>
      </c>
      <c r="E2021" s="31" t="n">
        <v>0</v>
      </c>
      <c r="F2021" s="31">
        <f>D2021-E2021</f>
        <v/>
      </c>
    </row>
    <row r="2022" ht="15" customHeight="1" s="47">
      <c r="C2022" t="inlineStr">
        <is>
          <t>Black%</t>
        </is>
      </c>
      <c r="D2022" s="31" t="n">
        <v>0</v>
      </c>
      <c r="E2022" s="31" t="n">
        <v>0</v>
      </c>
      <c r="F2022" s="31">
        <f>D2022-E2022</f>
        <v/>
      </c>
    </row>
    <row r="2023" ht="15" customHeight="1" s="47">
      <c r="C2023" t="inlineStr">
        <is>
          <t>Native American%</t>
        </is>
      </c>
      <c r="D2023" s="31" t="n">
        <v>0</v>
      </c>
      <c r="E2023" s="31" t="n">
        <v>0</v>
      </c>
      <c r="F2023" s="31">
        <f>D2023-E2023</f>
        <v/>
      </c>
    </row>
    <row r="2024" ht="15" customHeight="1" s="47">
      <c r="C2024" t="inlineStr">
        <is>
          <t>HoPI%</t>
        </is>
      </c>
      <c r="D2024" s="31" t="n">
        <v>0</v>
      </c>
      <c r="E2024" s="31" t="n">
        <v>0</v>
      </c>
      <c r="F2024" s="31">
        <f>D2024-E2024</f>
        <v/>
      </c>
    </row>
    <row r="2025" ht="15" customHeight="1" s="47">
      <c r="C2025" t="inlineStr">
        <is>
          <t>Hispanic%</t>
        </is>
      </c>
      <c r="D2025" s="31" t="n">
        <v>0.1214285714285714</v>
      </c>
      <c r="E2025" s="31" t="n">
        <v>0.1778606965174129</v>
      </c>
      <c r="F2025" s="31">
        <f>D2025-E2025</f>
        <v/>
      </c>
    </row>
    <row r="2026">
      <c r="B2026" t="inlineStr">
        <is>
          <t>East Stroudsburg, PA</t>
        </is>
      </c>
      <c r="C2026" t="inlineStr">
        <is>
          <t>Loans</t>
        </is>
      </c>
      <c r="D2026" t="n">
        <v>140</v>
      </c>
      <c r="E2026" t="n">
        <v>3216</v>
      </c>
    </row>
    <row r="2027" ht="15" customHeight="1" s="47">
      <c r="C2027" t="inlineStr">
        <is>
          <t>LMICT%</t>
        </is>
      </c>
      <c r="D2027" s="31" t="n">
        <v>0.1299212598425197</v>
      </c>
      <c r="E2027" s="31" t="n">
        <v>0.1641345632121541</v>
      </c>
      <c r="F2027" s="31">
        <f>D2027-E2027</f>
        <v/>
      </c>
    </row>
    <row r="2028" ht="15" customHeight="1" s="47">
      <c r="C2028" t="inlineStr">
        <is>
          <t>LMIB%</t>
        </is>
      </c>
      <c r="D2028" s="31" t="n">
        <v>0.2913385826771653</v>
      </c>
      <c r="E2028" s="31" t="n">
        <v>0.4359739555073251</v>
      </c>
      <c r="F2028" s="31">
        <f>D2028-E2028</f>
        <v/>
      </c>
    </row>
    <row r="2029" ht="15" customHeight="1" s="47">
      <c r="C2029" t="inlineStr">
        <is>
          <t>LMIB$</t>
        </is>
      </c>
      <c r="D2029" s="50" t="n">
        <v>7900000</v>
      </c>
      <c r="E2029" s="50" t="n">
        <v>191325000</v>
      </c>
      <c r="F2029" s="31" t="n"/>
    </row>
    <row r="2030" ht="15" customHeight="1" s="47">
      <c r="C2030" t="inlineStr">
        <is>
          <t>MMCT%</t>
        </is>
      </c>
      <c r="D2030" s="31" t="n">
        <v>0.01574803149606299</v>
      </c>
      <c r="E2030" s="31" t="n">
        <v>0.01682040151926207</v>
      </c>
      <c r="F2030" s="31">
        <f>D2030-E2030</f>
        <v/>
      </c>
    </row>
    <row r="2031" ht="15" customHeight="1" s="47">
      <c r="C2031" t="inlineStr">
        <is>
          <t>MINB%</t>
        </is>
      </c>
      <c r="D2031" s="31" t="n">
        <v>0.02362204724409449</v>
      </c>
      <c r="E2031" s="31" t="n">
        <v>0.03689636462289745</v>
      </c>
      <c r="F2031" s="31">
        <f>D2031-E2031</f>
        <v/>
      </c>
    </row>
    <row r="2032" ht="15" customHeight="1" s="47">
      <c r="C2032" t="inlineStr">
        <is>
          <t>Asian%</t>
        </is>
      </c>
      <c r="D2032" s="31" t="n">
        <v>0</v>
      </c>
      <c r="E2032" s="31" t="n">
        <v>0</v>
      </c>
      <c r="F2032" s="31">
        <f>D2032-E2032</f>
        <v/>
      </c>
    </row>
    <row r="2033" ht="15" customHeight="1" s="47">
      <c r="C2033" t="inlineStr">
        <is>
          <t>Black%</t>
        </is>
      </c>
      <c r="D2033" s="31" t="n">
        <v>0</v>
      </c>
      <c r="E2033" s="31" t="n">
        <v>0</v>
      </c>
      <c r="F2033" s="31">
        <f>D2033-E2033</f>
        <v/>
      </c>
    </row>
    <row r="2034" ht="15" customHeight="1" s="47">
      <c r="C2034" t="inlineStr">
        <is>
          <t>Native American%</t>
        </is>
      </c>
      <c r="D2034" s="31" t="n">
        <v>0</v>
      </c>
      <c r="E2034" s="31" t="n">
        <v>0</v>
      </c>
      <c r="F2034" s="31">
        <f>D2034-E2034</f>
        <v/>
      </c>
    </row>
    <row r="2035" ht="15" customHeight="1" s="47">
      <c r="C2035" t="inlineStr">
        <is>
          <t>HoPI%</t>
        </is>
      </c>
      <c r="D2035" s="31" t="n">
        <v>0</v>
      </c>
      <c r="E2035" s="31" t="n">
        <v>0</v>
      </c>
      <c r="F2035" s="31">
        <f>D2035-E2035</f>
        <v/>
      </c>
    </row>
    <row r="2036" ht="15" customHeight="1" s="47">
      <c r="C2036" t="inlineStr">
        <is>
          <t>Hispanic%</t>
        </is>
      </c>
      <c r="D2036" s="31" t="n">
        <v>0.02362204724409449</v>
      </c>
      <c r="E2036" s="31" t="n">
        <v>0.03689636462289745</v>
      </c>
      <c r="F2036" s="31">
        <f>D2036-E2036</f>
        <v/>
      </c>
    </row>
    <row r="2037">
      <c r="B2037" t="inlineStr">
        <is>
          <t>Erie, PA</t>
        </is>
      </c>
      <c r="C2037" t="inlineStr">
        <is>
          <t>Loans</t>
        </is>
      </c>
      <c r="D2037" t="n">
        <v>254</v>
      </c>
      <c r="E2037" t="n">
        <v>3686</v>
      </c>
    </row>
    <row r="2038" ht="15" customHeight="1" s="47">
      <c r="C2038" t="inlineStr">
        <is>
          <t>LMICT%</t>
        </is>
      </c>
      <c r="D2038" s="31" t="n">
        <v>0.1578947368421053</v>
      </c>
      <c r="E2038" s="31" t="n">
        <v>0.1480978260869565</v>
      </c>
      <c r="F2038" s="31">
        <f>D2038-E2038</f>
        <v/>
      </c>
    </row>
    <row r="2039" ht="15" customHeight="1" s="47">
      <c r="C2039" t="inlineStr">
        <is>
          <t>LMIB%</t>
        </is>
      </c>
      <c r="D2039" s="31" t="n">
        <v>0.3834586466165413</v>
      </c>
      <c r="E2039" s="31" t="n">
        <v>0.3428442028985507</v>
      </c>
      <c r="F2039" s="31">
        <f>D2039-E2039</f>
        <v/>
      </c>
    </row>
    <row r="2040" ht="15" customHeight="1" s="47">
      <c r="C2040" t="inlineStr">
        <is>
          <t>LMIB$</t>
        </is>
      </c>
      <c r="D2040" s="50" t="n">
        <v>8655000</v>
      </c>
      <c r="E2040" s="50" t="n">
        <v>138685000</v>
      </c>
      <c r="F2040" s="49" t="n"/>
    </row>
    <row r="2041" ht="15" customHeight="1" s="47">
      <c r="C2041" t="inlineStr">
        <is>
          <t>MMCT%</t>
        </is>
      </c>
      <c r="D2041" s="31" t="n">
        <v>0</v>
      </c>
      <c r="E2041" s="31" t="n">
        <v>0</v>
      </c>
      <c r="F2041" s="31">
        <f>D2041-E2041</f>
        <v/>
      </c>
    </row>
    <row r="2042" ht="15" customHeight="1" s="47">
      <c r="C2042" t="inlineStr">
        <is>
          <t>MINB%</t>
        </is>
      </c>
      <c r="D2042" s="31" t="n">
        <v>0.0225563909774436</v>
      </c>
      <c r="E2042" s="31" t="n">
        <v>0.03940217391304348</v>
      </c>
      <c r="F2042" s="31">
        <f>D2042-E2042</f>
        <v/>
      </c>
    </row>
    <row r="2043" ht="15" customHeight="1" s="47">
      <c r="C2043" t="inlineStr">
        <is>
          <t>Asian%</t>
        </is>
      </c>
      <c r="D2043" s="31" t="n">
        <v>0</v>
      </c>
      <c r="E2043" s="31" t="n">
        <v>0</v>
      </c>
      <c r="F2043" s="31">
        <f>D2043-E2043</f>
        <v/>
      </c>
    </row>
    <row r="2044" ht="15" customHeight="1" s="47">
      <c r="C2044" t="inlineStr">
        <is>
          <t>Black%</t>
        </is>
      </c>
      <c r="D2044" s="31" t="n">
        <v>0</v>
      </c>
      <c r="E2044" s="31" t="n">
        <v>0</v>
      </c>
      <c r="F2044" s="31">
        <f>D2044-E2044</f>
        <v/>
      </c>
    </row>
    <row r="2045" ht="15" customHeight="1" s="47">
      <c r="C2045" t="inlineStr">
        <is>
          <t>Native American%</t>
        </is>
      </c>
      <c r="D2045" s="31" t="n">
        <v>0</v>
      </c>
      <c r="E2045" s="31" t="n">
        <v>0</v>
      </c>
      <c r="F2045" s="31">
        <f>D2045-E2045</f>
        <v/>
      </c>
    </row>
    <row r="2046" ht="15" customHeight="1" s="47">
      <c r="C2046" t="inlineStr">
        <is>
          <t>HoPI%</t>
        </is>
      </c>
      <c r="D2046" s="31" t="n">
        <v>0</v>
      </c>
      <c r="E2046" s="31" t="n">
        <v>0</v>
      </c>
      <c r="F2046" s="31">
        <f>D2046-E2046</f>
        <v/>
      </c>
    </row>
    <row r="2047" ht="15" customHeight="1" s="47">
      <c r="C2047" t="inlineStr">
        <is>
          <t>Hispanic%</t>
        </is>
      </c>
      <c r="D2047" s="31" t="n">
        <v>0.0225563909774436</v>
      </c>
      <c r="E2047" s="31" t="n">
        <v>0.03940217391304348</v>
      </c>
      <c r="F2047" s="31">
        <f>D2047-E2047</f>
        <v/>
      </c>
    </row>
    <row r="2048">
      <c r="B2048" t="inlineStr">
        <is>
          <t>Gettysburg, PA</t>
        </is>
      </c>
      <c r="C2048" t="inlineStr">
        <is>
          <t>Loans</t>
        </is>
      </c>
      <c r="D2048" t="n">
        <v>133</v>
      </c>
      <c r="E2048" t="n">
        <v>2208</v>
      </c>
    </row>
    <row r="2049" ht="15" customHeight="1" s="47">
      <c r="C2049" t="inlineStr">
        <is>
          <t>LMICT%</t>
        </is>
      </c>
      <c r="D2049" s="31" t="n">
        <v>0.1277372262773723</v>
      </c>
      <c r="E2049" s="31" t="n">
        <v>0.1707118919467858</v>
      </c>
      <c r="F2049" s="31">
        <f>D2049-E2049</f>
        <v/>
      </c>
    </row>
    <row r="2050" ht="15" customHeight="1" s="47">
      <c r="C2050" t="inlineStr">
        <is>
          <t>LMIB%</t>
        </is>
      </c>
      <c r="D2050" s="31" t="n">
        <v>0.3613138686131387</v>
      </c>
      <c r="E2050" s="31" t="n">
        <v>0.4284553671168884</v>
      </c>
      <c r="F2050" s="31">
        <f>D2050-E2050</f>
        <v/>
      </c>
    </row>
    <row r="2051" ht="15" customHeight="1" s="47">
      <c r="C2051" t="inlineStr">
        <is>
          <t>LMIB$</t>
        </is>
      </c>
      <c r="D2051" s="50" t="n">
        <v>15395000</v>
      </c>
      <c r="E2051" s="50" t="n">
        <v>719705000</v>
      </c>
      <c r="F2051" s="49" t="n"/>
    </row>
    <row r="2052" ht="15" customHeight="1" s="47">
      <c r="C2052" t="inlineStr">
        <is>
          <t>MMCT%</t>
        </is>
      </c>
      <c r="D2052" s="31" t="n">
        <v>0.09124087591240876</v>
      </c>
      <c r="E2052" s="31" t="n">
        <v>0.09485122372296133</v>
      </c>
      <c r="F2052" s="31">
        <f>D2052-E2052</f>
        <v/>
      </c>
    </row>
    <row r="2053" ht="15" customHeight="1" s="47">
      <c r="C2053" t="inlineStr">
        <is>
          <t>MINB%</t>
        </is>
      </c>
      <c r="D2053" s="31" t="n">
        <v>0.06204379562043796</v>
      </c>
      <c r="E2053" s="31" t="n">
        <v>0.05829186554280492</v>
      </c>
      <c r="F2053" s="31">
        <f>D2053-E2053</f>
        <v/>
      </c>
    </row>
    <row r="2054" ht="15" customHeight="1" s="47">
      <c r="C2054" t="inlineStr">
        <is>
          <t>Asian%</t>
        </is>
      </c>
      <c r="D2054" s="31" t="n">
        <v>0</v>
      </c>
      <c r="E2054" s="31" t="n">
        <v>0</v>
      </c>
      <c r="F2054" s="31">
        <f>D2054-E2054</f>
        <v/>
      </c>
    </row>
    <row r="2055" ht="15" customHeight="1" s="47">
      <c r="C2055" t="inlineStr">
        <is>
          <t>Black%</t>
        </is>
      </c>
      <c r="D2055" s="31" t="n">
        <v>0</v>
      </c>
      <c r="E2055" s="31" t="n">
        <v>0</v>
      </c>
      <c r="F2055" s="31">
        <f>D2055-E2055</f>
        <v/>
      </c>
    </row>
    <row r="2056" ht="15" customHeight="1" s="47">
      <c r="C2056" t="inlineStr">
        <is>
          <t>Native American%</t>
        </is>
      </c>
      <c r="D2056" s="31" t="n">
        <v>0</v>
      </c>
      <c r="E2056" s="31" t="n">
        <v>0</v>
      </c>
      <c r="F2056" s="31">
        <f>D2056-E2056</f>
        <v/>
      </c>
    </row>
    <row r="2057" ht="15" customHeight="1" s="47">
      <c r="C2057" t="inlineStr">
        <is>
          <t>HoPI%</t>
        </is>
      </c>
      <c r="D2057" s="31" t="n">
        <v>0</v>
      </c>
      <c r="E2057" s="31" t="n">
        <v>0</v>
      </c>
      <c r="F2057" s="31">
        <f>D2057-E2057</f>
        <v/>
      </c>
    </row>
    <row r="2058" ht="15" customHeight="1" s="47">
      <c r="C2058" t="inlineStr">
        <is>
          <t>Hispanic%</t>
        </is>
      </c>
      <c r="D2058" s="31" t="n">
        <v>0.06204379562043796</v>
      </c>
      <c r="E2058" s="31" t="n">
        <v>0.05829186554280492</v>
      </c>
      <c r="F2058" s="31">
        <f>D2058-E2058</f>
        <v/>
      </c>
    </row>
    <row r="2059">
      <c r="B2059" t="inlineStr">
        <is>
          <t>Harrisburg-Carlisle, PA</t>
        </is>
      </c>
      <c r="C2059" t="inlineStr">
        <is>
          <t>Loans</t>
        </is>
      </c>
      <c r="D2059" t="n">
        <v>274</v>
      </c>
      <c r="E2059" t="n">
        <v>9847</v>
      </c>
    </row>
    <row r="2060" ht="15" customHeight="1" s="47">
      <c r="C2060" t="inlineStr">
        <is>
          <t>LMICT%</t>
        </is>
      </c>
      <c r="D2060" s="31" t="n">
        <v>0</v>
      </c>
      <c r="E2060" s="31" t="n">
        <v>0.0198019801980198</v>
      </c>
      <c r="F2060" s="31">
        <f>D2060-E2060</f>
        <v/>
      </c>
    </row>
    <row r="2061" ht="15" customHeight="1" s="47">
      <c r="C2061" t="inlineStr">
        <is>
          <t>LMIB%</t>
        </is>
      </c>
      <c r="D2061" s="31" t="n">
        <v>0.2</v>
      </c>
      <c r="E2061" s="31" t="n">
        <v>0.3069306930693069</v>
      </c>
      <c r="F2061" s="31">
        <f>D2061-E2061</f>
        <v/>
      </c>
    </row>
    <row r="2062" ht="15" customHeight="1" s="47">
      <c r="C2062" t="inlineStr">
        <is>
          <t>LMIB$</t>
        </is>
      </c>
      <c r="D2062" s="50" t="n">
        <v>165000</v>
      </c>
      <c r="E2062" s="50" t="n">
        <v>7610000</v>
      </c>
      <c r="F2062" s="49" t="n"/>
    </row>
    <row r="2063" ht="15" customHeight="1" s="47">
      <c r="C2063" t="inlineStr">
        <is>
          <t>MMCT%</t>
        </is>
      </c>
      <c r="D2063" s="31" t="n">
        <v>0</v>
      </c>
      <c r="E2063" s="31" t="n">
        <v>0</v>
      </c>
      <c r="F2063" s="31">
        <f>D2063-E2063</f>
        <v/>
      </c>
    </row>
    <row r="2064" ht="15" customHeight="1" s="47">
      <c r="C2064" t="inlineStr">
        <is>
          <t>MINB%</t>
        </is>
      </c>
      <c r="D2064" s="31" t="n">
        <v>0</v>
      </c>
      <c r="E2064" s="31" t="n">
        <v>0.02475247524752475</v>
      </c>
      <c r="F2064" s="31">
        <f>D2064-E2064</f>
        <v/>
      </c>
    </row>
    <row r="2065" ht="15" customHeight="1" s="47">
      <c r="C2065" t="inlineStr">
        <is>
          <t>Asian%</t>
        </is>
      </c>
      <c r="D2065" s="31" t="n">
        <v>0</v>
      </c>
      <c r="E2065" s="31" t="n">
        <v>0</v>
      </c>
      <c r="F2065" s="31">
        <f>D2065-E2065</f>
        <v/>
      </c>
    </row>
    <row r="2066" ht="15" customHeight="1" s="47">
      <c r="C2066" t="inlineStr">
        <is>
          <t>Black%</t>
        </is>
      </c>
      <c r="D2066" s="31" t="n">
        <v>0</v>
      </c>
      <c r="E2066" s="31" t="n">
        <v>0</v>
      </c>
      <c r="F2066" s="31">
        <f>D2066-E2066</f>
        <v/>
      </c>
    </row>
    <row r="2067" ht="15" customHeight="1" s="47">
      <c r="C2067" t="inlineStr">
        <is>
          <t>Native American%</t>
        </is>
      </c>
      <c r="D2067" s="31" t="n">
        <v>0</v>
      </c>
      <c r="E2067" s="31" t="n">
        <v>0</v>
      </c>
      <c r="F2067" s="31">
        <f>D2067-E2067</f>
        <v/>
      </c>
    </row>
    <row r="2068" ht="15" customHeight="1" s="47">
      <c r="C2068" t="inlineStr">
        <is>
          <t>HoPI%</t>
        </is>
      </c>
      <c r="D2068" s="31" t="n">
        <v>0</v>
      </c>
      <c r="E2068" s="31" t="n">
        <v>0</v>
      </c>
      <c r="F2068" s="31">
        <f>D2068-E2068</f>
        <v/>
      </c>
    </row>
    <row r="2069" ht="15" customHeight="1" s="47">
      <c r="C2069" t="inlineStr">
        <is>
          <t>Hispanic%</t>
        </is>
      </c>
      <c r="D2069" s="31" t="n">
        <v>0</v>
      </c>
      <c r="E2069" s="31" t="n">
        <v>0.02475247524752475</v>
      </c>
      <c r="F2069" s="31">
        <f>D2069-E2069</f>
        <v/>
      </c>
    </row>
    <row r="2070">
      <c r="B2070" t="inlineStr">
        <is>
          <t>Pennsylvania Non-MSA</t>
        </is>
      </c>
      <c r="C2070" t="inlineStr">
        <is>
          <t>Loans</t>
        </is>
      </c>
      <c r="D2070" t="n">
        <v>5</v>
      </c>
      <c r="E2070" t="n">
        <v>202</v>
      </c>
    </row>
    <row r="2071" ht="15" customHeight="1" s="47">
      <c r="C2071" t="inlineStr">
        <is>
          <t>LMICT%</t>
        </is>
      </c>
      <c r="D2071" s="31" t="n">
        <v>0</v>
      </c>
      <c r="E2071" s="31" t="n">
        <v>0.008205128205128205</v>
      </c>
      <c r="F2071" s="31">
        <f>D2071-E2071</f>
        <v/>
      </c>
    </row>
    <row r="2072" ht="15" customHeight="1" s="47">
      <c r="C2072" t="inlineStr">
        <is>
          <t>LMIB%</t>
        </is>
      </c>
      <c r="D2072" s="31" t="n">
        <v>0.253968253968254</v>
      </c>
      <c r="E2072" s="31" t="n">
        <v>0.4092307692307692</v>
      </c>
      <c r="F2072" s="31">
        <f>D2072-E2072</f>
        <v/>
      </c>
    </row>
    <row r="2073" ht="15" customHeight="1" s="47">
      <c r="C2073" t="inlineStr">
        <is>
          <t>LMIB$</t>
        </is>
      </c>
      <c r="D2073" s="50" t="n">
        <v>1630000</v>
      </c>
      <c r="E2073" s="50" t="n">
        <v>42505000</v>
      </c>
      <c r="F2073" s="49" t="n"/>
    </row>
    <row r="2074" ht="15" customHeight="1" s="47">
      <c r="C2074" t="inlineStr">
        <is>
          <t>MMCT%</t>
        </is>
      </c>
      <c r="D2074" s="31" t="n">
        <v>0</v>
      </c>
      <c r="E2074" s="31" t="n">
        <v>0</v>
      </c>
      <c r="F2074" s="31">
        <f>D2074-E2074</f>
        <v/>
      </c>
    </row>
    <row r="2075" ht="15" customHeight="1" s="47">
      <c r="C2075" t="inlineStr">
        <is>
          <t>MINB%</t>
        </is>
      </c>
      <c r="D2075" s="31" t="n">
        <v>0.03174603174603174</v>
      </c>
      <c r="E2075" s="31" t="n">
        <v>0.009230769230769232</v>
      </c>
      <c r="F2075" s="31">
        <f>D2075-E2075</f>
        <v/>
      </c>
    </row>
    <row r="2076" ht="15" customHeight="1" s="47">
      <c r="C2076" t="inlineStr">
        <is>
          <t>Asian%</t>
        </is>
      </c>
      <c r="D2076" s="31" t="n">
        <v>0</v>
      </c>
      <c r="E2076" s="31" t="n">
        <v>0</v>
      </c>
      <c r="F2076" s="31">
        <f>D2076-E2076</f>
        <v/>
      </c>
    </row>
    <row r="2077" ht="15" customHeight="1" s="47">
      <c r="C2077" t="inlineStr">
        <is>
          <t>Black%</t>
        </is>
      </c>
      <c r="D2077" s="31" t="n">
        <v>0</v>
      </c>
      <c r="E2077" s="31" t="n">
        <v>0</v>
      </c>
      <c r="F2077" s="31">
        <f>D2077-E2077</f>
        <v/>
      </c>
    </row>
    <row r="2078" ht="15" customHeight="1" s="47">
      <c r="C2078" t="inlineStr">
        <is>
          <t>Native American%</t>
        </is>
      </c>
      <c r="D2078" s="31" t="n">
        <v>0</v>
      </c>
      <c r="E2078" s="31" t="n">
        <v>0</v>
      </c>
      <c r="F2078" s="31">
        <f>D2078-E2078</f>
        <v/>
      </c>
    </row>
    <row r="2079" ht="15" customHeight="1" s="47">
      <c r="C2079" t="inlineStr">
        <is>
          <t>HoPI%</t>
        </is>
      </c>
      <c r="D2079" s="31" t="n">
        <v>0</v>
      </c>
      <c r="E2079" s="31" t="n">
        <v>0</v>
      </c>
      <c r="F2079" s="31">
        <f>D2079-E2079</f>
        <v/>
      </c>
    </row>
    <row r="2080" ht="15" customHeight="1" s="47">
      <c r="C2080" t="inlineStr">
        <is>
          <t>Hispanic%</t>
        </is>
      </c>
      <c r="D2080" s="31" t="n">
        <v>0.03174603174603174</v>
      </c>
      <c r="E2080" s="31" t="n">
        <v>0.009230769230769232</v>
      </c>
      <c r="F2080" s="31">
        <f>D2080-E2080</f>
        <v/>
      </c>
    </row>
    <row r="2081">
      <c r="B2081" t="inlineStr">
        <is>
          <t>Pennsylvania Non-MSA</t>
        </is>
      </c>
      <c r="C2081" t="inlineStr">
        <is>
          <t>Loans</t>
        </is>
      </c>
      <c r="D2081" t="n">
        <v>63</v>
      </c>
      <c r="E2081" t="n">
        <v>975</v>
      </c>
    </row>
    <row r="2082">
      <c r="C2082" t="inlineStr">
        <is>
          <t>LMICT%</t>
        </is>
      </c>
      <c r="D2082" s="31" t="n">
        <v>0.1096345514950166</v>
      </c>
      <c r="E2082" s="31" t="n">
        <v>0.1474222943452752</v>
      </c>
      <c r="F2082">
        <f>IFERROR(D2082-E2082,0)</f>
        <v/>
      </c>
    </row>
    <row r="2083">
      <c r="C2083" t="inlineStr">
        <is>
          <t>LMIB%</t>
        </is>
      </c>
      <c r="D2083" s="31" t="n">
        <v>0.3189368770764119</v>
      </c>
      <c r="E2083" s="31" t="n">
        <v>0.3600049931344401</v>
      </c>
      <c r="F2083">
        <f>IFERROR(D2083-E2083,0)</f>
        <v/>
      </c>
    </row>
    <row r="2084">
      <c r="C2084" t="inlineStr">
        <is>
          <t>LMIB$</t>
        </is>
      </c>
      <c r="D2084" s="50" t="n">
        <v>16260000</v>
      </c>
      <c r="E2084" s="50" t="n">
        <v>575940000</v>
      </c>
    </row>
    <row r="2085">
      <c r="C2085" t="inlineStr">
        <is>
          <t>MMCT%</t>
        </is>
      </c>
      <c r="D2085" s="31" t="n">
        <v>0.06312292358803986</v>
      </c>
      <c r="E2085" s="31" t="n">
        <v>0.08425914367744351</v>
      </c>
      <c r="F2085">
        <f>IFERROR(D2085-E2085,0)</f>
        <v/>
      </c>
    </row>
    <row r="2086">
      <c r="C2086" t="inlineStr">
        <is>
          <t>MINB%</t>
        </is>
      </c>
      <c r="D2086" s="31" t="n">
        <v>0.06312292358803986</v>
      </c>
      <c r="E2086" s="31" t="n">
        <v>0.07589564349020098</v>
      </c>
      <c r="F2086">
        <f>IFERROR(D2086-E2086,0)</f>
        <v/>
      </c>
    </row>
    <row r="2087">
      <c r="C2087" t="inlineStr">
        <is>
          <t>Asian%</t>
        </is>
      </c>
      <c r="D2087" s="31" t="n">
        <v>0</v>
      </c>
      <c r="E2087" s="31" t="n">
        <v>0</v>
      </c>
      <c r="F2087">
        <f>IFERROR(D2087-E2087,0)</f>
        <v/>
      </c>
    </row>
    <row r="2088">
      <c r="C2088" t="inlineStr">
        <is>
          <t>Black%</t>
        </is>
      </c>
      <c r="D2088" s="31" t="n">
        <v>0</v>
      </c>
      <c r="E2088" s="31" t="n">
        <v>0</v>
      </c>
      <c r="F2088">
        <f>IFERROR(D2088-E2088,0)</f>
        <v/>
      </c>
    </row>
    <row r="2089">
      <c r="C2089" t="inlineStr">
        <is>
          <t>Native American%</t>
        </is>
      </c>
      <c r="D2089" s="31" t="n">
        <v>0</v>
      </c>
      <c r="E2089" s="31" t="n">
        <v>0</v>
      </c>
      <c r="F2089">
        <f>IFERROR(D2089-E2089,0)</f>
        <v/>
      </c>
    </row>
    <row r="2090">
      <c r="C2090" t="inlineStr">
        <is>
          <t>HoPI%</t>
        </is>
      </c>
      <c r="D2090" s="31" t="n">
        <v>0</v>
      </c>
      <c r="E2090" s="31" t="n">
        <v>0</v>
      </c>
      <c r="F2090">
        <f>IFERROR(D2090-E2090,0)</f>
        <v/>
      </c>
    </row>
    <row r="2091">
      <c r="C2091" t="inlineStr">
        <is>
          <t>Hispanic%</t>
        </is>
      </c>
      <c r="D2091" s="31" t="n">
        <v>0.06312292358803986</v>
      </c>
      <c r="E2091" s="31" t="n">
        <v>0.07589564349020098</v>
      </c>
      <c r="F2091">
        <f>IFERROR(D2091-E2091,0)</f>
        <v/>
      </c>
    </row>
    <row r="2092">
      <c r="B2092" t="inlineStr">
        <is>
          <t>Lancaster, PA</t>
        </is>
      </c>
      <c r="C2092" t="inlineStr">
        <is>
          <t>Loans</t>
        </is>
      </c>
      <c r="D2092" t="n">
        <v>301</v>
      </c>
      <c r="E2092" t="n">
        <v>8011</v>
      </c>
    </row>
    <row r="2093">
      <c r="C2093" t="inlineStr">
        <is>
          <t>LMICT%</t>
        </is>
      </c>
      <c r="D2093" s="31" t="n">
        <v>0.09090909090909091</v>
      </c>
      <c r="E2093" s="31" t="n">
        <v>0.1762652705061082</v>
      </c>
      <c r="F2093">
        <f>IFERROR(D2093-E2093,0)</f>
        <v/>
      </c>
    </row>
    <row r="2094">
      <c r="C2094" t="inlineStr">
        <is>
          <t>LMIB%</t>
        </is>
      </c>
      <c r="D2094" s="31" t="n">
        <v>0.303030303030303</v>
      </c>
      <c r="E2094" s="31" t="n">
        <v>0.4031413612565445</v>
      </c>
      <c r="F2094">
        <f>IFERROR(D2094-E2094,0)</f>
        <v/>
      </c>
    </row>
    <row r="2095">
      <c r="C2095" t="inlineStr">
        <is>
          <t>LMIB$</t>
        </is>
      </c>
      <c r="D2095" s="50" t="n">
        <v>1640000</v>
      </c>
      <c r="E2095" s="50" t="n">
        <v>76170000</v>
      </c>
    </row>
    <row r="2096">
      <c r="C2096" t="inlineStr">
        <is>
          <t>MMCT%</t>
        </is>
      </c>
      <c r="D2096" s="31" t="n">
        <v>0</v>
      </c>
      <c r="E2096" s="31" t="n">
        <v>0.06195462478184991</v>
      </c>
      <c r="F2096">
        <f>IFERROR(D2096-E2096,0)</f>
        <v/>
      </c>
    </row>
    <row r="2097">
      <c r="C2097" t="inlineStr">
        <is>
          <t>MINB%</t>
        </is>
      </c>
      <c r="D2097" s="31" t="n">
        <v>0.0303030303030303</v>
      </c>
      <c r="E2097" s="31" t="n">
        <v>0.1343804537521815</v>
      </c>
      <c r="F2097">
        <f>IFERROR(D2097-E2097,0)</f>
        <v/>
      </c>
    </row>
    <row r="2098">
      <c r="C2098" t="inlineStr">
        <is>
          <t>Asian%</t>
        </is>
      </c>
      <c r="D2098" s="31" t="n">
        <v>0</v>
      </c>
      <c r="E2098" s="31" t="n">
        <v>0</v>
      </c>
      <c r="F2098">
        <f>IFERROR(D2098-E2098,0)</f>
        <v/>
      </c>
    </row>
    <row r="2099">
      <c r="C2099" t="inlineStr">
        <is>
          <t>Black%</t>
        </is>
      </c>
      <c r="D2099" s="31" t="n">
        <v>0</v>
      </c>
      <c r="E2099" s="31" t="n">
        <v>0</v>
      </c>
      <c r="F2099">
        <f>IFERROR(D2099-E2099,0)</f>
        <v/>
      </c>
    </row>
    <row r="2100">
      <c r="C2100" t="inlineStr">
        <is>
          <t>Native American%</t>
        </is>
      </c>
      <c r="D2100" s="31" t="n">
        <v>0</v>
      </c>
      <c r="E2100" s="31" t="n">
        <v>0</v>
      </c>
      <c r="F2100">
        <f>IFERROR(D2100-E2100,0)</f>
        <v/>
      </c>
    </row>
    <row r="2101">
      <c r="C2101" t="inlineStr">
        <is>
          <t>HoPI%</t>
        </is>
      </c>
      <c r="D2101" s="31" t="n">
        <v>0</v>
      </c>
      <c r="E2101" s="31" t="n">
        <v>0</v>
      </c>
      <c r="F2101">
        <f>IFERROR(D2101-E2101,0)</f>
        <v/>
      </c>
    </row>
    <row r="2102">
      <c r="C2102" t="inlineStr">
        <is>
          <t>Hispanic%</t>
        </is>
      </c>
      <c r="D2102" s="31" t="n">
        <v>0.0303030303030303</v>
      </c>
      <c r="E2102" s="31" t="n">
        <v>0.1343804537521815</v>
      </c>
      <c r="F2102">
        <f>IFERROR(D2102-E2102,0)</f>
        <v/>
      </c>
    </row>
    <row r="2103">
      <c r="B2103" t="inlineStr">
        <is>
          <t>Lebanon, PA</t>
        </is>
      </c>
      <c r="C2103" t="inlineStr">
        <is>
          <t>Loans</t>
        </is>
      </c>
      <c r="D2103" t="n">
        <v>33</v>
      </c>
      <c r="E2103" t="n">
        <v>1146</v>
      </c>
    </row>
    <row r="2104">
      <c r="C2104" t="inlineStr">
        <is>
          <t>LMICT%</t>
        </is>
      </c>
      <c r="D2104" s="31" t="n">
        <v>0.08860759493670885</v>
      </c>
      <c r="E2104" s="31" t="n">
        <v>0.1207547169811321</v>
      </c>
      <c r="F2104">
        <f>IFERROR(D2104-E2104,0)</f>
        <v/>
      </c>
    </row>
    <row r="2105">
      <c r="C2105" t="inlineStr">
        <is>
          <t>LMIB%</t>
        </is>
      </c>
      <c r="D2105" s="31" t="n">
        <v>0.4683544303797468</v>
      </c>
      <c r="E2105" s="31" t="n">
        <v>0.4578616352201258</v>
      </c>
      <c r="F2105">
        <f>IFERROR(D2105-E2105,0)</f>
        <v/>
      </c>
    </row>
    <row r="2106">
      <c r="C2106" t="inlineStr">
        <is>
          <t>LMIB$</t>
        </is>
      </c>
      <c r="D2106" s="50" t="n">
        <v>3745000</v>
      </c>
      <c r="E2106" s="50" t="n">
        <v>40290000</v>
      </c>
    </row>
    <row r="2107">
      <c r="C2107" t="inlineStr">
        <is>
          <t>MMCT%</t>
        </is>
      </c>
      <c r="D2107" s="31" t="n">
        <v>0</v>
      </c>
      <c r="E2107" s="31" t="n">
        <v>0</v>
      </c>
      <c r="F2107">
        <f>IFERROR(D2107-E2107,0)</f>
        <v/>
      </c>
    </row>
    <row r="2108">
      <c r="C2108" t="inlineStr">
        <is>
          <t>MINB%</t>
        </is>
      </c>
      <c r="D2108" s="31" t="n">
        <v>0.01265822784810127</v>
      </c>
      <c r="E2108" s="31" t="n">
        <v>0.01257861635220126</v>
      </c>
      <c r="F2108">
        <f>IFERROR(D2108-E2108,0)</f>
        <v/>
      </c>
    </row>
    <row r="2109">
      <c r="C2109" t="inlineStr">
        <is>
          <t>Asian%</t>
        </is>
      </c>
      <c r="D2109" s="31" t="n">
        <v>0</v>
      </c>
      <c r="E2109" s="31" t="n">
        <v>0</v>
      </c>
      <c r="F2109">
        <f>IFERROR(D2109-E2109,0)</f>
        <v/>
      </c>
    </row>
    <row r="2110">
      <c r="C2110" t="inlineStr">
        <is>
          <t>Black%</t>
        </is>
      </c>
      <c r="D2110" s="31" t="n">
        <v>0</v>
      </c>
      <c r="E2110" s="31" t="n">
        <v>0</v>
      </c>
      <c r="F2110">
        <f>IFERROR(D2110-E2110,0)</f>
        <v/>
      </c>
    </row>
    <row r="2111">
      <c r="C2111" t="inlineStr">
        <is>
          <t>Native American%</t>
        </is>
      </c>
      <c r="D2111" s="31" t="n">
        <v>0</v>
      </c>
      <c r="E2111" s="31" t="n">
        <v>0</v>
      </c>
      <c r="F2111">
        <f>IFERROR(D2111-E2111,0)</f>
        <v/>
      </c>
    </row>
    <row r="2112">
      <c r="C2112" t="inlineStr">
        <is>
          <t>HoPI%</t>
        </is>
      </c>
      <c r="D2112" s="31" t="n">
        <v>0</v>
      </c>
      <c r="E2112" s="31" t="n">
        <v>0</v>
      </c>
      <c r="F2112">
        <f>IFERROR(D2112-E2112,0)</f>
        <v/>
      </c>
    </row>
    <row r="2113">
      <c r="C2113" t="inlineStr">
        <is>
          <t>Hispanic%</t>
        </is>
      </c>
      <c r="D2113" s="31" t="n">
        <v>0.01265822784810127</v>
      </c>
      <c r="E2113" s="31" t="n">
        <v>0.01257861635220126</v>
      </c>
      <c r="F2113">
        <f>IFERROR(D2113-E2113,0)</f>
        <v/>
      </c>
    </row>
    <row r="2114">
      <c r="B2114" t="inlineStr">
        <is>
          <t>Pennsylvania Non-MSA</t>
        </is>
      </c>
      <c r="C2114" t="inlineStr">
        <is>
          <t>Loans</t>
        </is>
      </c>
      <c r="D2114" t="n">
        <v>79</v>
      </c>
      <c r="E2114" t="n">
        <v>795</v>
      </c>
    </row>
    <row r="2115">
      <c r="C2115" t="inlineStr">
        <is>
          <t>LMICT%</t>
        </is>
      </c>
      <c r="D2115" s="31" t="n">
        <v>0.2588235294117647</v>
      </c>
      <c r="E2115" s="31" t="n">
        <v>0.1931394481730052</v>
      </c>
      <c r="F2115">
        <f>IFERROR(D2115-E2115,0)</f>
        <v/>
      </c>
    </row>
    <row r="2116">
      <c r="C2116" t="inlineStr">
        <is>
          <t>LMIB%</t>
        </is>
      </c>
      <c r="D2116" s="31" t="n">
        <v>0.4235294117647059</v>
      </c>
      <c r="E2116" s="31" t="n">
        <v>0.4750186428038777</v>
      </c>
      <c r="F2116">
        <f>IFERROR(D2116-E2116,0)</f>
        <v/>
      </c>
    </row>
    <row r="2117">
      <c r="C2117" t="inlineStr">
        <is>
          <t>LMIB$</t>
        </is>
      </c>
      <c r="D2117" s="50" t="n">
        <v>4010000</v>
      </c>
      <c r="E2117" s="50" t="n">
        <v>69535000</v>
      </c>
    </row>
    <row r="2118">
      <c r="C2118" t="inlineStr">
        <is>
          <t>MMCT%</t>
        </is>
      </c>
      <c r="D2118" s="31" t="n">
        <v>0.01176470588235294</v>
      </c>
      <c r="E2118" s="31" t="n">
        <v>0.002237136465324385</v>
      </c>
      <c r="F2118">
        <f>IFERROR(D2118-E2118,0)</f>
        <v/>
      </c>
    </row>
    <row r="2119">
      <c r="C2119" t="inlineStr">
        <is>
          <t>MINB%</t>
        </is>
      </c>
      <c r="D2119" s="31" t="n">
        <v>0.01176470588235294</v>
      </c>
      <c r="E2119" s="31" t="n">
        <v>0.02013422818791946</v>
      </c>
      <c r="F2119">
        <f>IFERROR(D2119-E2119,0)</f>
        <v/>
      </c>
    </row>
    <row r="2120">
      <c r="C2120" t="inlineStr">
        <is>
          <t>Asian%</t>
        </is>
      </c>
      <c r="D2120" s="31" t="n">
        <v>0</v>
      </c>
      <c r="E2120" s="31" t="n">
        <v>0</v>
      </c>
      <c r="F2120">
        <f>IFERROR(D2120-E2120,0)</f>
        <v/>
      </c>
    </row>
    <row r="2121">
      <c r="C2121" t="inlineStr">
        <is>
          <t>Black%</t>
        </is>
      </c>
      <c r="D2121" s="31" t="n">
        <v>0</v>
      </c>
      <c r="E2121" s="31" t="n">
        <v>0</v>
      </c>
      <c r="F2121">
        <f>IFERROR(D2121-E2121,0)</f>
        <v/>
      </c>
    </row>
    <row r="2122">
      <c r="C2122" t="inlineStr">
        <is>
          <t>Native American%</t>
        </is>
      </c>
      <c r="D2122" s="31" t="n">
        <v>0</v>
      </c>
      <c r="E2122" s="31" t="n">
        <v>0</v>
      </c>
      <c r="F2122">
        <f>IFERROR(D2122-E2122,0)</f>
        <v/>
      </c>
    </row>
    <row r="2123">
      <c r="C2123" t="inlineStr">
        <is>
          <t>HoPI%</t>
        </is>
      </c>
      <c r="D2123" s="31" t="n">
        <v>0</v>
      </c>
      <c r="E2123" s="31" t="n">
        <v>0</v>
      </c>
      <c r="F2123">
        <f>IFERROR(D2123-E2123,0)</f>
        <v/>
      </c>
    </row>
    <row r="2124">
      <c r="C2124" t="inlineStr">
        <is>
          <t>Hispanic%</t>
        </is>
      </c>
      <c r="D2124" s="31" t="n">
        <v>0.01176470588235294</v>
      </c>
      <c r="E2124" s="31" t="n">
        <v>0.02013422818791946</v>
      </c>
      <c r="F2124">
        <f>IFERROR(D2124-E2124,0)</f>
        <v/>
      </c>
    </row>
    <row r="2125">
      <c r="B2125" t="inlineStr">
        <is>
          <t>Pennsylvania Non-MSA</t>
        </is>
      </c>
      <c r="C2125" t="inlineStr">
        <is>
          <t>Loans</t>
        </is>
      </c>
      <c r="D2125" t="n">
        <v>85</v>
      </c>
      <c r="E2125" t="n">
        <v>1341</v>
      </c>
    </row>
    <row r="2126">
      <c r="C2126" t="inlineStr">
        <is>
          <t>LMICT%</t>
        </is>
      </c>
      <c r="D2126" s="31" t="n">
        <v>0.1666666666666666</v>
      </c>
      <c r="E2126" s="31" t="n">
        <v>0.07711442786069651</v>
      </c>
      <c r="F2126">
        <f>IFERROR(D2126-E2126,0)</f>
        <v/>
      </c>
    </row>
    <row r="2127">
      <c r="C2127" t="inlineStr">
        <is>
          <t>LMIB%</t>
        </is>
      </c>
      <c r="D2127" s="31" t="n">
        <v>0.5</v>
      </c>
      <c r="E2127" s="31" t="n">
        <v>0.3930348258706468</v>
      </c>
      <c r="F2127">
        <f>IFERROR(D2127-E2127,0)</f>
        <v/>
      </c>
    </row>
    <row r="2128">
      <c r="C2128" t="inlineStr">
        <is>
          <t>LMIB$</t>
        </is>
      </c>
      <c r="D2128" s="50" t="n">
        <v>1355000</v>
      </c>
      <c r="E2128" s="50" t="n">
        <v>16890000</v>
      </c>
    </row>
    <row r="2129">
      <c r="C2129" t="inlineStr">
        <is>
          <t>MMCT%</t>
        </is>
      </c>
      <c r="D2129" s="31" t="n">
        <v>0</v>
      </c>
      <c r="E2129" s="31" t="n">
        <v>0</v>
      </c>
      <c r="F2129">
        <f>IFERROR(D2129-E2129,0)</f>
        <v/>
      </c>
    </row>
    <row r="2130">
      <c r="C2130" t="inlineStr">
        <is>
          <t>MINB%</t>
        </is>
      </c>
      <c r="D2130" s="31" t="n">
        <v>0</v>
      </c>
      <c r="E2130" s="31" t="n">
        <v>0.01492537313432836</v>
      </c>
      <c r="F2130">
        <f>IFERROR(D2130-E2130,0)</f>
        <v/>
      </c>
    </row>
    <row r="2131">
      <c r="C2131" t="inlineStr">
        <is>
          <t>Asian%</t>
        </is>
      </c>
      <c r="D2131" s="31" t="n">
        <v>0</v>
      </c>
      <c r="E2131" s="31" t="n">
        <v>0</v>
      </c>
      <c r="F2131">
        <f>IFERROR(D2131-E2131,0)</f>
        <v/>
      </c>
    </row>
    <row r="2132">
      <c r="C2132" t="inlineStr">
        <is>
          <t>Black%</t>
        </is>
      </c>
      <c r="D2132" s="31" t="n">
        <v>0</v>
      </c>
      <c r="E2132" s="31" t="n">
        <v>0</v>
      </c>
      <c r="F2132">
        <f>IFERROR(D2132-E2132,0)</f>
        <v/>
      </c>
    </row>
    <row r="2133">
      <c r="C2133" t="inlineStr">
        <is>
          <t>Native American%</t>
        </is>
      </c>
      <c r="D2133" s="31" t="n">
        <v>0</v>
      </c>
      <c r="E2133" s="31" t="n">
        <v>0</v>
      </c>
      <c r="F2133">
        <f>IFERROR(D2133-E2133,0)</f>
        <v/>
      </c>
    </row>
    <row r="2134">
      <c r="C2134" t="inlineStr">
        <is>
          <t>HoPI%</t>
        </is>
      </c>
      <c r="D2134" s="31" t="n">
        <v>0</v>
      </c>
      <c r="E2134" s="31" t="n">
        <v>0</v>
      </c>
      <c r="F2134">
        <f>IFERROR(D2134-E2134,0)</f>
        <v/>
      </c>
    </row>
    <row r="2135">
      <c r="C2135" t="inlineStr">
        <is>
          <t>Hispanic%</t>
        </is>
      </c>
      <c r="D2135" s="31" t="n">
        <v>0</v>
      </c>
      <c r="E2135" s="31" t="n">
        <v>0.01492537313432836</v>
      </c>
      <c r="F2135">
        <f>IFERROR(D2135-E2135,0)</f>
        <v/>
      </c>
    </row>
    <row r="2136">
      <c r="B2136" t="inlineStr">
        <is>
          <t>Pennsylvania Non-MSA</t>
        </is>
      </c>
      <c r="C2136" t="inlineStr">
        <is>
          <t>Loans</t>
        </is>
      </c>
      <c r="D2136" t="n">
        <v>30</v>
      </c>
      <c r="E2136" t="n">
        <v>402</v>
      </c>
    </row>
    <row r="2137">
      <c r="C2137" t="inlineStr">
        <is>
          <t>LMICT%</t>
        </is>
      </c>
      <c r="D2137" s="31" t="n">
        <v>0.1799850634802091</v>
      </c>
      <c r="E2137" s="31" t="n">
        <v>0.2292488517711481</v>
      </c>
      <c r="F2137">
        <f>IFERROR(D2137-E2137,0)</f>
        <v/>
      </c>
    </row>
    <row r="2138">
      <c r="C2138" t="inlineStr">
        <is>
          <t>LMIB%</t>
        </is>
      </c>
      <c r="D2138" s="31" t="n">
        <v>0.2778192681105303</v>
      </c>
      <c r="E2138" s="31" t="n">
        <v>0.3812686815011624</v>
      </c>
      <c r="F2138">
        <f>IFERROR(D2138-E2138,0)</f>
        <v/>
      </c>
    </row>
    <row r="2139">
      <c r="C2139" t="inlineStr">
        <is>
          <t>LMIB$</t>
        </is>
      </c>
      <c r="D2139" s="50" t="n">
        <v>155840000</v>
      </c>
      <c r="E2139" s="50" t="n">
        <v>10349240000</v>
      </c>
    </row>
    <row r="2140">
      <c r="C2140" t="inlineStr">
        <is>
          <t>MMCT%</t>
        </is>
      </c>
      <c r="D2140" s="31" t="n">
        <v>0.1445108289768484</v>
      </c>
      <c r="E2140" s="31" t="n">
        <v>0.195000445520895</v>
      </c>
      <c r="F2140">
        <f>IFERROR(D2140-E2140,0)</f>
        <v/>
      </c>
    </row>
    <row r="2141">
      <c r="C2141" t="inlineStr">
        <is>
          <t>MINB%</t>
        </is>
      </c>
      <c r="D2141" s="31" t="n">
        <v>0.04182225541448843</v>
      </c>
      <c r="E2141" s="31" t="n">
        <v>0.08682797223189768</v>
      </c>
      <c r="F2141">
        <f>IFERROR(D2141-E2141,0)</f>
        <v/>
      </c>
    </row>
    <row r="2142">
      <c r="C2142" t="inlineStr">
        <is>
          <t>Asian%</t>
        </is>
      </c>
      <c r="D2142" s="31" t="n">
        <v>0</v>
      </c>
      <c r="E2142" s="31" t="n">
        <v>0</v>
      </c>
      <c r="F2142">
        <f>IFERROR(D2142-E2142,0)</f>
        <v/>
      </c>
    </row>
    <row r="2143">
      <c r="C2143" t="inlineStr">
        <is>
          <t>Black%</t>
        </is>
      </c>
      <c r="D2143" s="31" t="n">
        <v>0</v>
      </c>
      <c r="E2143" s="31" t="n">
        <v>0</v>
      </c>
      <c r="F2143">
        <f>IFERROR(D2143-E2143,0)</f>
        <v/>
      </c>
    </row>
    <row r="2144">
      <c r="C2144" t="inlineStr">
        <is>
          <t>Native American%</t>
        </is>
      </c>
      <c r="D2144" s="31" t="n">
        <v>0</v>
      </c>
      <c r="E2144" s="31" t="n">
        <v>0</v>
      </c>
      <c r="F2144">
        <f>IFERROR(D2144-E2144,0)</f>
        <v/>
      </c>
    </row>
    <row r="2145">
      <c r="C2145" t="inlineStr">
        <is>
          <t>HoPI%</t>
        </is>
      </c>
      <c r="D2145" s="31" t="n">
        <v>0</v>
      </c>
      <c r="E2145" s="31" t="n">
        <v>0</v>
      </c>
      <c r="F2145">
        <f>IFERROR(D2145-E2145,0)</f>
        <v/>
      </c>
    </row>
    <row r="2146">
      <c r="C2146" t="inlineStr">
        <is>
          <t>Hispanic%</t>
        </is>
      </c>
      <c r="D2146" s="31" t="n">
        <v>0.04182225541448843</v>
      </c>
      <c r="E2146" s="31" t="n">
        <v>0.08682797223189768</v>
      </c>
      <c r="F2146">
        <f>IFERROR(D2146-E2146,0)</f>
        <v/>
      </c>
    </row>
    <row r="2147">
      <c r="B2147" t="inlineStr">
        <is>
          <t>Philadelphia-Camden-Wilmington, PA-NJ-DE-MD</t>
        </is>
      </c>
      <c r="C2147" t="inlineStr">
        <is>
          <t>Loans</t>
        </is>
      </c>
      <c r="D2147" t="n">
        <v>2678</v>
      </c>
      <c r="E2147" t="n">
        <v>123451</v>
      </c>
    </row>
    <row r="2148">
      <c r="C2148" t="inlineStr">
        <is>
          <t>LMICT%</t>
        </is>
      </c>
      <c r="D2148" s="31" t="n">
        <v>0.1983870967741936</v>
      </c>
      <c r="E2148" s="31" t="n">
        <v>0.1535384615384615</v>
      </c>
      <c r="F2148">
        <f>IFERROR(D2148-E2148,0)</f>
        <v/>
      </c>
    </row>
    <row r="2149">
      <c r="C2149" t="inlineStr">
        <is>
          <t>LMIB%</t>
        </is>
      </c>
      <c r="D2149" s="31" t="n">
        <v>0.3743951612903226</v>
      </c>
      <c r="E2149" s="31" t="n">
        <v>0.3925384615384616</v>
      </c>
      <c r="F2149">
        <f>IFERROR(D2149-E2149,0)</f>
        <v/>
      </c>
    </row>
    <row r="2150">
      <c r="C2150" t="inlineStr">
        <is>
          <t>LMIB$</t>
        </is>
      </c>
      <c r="D2150" s="50" t="n">
        <v>254895000</v>
      </c>
      <c r="E2150" s="50" t="n">
        <v>3114490000</v>
      </c>
    </row>
    <row r="2151">
      <c r="C2151" t="inlineStr">
        <is>
          <t>MMCT%</t>
        </is>
      </c>
      <c r="D2151" s="31" t="n">
        <v>0.03266129032258065</v>
      </c>
      <c r="E2151" s="31" t="n">
        <v>0.02869230769230769</v>
      </c>
      <c r="F2151">
        <f>IFERROR(D2151-E2151,0)</f>
        <v/>
      </c>
    </row>
    <row r="2152">
      <c r="C2152" t="inlineStr">
        <is>
          <t>MINB%</t>
        </is>
      </c>
      <c r="D2152" s="31" t="n">
        <v>0.01491935483870968</v>
      </c>
      <c r="E2152" s="31" t="n">
        <v>0.02446153846153847</v>
      </c>
      <c r="F2152">
        <f>IFERROR(D2152-E2152,0)</f>
        <v/>
      </c>
    </row>
    <row r="2153">
      <c r="C2153" t="inlineStr">
        <is>
          <t>Asian%</t>
        </is>
      </c>
      <c r="D2153" s="31" t="n">
        <v>0</v>
      </c>
      <c r="E2153" s="31" t="n">
        <v>0</v>
      </c>
      <c r="F2153">
        <f>IFERROR(D2153-E2153,0)</f>
        <v/>
      </c>
    </row>
    <row r="2154">
      <c r="C2154" t="inlineStr">
        <is>
          <t>Black%</t>
        </is>
      </c>
      <c r="D2154" s="31" t="n">
        <v>0</v>
      </c>
      <c r="E2154" s="31" t="n">
        <v>0</v>
      </c>
      <c r="F2154">
        <f>IFERROR(D2154-E2154,0)</f>
        <v/>
      </c>
    </row>
    <row r="2155">
      <c r="C2155" t="inlineStr">
        <is>
          <t>Native American%</t>
        </is>
      </c>
      <c r="D2155" s="31" t="n">
        <v>0</v>
      </c>
      <c r="E2155" s="31" t="n">
        <v>0</v>
      </c>
      <c r="F2155">
        <f>IFERROR(D2155-E2155,0)</f>
        <v/>
      </c>
    </row>
    <row r="2156">
      <c r="C2156" t="inlineStr">
        <is>
          <t>HoPI%</t>
        </is>
      </c>
      <c r="D2156" s="31" t="n">
        <v>0</v>
      </c>
      <c r="E2156" s="31" t="n">
        <v>0</v>
      </c>
      <c r="F2156">
        <f>IFERROR(D2156-E2156,0)</f>
        <v/>
      </c>
    </row>
    <row r="2157">
      <c r="C2157" t="inlineStr">
        <is>
          <t>Hispanic%</t>
        </is>
      </c>
      <c r="D2157" s="31" t="n">
        <v>0.01491935483870968</v>
      </c>
      <c r="E2157" s="31" t="n">
        <v>0.02446153846153847</v>
      </c>
      <c r="F2157">
        <f>IFERROR(D2157-E2157,0)</f>
        <v/>
      </c>
    </row>
    <row r="2158">
      <c r="B2158" t="inlineStr">
        <is>
          <t>Pittsburgh, PA</t>
        </is>
      </c>
      <c r="C2158" t="inlineStr">
        <is>
          <t>Loans</t>
        </is>
      </c>
      <c r="D2158" t="n">
        <v>4960</v>
      </c>
      <c r="E2158" t="n">
        <v>52000</v>
      </c>
    </row>
    <row r="2159">
      <c r="C2159" t="inlineStr">
        <is>
          <t>LMICT%</t>
        </is>
      </c>
      <c r="D2159" s="31" t="n">
        <v>0.02898550724637681</v>
      </c>
      <c r="E2159" s="31" t="n">
        <v>0.1031701890989989</v>
      </c>
      <c r="F2159">
        <f>IFERROR(D2159-E2159,0)</f>
        <v/>
      </c>
    </row>
    <row r="2160">
      <c r="C2160" t="inlineStr">
        <is>
          <t>LMIB%</t>
        </is>
      </c>
      <c r="D2160" s="31" t="n">
        <v>0.3188405797101449</v>
      </c>
      <c r="E2160" s="31" t="n">
        <v>0.3745828698553949</v>
      </c>
      <c r="F2160">
        <f>IFERROR(D2160-E2160,0)</f>
        <v/>
      </c>
    </row>
    <row r="2161">
      <c r="C2161" t="inlineStr">
        <is>
          <t>LMIB$</t>
        </is>
      </c>
      <c r="D2161" s="50" t="n">
        <v>3610000</v>
      </c>
      <c r="E2161" s="50" t="n">
        <v>221825000</v>
      </c>
    </row>
    <row r="2162">
      <c r="C2162" t="inlineStr">
        <is>
          <t>MMCT%</t>
        </is>
      </c>
      <c r="D2162" s="31" t="n">
        <v>0.01449275362318841</v>
      </c>
      <c r="E2162" s="31" t="n">
        <v>0.0903781979977753</v>
      </c>
      <c r="F2162">
        <f>IFERROR(D2162-E2162,0)</f>
        <v/>
      </c>
    </row>
    <row r="2163">
      <c r="C2163" t="inlineStr">
        <is>
          <t>MINB%</t>
        </is>
      </c>
      <c r="D2163" s="31" t="n">
        <v>0.07246376811594203</v>
      </c>
      <c r="E2163" s="31" t="n">
        <v>0.1660177975528365</v>
      </c>
      <c r="F2163">
        <f>IFERROR(D2163-E2163,0)</f>
        <v/>
      </c>
    </row>
    <row r="2164">
      <c r="C2164" t="inlineStr">
        <is>
          <t>Asian%</t>
        </is>
      </c>
      <c r="D2164" s="31" t="n">
        <v>0</v>
      </c>
      <c r="E2164" s="31" t="n">
        <v>0</v>
      </c>
      <c r="F2164">
        <f>IFERROR(D2164-E2164,0)</f>
        <v/>
      </c>
    </row>
    <row r="2165">
      <c r="C2165" t="inlineStr">
        <is>
          <t>Black%</t>
        </is>
      </c>
      <c r="D2165" s="31" t="n">
        <v>0</v>
      </c>
      <c r="E2165" s="31" t="n">
        <v>0</v>
      </c>
      <c r="F2165">
        <f>IFERROR(D2165-E2165,0)</f>
        <v/>
      </c>
    </row>
    <row r="2166">
      <c r="C2166" t="inlineStr">
        <is>
          <t>Native American%</t>
        </is>
      </c>
      <c r="D2166" s="31" t="n">
        <v>0</v>
      </c>
      <c r="E2166" s="31" t="n">
        <v>0</v>
      </c>
      <c r="F2166">
        <f>IFERROR(D2166-E2166,0)</f>
        <v/>
      </c>
    </row>
    <row r="2167">
      <c r="C2167" t="inlineStr">
        <is>
          <t>HoPI%</t>
        </is>
      </c>
      <c r="D2167" s="31" t="n">
        <v>0</v>
      </c>
      <c r="E2167" s="31" t="n">
        <v>0</v>
      </c>
      <c r="F2167">
        <f>IFERROR(D2167-E2167,0)</f>
        <v/>
      </c>
    </row>
    <row r="2168">
      <c r="C2168" t="inlineStr">
        <is>
          <t>Hispanic%</t>
        </is>
      </c>
      <c r="D2168" s="31" t="n">
        <v>0.07246376811594203</v>
      </c>
      <c r="E2168" s="31" t="n">
        <v>0.1660177975528365</v>
      </c>
      <c r="F2168">
        <f>IFERROR(D2168-E2168,0)</f>
        <v/>
      </c>
    </row>
    <row r="2169">
      <c r="B2169" t="inlineStr">
        <is>
          <t>Reading, PA</t>
        </is>
      </c>
      <c r="C2169" t="inlineStr">
        <is>
          <t>Loans</t>
        </is>
      </c>
      <c r="D2169" t="n">
        <v>69</v>
      </c>
      <c r="E2169" t="n">
        <v>3596</v>
      </c>
    </row>
    <row r="2170">
      <c r="C2170" t="inlineStr">
        <is>
          <t>LMICT%</t>
        </is>
      </c>
      <c r="D2170" s="31" t="n">
        <v>0.0588235294117647</v>
      </c>
      <c r="E2170" s="31" t="n">
        <v>0.02380952380952381</v>
      </c>
      <c r="F2170">
        <f>IFERROR(D2170-E2170,0)</f>
        <v/>
      </c>
    </row>
    <row r="2171">
      <c r="C2171" t="inlineStr">
        <is>
          <t>LMIB%</t>
        </is>
      </c>
      <c r="D2171" s="31" t="n">
        <v>0.3529411764705883</v>
      </c>
      <c r="E2171" s="31" t="n">
        <v>0.4940476190476191</v>
      </c>
      <c r="F2171">
        <f>IFERROR(D2171-E2171,0)</f>
        <v/>
      </c>
    </row>
    <row r="2172">
      <c r="C2172" t="inlineStr">
        <is>
          <t>LMIB$</t>
        </is>
      </c>
      <c r="D2172" s="50" t="n">
        <v>540000</v>
      </c>
      <c r="E2172" s="50" t="n">
        <v>8165000</v>
      </c>
    </row>
    <row r="2173">
      <c r="C2173" t="inlineStr">
        <is>
          <t>MMCT%</t>
        </is>
      </c>
      <c r="D2173" s="31" t="n">
        <v>0</v>
      </c>
      <c r="E2173" s="31" t="n">
        <v>0</v>
      </c>
      <c r="F2173">
        <f>IFERROR(D2173-E2173,0)</f>
        <v/>
      </c>
    </row>
    <row r="2174">
      <c r="C2174" t="inlineStr">
        <is>
          <t>MINB%</t>
        </is>
      </c>
      <c r="D2174" s="31" t="n">
        <v>0</v>
      </c>
      <c r="E2174" s="31" t="n">
        <v>0.01785714285714286</v>
      </c>
      <c r="F2174">
        <f>IFERROR(D2174-E2174,0)</f>
        <v/>
      </c>
    </row>
    <row r="2175">
      <c r="C2175" t="inlineStr">
        <is>
          <t>Asian%</t>
        </is>
      </c>
      <c r="D2175" s="31" t="n">
        <v>0</v>
      </c>
      <c r="E2175" s="31" t="n">
        <v>0</v>
      </c>
      <c r="F2175">
        <f>IFERROR(D2175-E2175,0)</f>
        <v/>
      </c>
    </row>
    <row r="2176">
      <c r="C2176" t="inlineStr">
        <is>
          <t>Black%</t>
        </is>
      </c>
      <c r="D2176" s="31" t="n">
        <v>0</v>
      </c>
      <c r="E2176" s="31" t="n">
        <v>0</v>
      </c>
      <c r="F2176">
        <f>IFERROR(D2176-E2176,0)</f>
        <v/>
      </c>
    </row>
    <row r="2177">
      <c r="C2177" t="inlineStr">
        <is>
          <t>Native American%</t>
        </is>
      </c>
      <c r="D2177" s="31" t="n">
        <v>0</v>
      </c>
      <c r="E2177" s="31" t="n">
        <v>0</v>
      </c>
      <c r="F2177">
        <f>IFERROR(D2177-E2177,0)</f>
        <v/>
      </c>
    </row>
    <row r="2178">
      <c r="C2178" t="inlineStr">
        <is>
          <t>HoPI%</t>
        </is>
      </c>
      <c r="D2178" s="31" t="n">
        <v>0</v>
      </c>
      <c r="E2178" s="31" t="n">
        <v>0</v>
      </c>
      <c r="F2178">
        <f>IFERROR(D2178-E2178,0)</f>
        <v/>
      </c>
    </row>
    <row r="2179">
      <c r="C2179" t="inlineStr">
        <is>
          <t>Hispanic%</t>
        </is>
      </c>
      <c r="D2179" s="31" t="n">
        <v>0</v>
      </c>
      <c r="E2179" s="31" t="n">
        <v>0.01785714285714286</v>
      </c>
      <c r="F2179">
        <f>IFERROR(D2179-E2179,0)</f>
        <v/>
      </c>
    </row>
    <row r="2180">
      <c r="B2180" t="inlineStr">
        <is>
          <t>Pennsylvania Non-MSA</t>
        </is>
      </c>
      <c r="C2180" t="inlineStr">
        <is>
          <t>Loans</t>
        </is>
      </c>
      <c r="D2180" t="n">
        <v>17</v>
      </c>
      <c r="E2180" t="n">
        <v>168</v>
      </c>
    </row>
    <row r="2181">
      <c r="C2181" t="inlineStr">
        <is>
          <t>LMICT%</t>
        </is>
      </c>
      <c r="D2181" s="31" t="n">
        <v>0.2533692722371967</v>
      </c>
      <c r="E2181" s="31" t="n">
        <v>0.2402669632925473</v>
      </c>
      <c r="F2181">
        <f>IFERROR(D2181-E2181,0)</f>
        <v/>
      </c>
    </row>
    <row r="2182">
      <c r="C2182" t="inlineStr">
        <is>
          <t>LMIB%</t>
        </is>
      </c>
      <c r="D2182" s="31" t="n">
        <v>0.4366576819407008</v>
      </c>
      <c r="E2182" s="31" t="n">
        <v>0.4495272525027809</v>
      </c>
      <c r="F2182">
        <f>IFERROR(D2182-E2182,0)</f>
        <v/>
      </c>
    </row>
    <row r="2183">
      <c r="C2183" t="inlineStr">
        <is>
          <t>LMIB$</t>
        </is>
      </c>
      <c r="D2183" s="50" t="n">
        <v>18340000</v>
      </c>
      <c r="E2183" s="50" t="n">
        <v>445445000</v>
      </c>
    </row>
    <row r="2184">
      <c r="C2184" t="inlineStr">
        <is>
          <t>MMCT%</t>
        </is>
      </c>
      <c r="D2184" s="31" t="n">
        <v>0.08894878706199461</v>
      </c>
      <c r="E2184" s="31" t="n">
        <v>0.1003893214682981</v>
      </c>
      <c r="F2184">
        <f>IFERROR(D2184-E2184,0)</f>
        <v/>
      </c>
    </row>
    <row r="2185">
      <c r="C2185" t="inlineStr">
        <is>
          <t>MINB%</t>
        </is>
      </c>
      <c r="D2185" s="31" t="n">
        <v>0.169811320754717</v>
      </c>
      <c r="E2185" s="31" t="n">
        <v>0.2185761957730812</v>
      </c>
      <c r="F2185">
        <f>IFERROR(D2185-E2185,0)</f>
        <v/>
      </c>
    </row>
    <row r="2186">
      <c r="C2186" t="inlineStr">
        <is>
          <t>Asian%</t>
        </is>
      </c>
      <c r="D2186" s="31" t="n">
        <v>0</v>
      </c>
      <c r="E2186" s="31" t="n">
        <v>0</v>
      </c>
      <c r="F2186">
        <f>IFERROR(D2186-E2186,0)</f>
        <v/>
      </c>
    </row>
    <row r="2187">
      <c r="C2187" t="inlineStr">
        <is>
          <t>Black%</t>
        </is>
      </c>
      <c r="D2187" s="31" t="n">
        <v>0</v>
      </c>
      <c r="E2187" s="31" t="n">
        <v>0</v>
      </c>
      <c r="F2187">
        <f>IFERROR(D2187-E2187,0)</f>
        <v/>
      </c>
    </row>
    <row r="2188">
      <c r="C2188" t="inlineStr">
        <is>
          <t>Native American%</t>
        </is>
      </c>
      <c r="D2188" s="31" t="n">
        <v>0</v>
      </c>
      <c r="E2188" s="31" t="n">
        <v>0</v>
      </c>
      <c r="F2188">
        <f>IFERROR(D2188-E2188,0)</f>
        <v/>
      </c>
    </row>
    <row r="2189">
      <c r="C2189" t="inlineStr">
        <is>
          <t>HoPI%</t>
        </is>
      </c>
      <c r="D2189" s="31" t="n">
        <v>0</v>
      </c>
      <c r="E2189" s="31" t="n">
        <v>0</v>
      </c>
      <c r="F2189">
        <f>IFERROR(D2189-E2189,0)</f>
        <v/>
      </c>
    </row>
    <row r="2190">
      <c r="C2190" t="inlineStr">
        <is>
          <t>Hispanic%</t>
        </is>
      </c>
      <c r="D2190" s="31" t="n">
        <v>0.169811320754717</v>
      </c>
      <c r="E2190" s="31" t="n">
        <v>0.2185761957730812</v>
      </c>
      <c r="F2190">
        <f>IFERROR(D2190-E2190,0)</f>
        <v/>
      </c>
    </row>
    <row r="2191">
      <c r="B2191" t="inlineStr">
        <is>
          <t>Scranton—Wilkes-Barre, PA</t>
        </is>
      </c>
      <c r="C2191" t="inlineStr">
        <is>
          <t>Loans</t>
        </is>
      </c>
      <c r="D2191" t="n">
        <v>371</v>
      </c>
      <c r="E2191" t="n">
        <v>7192</v>
      </c>
    </row>
    <row r="2192">
      <c r="C2192" t="inlineStr">
        <is>
          <t>LMICT%</t>
        </is>
      </c>
      <c r="D2192" s="31" t="n">
        <v>0.025</v>
      </c>
      <c r="E2192" s="31" t="n">
        <v>0.05321507760532151</v>
      </c>
      <c r="F2192">
        <f>IFERROR(D2192-E2192,0)</f>
        <v/>
      </c>
    </row>
    <row r="2193">
      <c r="C2193" t="inlineStr">
        <is>
          <t>LMIB%</t>
        </is>
      </c>
      <c r="D2193" s="31" t="n">
        <v>0.4</v>
      </c>
      <c r="E2193" s="31" t="n">
        <v>0.3348115299334812</v>
      </c>
      <c r="F2193">
        <f>IFERROR(D2193-E2193,0)</f>
        <v/>
      </c>
    </row>
    <row r="2194">
      <c r="C2194" t="inlineStr">
        <is>
          <t>LMIB$</t>
        </is>
      </c>
      <c r="D2194" s="50" t="n">
        <v>1460000</v>
      </c>
      <c r="E2194" s="50" t="n">
        <v>14695000</v>
      </c>
    </row>
    <row r="2195">
      <c r="C2195" t="inlineStr">
        <is>
          <t>MMCT%</t>
        </is>
      </c>
      <c r="D2195" s="31" t="n">
        <v>0</v>
      </c>
      <c r="E2195" s="31" t="n">
        <v>0</v>
      </c>
      <c r="F2195">
        <f>IFERROR(D2195-E2195,0)</f>
        <v/>
      </c>
    </row>
    <row r="2196">
      <c r="C2196" t="inlineStr">
        <is>
          <t>MINB%</t>
        </is>
      </c>
      <c r="D2196" s="31" t="n">
        <v>0</v>
      </c>
      <c r="E2196" s="31" t="n">
        <v>0.01552106430155211</v>
      </c>
      <c r="F2196">
        <f>IFERROR(D2196-E2196,0)</f>
        <v/>
      </c>
    </row>
    <row r="2197">
      <c r="C2197" t="inlineStr">
        <is>
          <t>Asian%</t>
        </is>
      </c>
      <c r="D2197" s="31" t="n">
        <v>0</v>
      </c>
      <c r="E2197" s="31" t="n">
        <v>0</v>
      </c>
      <c r="F2197">
        <f>IFERROR(D2197-E2197,0)</f>
        <v/>
      </c>
    </row>
    <row r="2198">
      <c r="C2198" t="inlineStr">
        <is>
          <t>Black%</t>
        </is>
      </c>
      <c r="D2198" s="31" t="n">
        <v>0</v>
      </c>
      <c r="E2198" s="31" t="n">
        <v>0</v>
      </c>
      <c r="F2198">
        <f>IFERROR(D2198-E2198,0)</f>
        <v/>
      </c>
    </row>
    <row r="2199">
      <c r="C2199" t="inlineStr">
        <is>
          <t>Native American%</t>
        </is>
      </c>
      <c r="D2199" s="31" t="n">
        <v>0</v>
      </c>
      <c r="E2199" s="31" t="n">
        <v>0</v>
      </c>
      <c r="F2199">
        <f>IFERROR(D2199-E2199,0)</f>
        <v/>
      </c>
    </row>
    <row r="2200">
      <c r="C2200" t="inlineStr">
        <is>
          <t>HoPI%</t>
        </is>
      </c>
      <c r="D2200" s="31" t="n">
        <v>0</v>
      </c>
      <c r="E2200" s="31" t="n">
        <v>0</v>
      </c>
      <c r="F2200">
        <f>IFERROR(D2200-E2200,0)</f>
        <v/>
      </c>
    </row>
    <row r="2201">
      <c r="C2201" t="inlineStr">
        <is>
          <t>Hispanic%</t>
        </is>
      </c>
      <c r="D2201" s="31" t="n">
        <v>0</v>
      </c>
      <c r="E2201" s="31" t="n">
        <v>0.01552106430155211</v>
      </c>
      <c r="F2201">
        <f>IFERROR(D2201-E2201,0)</f>
        <v/>
      </c>
    </row>
    <row r="2202">
      <c r="B2202" t="inlineStr">
        <is>
          <t>Pennsylvania Non-MSA</t>
        </is>
      </c>
      <c r="C2202" t="inlineStr">
        <is>
          <t>Loans</t>
        </is>
      </c>
      <c r="D2202" t="n">
        <v>40</v>
      </c>
      <c r="E2202" t="n">
        <v>451</v>
      </c>
    </row>
    <row r="2203">
      <c r="C2203" t="inlineStr">
        <is>
          <t>LMICT%</t>
        </is>
      </c>
      <c r="D2203" s="31" t="n">
        <v>0.2061855670103093</v>
      </c>
      <c r="E2203" s="31" t="n">
        <v>0.1898238747553816</v>
      </c>
      <c r="F2203">
        <f>IFERROR(D2203-E2203,0)</f>
        <v/>
      </c>
    </row>
    <row r="2204">
      <c r="C2204" t="inlineStr">
        <is>
          <t>LMIB%</t>
        </is>
      </c>
      <c r="D2204" s="31" t="n">
        <v>0.3195876288659794</v>
      </c>
      <c r="E2204" s="31" t="n">
        <v>0.3659491193737769</v>
      </c>
      <c r="F2204">
        <f>IFERROR(D2204-E2204,0)</f>
        <v/>
      </c>
    </row>
    <row r="2205">
      <c r="C2205" t="inlineStr">
        <is>
          <t>LMIB$</t>
        </is>
      </c>
      <c r="D2205" s="50" t="n">
        <v>6795000</v>
      </c>
      <c r="E2205" s="50" t="n">
        <v>101295000</v>
      </c>
    </row>
    <row r="2206">
      <c r="C2206" t="inlineStr">
        <is>
          <t>MMCT%</t>
        </is>
      </c>
      <c r="D2206" s="31" t="n">
        <v>0</v>
      </c>
      <c r="E2206" s="31" t="n">
        <v>0.0006523157208088715</v>
      </c>
      <c r="F2206">
        <f>IFERROR(D2206-E2206,0)</f>
        <v/>
      </c>
    </row>
    <row r="2207">
      <c r="C2207" t="inlineStr">
        <is>
          <t>MINB%</t>
        </is>
      </c>
      <c r="D2207" s="31" t="n">
        <v>0.03092783505154639</v>
      </c>
      <c r="E2207" s="31" t="n">
        <v>0.0182648401826484</v>
      </c>
      <c r="F2207">
        <f>IFERROR(D2207-E2207,0)</f>
        <v/>
      </c>
    </row>
    <row r="2208">
      <c r="C2208" t="inlineStr">
        <is>
          <t>Asian%</t>
        </is>
      </c>
      <c r="D2208" s="31" t="n">
        <v>0</v>
      </c>
      <c r="E2208" s="31" t="n">
        <v>0</v>
      </c>
      <c r="F2208">
        <f>IFERROR(D2208-E2208,0)</f>
        <v/>
      </c>
    </row>
    <row r="2209">
      <c r="C2209" t="inlineStr">
        <is>
          <t>Black%</t>
        </is>
      </c>
      <c r="D2209" s="31" t="n">
        <v>0</v>
      </c>
      <c r="E2209" s="31" t="n">
        <v>0</v>
      </c>
      <c r="F2209">
        <f>IFERROR(D2209-E2209,0)</f>
        <v/>
      </c>
    </row>
    <row r="2210">
      <c r="C2210" t="inlineStr">
        <is>
          <t>Native American%</t>
        </is>
      </c>
      <c r="D2210" s="31" t="n">
        <v>0</v>
      </c>
      <c r="E2210" s="31" t="n">
        <v>0</v>
      </c>
      <c r="F2210">
        <f>IFERROR(D2210-E2210,0)</f>
        <v/>
      </c>
    </row>
    <row r="2211">
      <c r="C2211" t="inlineStr">
        <is>
          <t>HoPI%</t>
        </is>
      </c>
      <c r="D2211" s="31" t="n">
        <v>0</v>
      </c>
      <c r="E2211" s="31" t="n">
        <v>0</v>
      </c>
      <c r="F2211">
        <f>IFERROR(D2211-E2211,0)</f>
        <v/>
      </c>
    </row>
    <row r="2212">
      <c r="C2212" t="inlineStr">
        <is>
          <t>Hispanic%</t>
        </is>
      </c>
      <c r="D2212" s="31" t="n">
        <v>0.03092783505154639</v>
      </c>
      <c r="E2212" s="31" t="n">
        <v>0.0182648401826484</v>
      </c>
      <c r="F2212">
        <f>IFERROR(D2212-E2212,0)</f>
        <v/>
      </c>
    </row>
    <row r="2213">
      <c r="B2213" t="inlineStr">
        <is>
          <t>State College, PA</t>
        </is>
      </c>
      <c r="C2213" t="inlineStr">
        <is>
          <t>Loans</t>
        </is>
      </c>
      <c r="D2213" t="n">
        <v>97</v>
      </c>
      <c r="E2213" t="n">
        <v>1533</v>
      </c>
    </row>
    <row r="2214">
      <c r="C2214" t="inlineStr">
        <is>
          <t>LMICT%</t>
        </is>
      </c>
      <c r="D2214" s="31" t="n">
        <v>0.04545454545454546</v>
      </c>
      <c r="E2214" s="31" t="n">
        <v>0.01923076923076923</v>
      </c>
      <c r="F2214">
        <f>IFERROR(D2214-E2214,0)</f>
        <v/>
      </c>
    </row>
    <row r="2215">
      <c r="C2215" t="inlineStr">
        <is>
          <t>LMIB%</t>
        </is>
      </c>
      <c r="D2215" s="31" t="n">
        <v>0.3409090909090909</v>
      </c>
      <c r="E2215" s="31" t="n">
        <v>0.4384615384615385</v>
      </c>
      <c r="F2215">
        <f>IFERROR(D2215-E2215,0)</f>
        <v/>
      </c>
    </row>
    <row r="2216">
      <c r="C2216" t="inlineStr">
        <is>
          <t>LMIB$</t>
        </is>
      </c>
      <c r="D2216" s="50" t="n">
        <v>1725000</v>
      </c>
      <c r="E2216" s="50" t="n">
        <v>11260000</v>
      </c>
    </row>
    <row r="2217">
      <c r="C2217" t="inlineStr">
        <is>
          <t>MMCT%</t>
        </is>
      </c>
      <c r="D2217" s="31" t="n">
        <v>0</v>
      </c>
      <c r="E2217" s="31" t="n">
        <v>0</v>
      </c>
      <c r="F2217">
        <f>IFERROR(D2217-E2217,0)</f>
        <v/>
      </c>
    </row>
    <row r="2218">
      <c r="C2218" t="inlineStr">
        <is>
          <t>MINB%</t>
        </is>
      </c>
      <c r="D2218" s="31" t="n">
        <v>0</v>
      </c>
      <c r="E2218" s="31" t="n">
        <v>0.01153846153846154</v>
      </c>
      <c r="F2218">
        <f>IFERROR(D2218-E2218,0)</f>
        <v/>
      </c>
    </row>
    <row r="2219">
      <c r="C2219" t="inlineStr">
        <is>
          <t>Asian%</t>
        </is>
      </c>
      <c r="D2219" s="31" t="n">
        <v>0</v>
      </c>
      <c r="E2219" s="31" t="n">
        <v>0</v>
      </c>
      <c r="F2219">
        <f>IFERROR(D2219-E2219,0)</f>
        <v/>
      </c>
    </row>
    <row r="2220">
      <c r="C2220" t="inlineStr">
        <is>
          <t>Black%</t>
        </is>
      </c>
      <c r="D2220" s="31" t="n">
        <v>0</v>
      </c>
      <c r="E2220" s="31" t="n">
        <v>0</v>
      </c>
      <c r="F2220">
        <f>IFERROR(D2220-E2220,0)</f>
        <v/>
      </c>
    </row>
    <row r="2221">
      <c r="C2221" t="inlineStr">
        <is>
          <t>Native American%</t>
        </is>
      </c>
      <c r="D2221" s="31" t="n">
        <v>0</v>
      </c>
      <c r="E2221" s="31" t="n">
        <v>0</v>
      </c>
      <c r="F2221">
        <f>IFERROR(D2221-E2221,0)</f>
        <v/>
      </c>
    </row>
    <row r="2222">
      <c r="C2222" t="inlineStr">
        <is>
          <t>HoPI%</t>
        </is>
      </c>
      <c r="D2222" s="31" t="n">
        <v>0</v>
      </c>
      <c r="E2222" s="31" t="n">
        <v>0</v>
      </c>
      <c r="F2222">
        <f>IFERROR(D2222-E2222,0)</f>
        <v/>
      </c>
    </row>
    <row r="2223">
      <c r="C2223" t="inlineStr">
        <is>
          <t>Hispanic%</t>
        </is>
      </c>
      <c r="D2223" s="31" t="n">
        <v>0</v>
      </c>
      <c r="E2223" s="31" t="n">
        <v>0.01153846153846154</v>
      </c>
      <c r="F2223">
        <f>IFERROR(D2223-E2223,0)</f>
        <v/>
      </c>
    </row>
    <row r="2224">
      <c r="B2224" t="inlineStr">
        <is>
          <t>Pennsylvania Non-MSA</t>
        </is>
      </c>
      <c r="C2224" t="inlineStr">
        <is>
          <t>Loans</t>
        </is>
      </c>
      <c r="D2224" t="n">
        <v>44</v>
      </c>
      <c r="E2224" t="n">
        <v>260</v>
      </c>
    </row>
    <row r="2225">
      <c r="C2225" t="inlineStr">
        <is>
          <t>LMICT%</t>
        </is>
      </c>
      <c r="D2225" s="31" t="n">
        <v>0.1612903225806452</v>
      </c>
      <c r="E2225" s="31" t="n">
        <v>0.07724719101123595</v>
      </c>
      <c r="F2225">
        <f>IFERROR(D2225-E2225,0)</f>
        <v/>
      </c>
    </row>
    <row r="2226">
      <c r="C2226" t="inlineStr">
        <is>
          <t>LMIB%</t>
        </is>
      </c>
      <c r="D2226" s="31" t="n">
        <v>0.3548387096774194</v>
      </c>
      <c r="E2226" s="31" t="n">
        <v>0.3314606741573033</v>
      </c>
      <c r="F2226">
        <f>IFERROR(D2226-E2226,0)</f>
        <v/>
      </c>
    </row>
    <row r="2227">
      <c r="C2227" t="inlineStr">
        <is>
          <t>LMIB$</t>
        </is>
      </c>
      <c r="D2227" s="50" t="n">
        <v>1395000</v>
      </c>
      <c r="E2227" s="50" t="n">
        <v>32370000</v>
      </c>
    </row>
    <row r="2228">
      <c r="C2228" t="inlineStr">
        <is>
          <t>MMCT%</t>
        </is>
      </c>
      <c r="D2228" s="31" t="n">
        <v>0</v>
      </c>
      <c r="E2228" s="31" t="n">
        <v>0.007022471910112359</v>
      </c>
      <c r="F2228">
        <f>IFERROR(D2228-E2228,0)</f>
        <v/>
      </c>
    </row>
    <row r="2229">
      <c r="C2229" t="inlineStr">
        <is>
          <t>MINB%</t>
        </is>
      </c>
      <c r="D2229" s="31" t="n">
        <v>0</v>
      </c>
      <c r="E2229" s="31" t="n">
        <v>0.01404494382022472</v>
      </c>
      <c r="F2229">
        <f>IFERROR(D2229-E2229,0)</f>
        <v/>
      </c>
    </row>
    <row r="2230">
      <c r="C2230" t="inlineStr">
        <is>
          <t>Asian%</t>
        </is>
      </c>
      <c r="D2230" s="31" t="n">
        <v>0</v>
      </c>
      <c r="E2230" s="31" t="n">
        <v>0</v>
      </c>
      <c r="F2230">
        <f>IFERROR(D2230-E2230,0)</f>
        <v/>
      </c>
    </row>
    <row r="2231">
      <c r="C2231" t="inlineStr">
        <is>
          <t>Black%</t>
        </is>
      </c>
      <c r="D2231" s="31" t="n">
        <v>0</v>
      </c>
      <c r="E2231" s="31" t="n">
        <v>0</v>
      </c>
      <c r="F2231">
        <f>IFERROR(D2231-E2231,0)</f>
        <v/>
      </c>
    </row>
    <row r="2232">
      <c r="C2232" t="inlineStr">
        <is>
          <t>Native American%</t>
        </is>
      </c>
      <c r="D2232" s="31" t="n">
        <v>0</v>
      </c>
      <c r="E2232" s="31" t="n">
        <v>0</v>
      </c>
      <c r="F2232">
        <f>IFERROR(D2232-E2232,0)</f>
        <v/>
      </c>
    </row>
    <row r="2233">
      <c r="C2233" t="inlineStr">
        <is>
          <t>HoPI%</t>
        </is>
      </c>
      <c r="D2233" s="31" t="n">
        <v>0</v>
      </c>
      <c r="E2233" s="31" t="n">
        <v>0</v>
      </c>
      <c r="F2233">
        <f>IFERROR(D2233-E2233,0)</f>
        <v/>
      </c>
    </row>
    <row r="2234">
      <c r="C2234" t="inlineStr">
        <is>
          <t>Hispanic%</t>
        </is>
      </c>
      <c r="D2234" s="31" t="n">
        <v>0</v>
      </c>
      <c r="E2234" s="31" t="n">
        <v>0.01404494382022472</v>
      </c>
      <c r="F2234">
        <f>IFERROR(D2234-E2234,0)</f>
        <v/>
      </c>
    </row>
    <row r="2235">
      <c r="B2235" t="inlineStr">
        <is>
          <t>Williamsport, PA</t>
        </is>
      </c>
      <c r="C2235" t="inlineStr">
        <is>
          <t>Loans</t>
        </is>
      </c>
      <c r="D2235" t="n">
        <v>31</v>
      </c>
      <c r="E2235" t="n">
        <v>712</v>
      </c>
    </row>
    <row r="2236">
      <c r="C2236" t="inlineStr">
        <is>
          <t>LMICT%</t>
        </is>
      </c>
      <c r="D2236" s="31" t="n">
        <v>0.1102362204724409</v>
      </c>
      <c r="E2236" s="31" t="n">
        <v>0.09875583203732503</v>
      </c>
      <c r="F2236">
        <f>IFERROR(D2236-E2236,0)</f>
        <v/>
      </c>
    </row>
    <row r="2237">
      <c r="C2237" t="inlineStr">
        <is>
          <t>LMIB%</t>
        </is>
      </c>
      <c r="D2237" s="31" t="n">
        <v>0.4015748031496063</v>
      </c>
      <c r="E2237" s="31" t="n">
        <v>0.3955417314670814</v>
      </c>
      <c r="F2237">
        <f>IFERROR(D2237-E2237,0)</f>
        <v/>
      </c>
    </row>
    <row r="2238">
      <c r="C2238" t="inlineStr">
        <is>
          <t>LMIB$</t>
        </is>
      </c>
      <c r="D2238" s="50" t="n">
        <v>16920000</v>
      </c>
      <c r="E2238" s="50" t="n">
        <v>535420000</v>
      </c>
    </row>
    <row r="2239">
      <c r="C2239" t="inlineStr">
        <is>
          <t>MMCT%</t>
        </is>
      </c>
      <c r="D2239" s="31" t="n">
        <v>0.03937007874015748</v>
      </c>
      <c r="E2239" s="31" t="n">
        <v>0.04743390357698289</v>
      </c>
      <c r="F2239">
        <f>IFERROR(D2239-E2239,0)</f>
        <v/>
      </c>
    </row>
    <row r="2240">
      <c r="C2240" t="inlineStr">
        <is>
          <t>MINB%</t>
        </is>
      </c>
      <c r="D2240" s="31" t="n">
        <v>0.01574803149606299</v>
      </c>
      <c r="E2240" s="31" t="n">
        <v>0.09486780715396578</v>
      </c>
      <c r="F2240">
        <f>IFERROR(D2240-E2240,0)</f>
        <v/>
      </c>
    </row>
    <row r="2241">
      <c r="C2241" t="inlineStr">
        <is>
          <t>Asian%</t>
        </is>
      </c>
      <c r="D2241" s="31" t="n">
        <v>0</v>
      </c>
      <c r="E2241" s="31" t="n">
        <v>0</v>
      </c>
      <c r="F2241">
        <f>IFERROR(D2241-E2241,0)</f>
        <v/>
      </c>
    </row>
    <row r="2242">
      <c r="C2242" t="inlineStr">
        <is>
          <t>Black%</t>
        </is>
      </c>
      <c r="D2242" s="31" t="n">
        <v>0</v>
      </c>
      <c r="E2242" s="31" t="n">
        <v>0</v>
      </c>
      <c r="F2242">
        <f>IFERROR(D2242-E2242,0)</f>
        <v/>
      </c>
    </row>
    <row r="2243">
      <c r="C2243" t="inlineStr">
        <is>
          <t>Native American%</t>
        </is>
      </c>
      <c r="D2243" s="31" t="n">
        <v>0</v>
      </c>
      <c r="E2243" s="31" t="n">
        <v>0</v>
      </c>
      <c r="F2243">
        <f>IFERROR(D2243-E2243,0)</f>
        <v/>
      </c>
    </row>
    <row r="2244">
      <c r="C2244" t="inlineStr">
        <is>
          <t>HoPI%</t>
        </is>
      </c>
      <c r="D2244" s="31" t="n">
        <v>0</v>
      </c>
      <c r="E2244" s="31" t="n">
        <v>0</v>
      </c>
      <c r="F2244">
        <f>IFERROR(D2244-E2244,0)</f>
        <v/>
      </c>
    </row>
    <row r="2245">
      <c r="C2245" t="inlineStr">
        <is>
          <t>Hispanic%</t>
        </is>
      </c>
      <c r="D2245" s="31" t="n">
        <v>0.01574803149606299</v>
      </c>
      <c r="E2245" s="31" t="n">
        <v>0.09486780715396578</v>
      </c>
      <c r="F2245">
        <f>IFERROR(D2245-E2245,0)</f>
        <v/>
      </c>
    </row>
    <row r="2246">
      <c r="B2246" t="inlineStr">
        <is>
          <t>York-Hanover, PA</t>
        </is>
      </c>
      <c r="C2246" t="inlineStr">
        <is>
          <t>Loans</t>
        </is>
      </c>
      <c r="D2246" t="n">
        <v>254</v>
      </c>
      <c r="E2246" t="n">
        <v>7716</v>
      </c>
    </row>
    <row r="2247">
      <c r="C2247" t="inlineStr">
        <is>
          <t>LMICT%</t>
        </is>
      </c>
      <c r="D2247" s="31" t="n">
        <v>0.09411764705882353</v>
      </c>
      <c r="E2247" s="31" t="n">
        <v>0.2142078488372093</v>
      </c>
      <c r="F2247">
        <f>IFERROR(D2247-E2247,0)</f>
        <v/>
      </c>
    </row>
    <row r="2248">
      <c r="C2248" t="inlineStr">
        <is>
          <t>LMIB%</t>
        </is>
      </c>
      <c r="D2248" s="31" t="n">
        <v>0.06470588235294118</v>
      </c>
      <c r="E2248" s="31" t="n">
        <v>0.2023074127906977</v>
      </c>
      <c r="F2248">
        <f>IFERROR(D2248-E2248,0)</f>
        <v/>
      </c>
    </row>
    <row r="2249">
      <c r="C2249" t="inlineStr">
        <is>
          <t>LMIB$</t>
        </is>
      </c>
      <c r="D2249" s="50" t="n">
        <v>2625000</v>
      </c>
      <c r="E2249" s="50" t="n">
        <v>591545000</v>
      </c>
    </row>
    <row r="2250">
      <c r="C2250" t="inlineStr">
        <is>
          <t>MMCT%</t>
        </is>
      </c>
      <c r="D2250" s="31" t="n">
        <v>0.1</v>
      </c>
      <c r="E2250" s="31" t="n">
        <v>0.1986736918604651</v>
      </c>
      <c r="F2250">
        <f>IFERROR(D2250-E2250,0)</f>
        <v/>
      </c>
    </row>
    <row r="2251">
      <c r="C2251" t="inlineStr">
        <is>
          <t>MINB%</t>
        </is>
      </c>
      <c r="D2251" s="31" t="n">
        <v>0.07647058823529412</v>
      </c>
      <c r="E2251" s="31" t="n">
        <v>0.07821584302325581</v>
      </c>
      <c r="F2251">
        <f>IFERROR(D2251-E2251,0)</f>
        <v/>
      </c>
    </row>
    <row r="2252">
      <c r="C2252" t="inlineStr">
        <is>
          <t>Asian%</t>
        </is>
      </c>
      <c r="D2252" s="31" t="n">
        <v>0</v>
      </c>
      <c r="E2252" s="31" t="n">
        <v>0</v>
      </c>
      <c r="F2252">
        <f>IFERROR(D2252-E2252,0)</f>
        <v/>
      </c>
    </row>
    <row r="2253">
      <c r="C2253" t="inlineStr">
        <is>
          <t>Black%</t>
        </is>
      </c>
      <c r="D2253" s="31" t="n">
        <v>0</v>
      </c>
      <c r="E2253" s="31" t="n">
        <v>0</v>
      </c>
      <c r="F2253">
        <f>IFERROR(D2253-E2253,0)</f>
        <v/>
      </c>
    </row>
    <row r="2254">
      <c r="C2254" t="inlineStr">
        <is>
          <t>Native American%</t>
        </is>
      </c>
      <c r="D2254" s="31" t="n">
        <v>0</v>
      </c>
      <c r="E2254" s="31" t="n">
        <v>0</v>
      </c>
      <c r="F2254">
        <f>IFERROR(D2254-E2254,0)</f>
        <v/>
      </c>
    </row>
    <row r="2255">
      <c r="C2255" t="inlineStr">
        <is>
          <t>HoPI%</t>
        </is>
      </c>
      <c r="D2255" s="31" t="n">
        <v>0</v>
      </c>
      <c r="E2255" s="31" t="n">
        <v>0</v>
      </c>
      <c r="F2255">
        <f>IFERROR(D2255-E2255,0)</f>
        <v/>
      </c>
    </row>
    <row r="2256">
      <c r="C2256" t="inlineStr">
        <is>
          <t>Hispanic%</t>
        </is>
      </c>
      <c r="D2256" s="31" t="n">
        <v>0.07647058823529412</v>
      </c>
      <c r="E2256" s="31" t="n">
        <v>0.07821584302325581</v>
      </c>
      <c r="F2256">
        <f>IFERROR(D2256-E2256,0)</f>
        <v/>
      </c>
    </row>
    <row r="2257">
      <c r="A2257" t="inlineStr">
        <is>
          <t>Tennessee</t>
        </is>
      </c>
      <c r="B2257" t="inlineStr">
        <is>
          <t>Nashville-Davidson-Murfreesboro-Franklin, TN</t>
        </is>
      </c>
      <c r="C2257" t="inlineStr">
        <is>
          <t>Loans</t>
        </is>
      </c>
      <c r="D2257" t="n">
        <v>170</v>
      </c>
      <c r="E2257" t="n">
        <v>11008</v>
      </c>
    </row>
    <row r="2258">
      <c r="C2258" t="inlineStr">
        <is>
          <t>LMICT%</t>
        </is>
      </c>
      <c r="D2258" s="31" t="n">
        <v>0.1180327868852459</v>
      </c>
      <c r="E2258" s="31" t="n">
        <v>0.1678074953255833</v>
      </c>
      <c r="F2258">
        <f>IFERROR(D2258-E2258,0)</f>
        <v/>
      </c>
    </row>
    <row r="2259">
      <c r="C2259" t="inlineStr">
        <is>
          <t>LMIB%</t>
        </is>
      </c>
      <c r="D2259" s="31" t="n">
        <v>0.1213114754098361</v>
      </c>
      <c r="E2259" s="31" t="n">
        <v>0.1666368587919681</v>
      </c>
      <c r="F2259">
        <f>IFERROR(D2259-E2259,0)</f>
        <v/>
      </c>
    </row>
    <row r="2260">
      <c r="C2260" t="inlineStr">
        <is>
          <t>LMIB$</t>
        </is>
      </c>
      <c r="D2260" s="50" t="n">
        <v>24390000</v>
      </c>
      <c r="E2260" s="50" t="n">
        <v>2426425000</v>
      </c>
    </row>
    <row r="2261">
      <c r="C2261" t="inlineStr">
        <is>
          <t>MMCT%</t>
        </is>
      </c>
      <c r="D2261" s="31" t="n">
        <v>0.3868852459016394</v>
      </c>
      <c r="E2261" s="31" t="n">
        <v>0.395382489228518</v>
      </c>
      <c r="F2261">
        <f>IFERROR(D2261-E2261,0)</f>
        <v/>
      </c>
    </row>
    <row r="2262">
      <c r="C2262" t="inlineStr">
        <is>
          <t>MINB%</t>
        </is>
      </c>
      <c r="D2262" s="31" t="n">
        <v>0.1032786885245902</v>
      </c>
      <c r="E2262" s="31" t="n">
        <v>0.1674985773514348</v>
      </c>
      <c r="F2262">
        <f>IFERROR(D2262-E2262,0)</f>
        <v/>
      </c>
    </row>
    <row r="2263">
      <c r="C2263" t="inlineStr">
        <is>
          <t>Asian%</t>
        </is>
      </c>
      <c r="D2263" s="31" t="n">
        <v>0</v>
      </c>
      <c r="E2263" s="31" t="n">
        <v>0</v>
      </c>
      <c r="F2263">
        <f>IFERROR(D2263-E2263,0)</f>
        <v/>
      </c>
    </row>
    <row r="2264">
      <c r="C2264" t="inlineStr">
        <is>
          <t>Black%</t>
        </is>
      </c>
      <c r="D2264" s="31" t="n">
        <v>0</v>
      </c>
      <c r="E2264" s="31" t="n">
        <v>0</v>
      </c>
      <c r="F2264">
        <f>IFERROR(D2264-E2264,0)</f>
        <v/>
      </c>
    </row>
    <row r="2265">
      <c r="C2265" t="inlineStr">
        <is>
          <t>Native American%</t>
        </is>
      </c>
      <c r="D2265" s="31" t="n">
        <v>0</v>
      </c>
      <c r="E2265" s="31" t="n">
        <v>0</v>
      </c>
      <c r="F2265">
        <f>IFERROR(D2265-E2265,0)</f>
        <v/>
      </c>
    </row>
    <row r="2266">
      <c r="C2266" t="inlineStr">
        <is>
          <t>HoPI%</t>
        </is>
      </c>
      <c r="D2266" s="31" t="n">
        <v>0</v>
      </c>
      <c r="E2266" s="31" t="n">
        <v>0</v>
      </c>
      <c r="F2266">
        <f>IFERROR(D2266-E2266,0)</f>
        <v/>
      </c>
    </row>
    <row r="2267">
      <c r="C2267" t="inlineStr">
        <is>
          <t>Hispanic%</t>
        </is>
      </c>
      <c r="D2267" s="31" t="n">
        <v>0.1032786885245902</v>
      </c>
      <c r="E2267" s="31" t="n">
        <v>0.1674985773514348</v>
      </c>
      <c r="F2267">
        <f>IFERROR(D2267-E2267,0)</f>
        <v/>
      </c>
    </row>
    <row r="2268">
      <c r="A2268" t="inlineStr">
        <is>
          <t>Texas</t>
        </is>
      </c>
      <c r="B2268" t="inlineStr">
        <is>
          <t>Dallas-Fort Worth-Arlington, TX</t>
        </is>
      </c>
      <c r="C2268" t="inlineStr">
        <is>
          <t>Loans</t>
        </is>
      </c>
      <c r="D2268" t="n">
        <v>610</v>
      </c>
      <c r="E2268" t="n">
        <v>61505</v>
      </c>
    </row>
    <row r="2269">
      <c r="C2269" t="inlineStr">
        <is>
          <t>LMICT%</t>
        </is>
      </c>
      <c r="D2269" s="31" t="n">
        <v>0.1201923076923077</v>
      </c>
      <c r="E2269" s="31" t="n">
        <v>0.1866989024483844</v>
      </c>
      <c r="F2269">
        <f>IFERROR(D2269-E2269,0)</f>
        <v/>
      </c>
    </row>
    <row r="2270">
      <c r="C2270" t="inlineStr">
        <is>
          <t>LMIB%</t>
        </is>
      </c>
      <c r="D2270" s="31" t="n">
        <v>0.07852564102564102</v>
      </c>
      <c r="E2270" s="31" t="n">
        <v>0.1826502417683629</v>
      </c>
      <c r="F2270">
        <f>IFERROR(D2270-E2270,0)</f>
        <v/>
      </c>
    </row>
    <row r="2271">
      <c r="C2271" t="inlineStr">
        <is>
          <t>LMIB$</t>
        </is>
      </c>
      <c r="D2271" s="50" t="n">
        <v>8935000</v>
      </c>
      <c r="E2271" s="50" t="n">
        <v>1962375000</v>
      </c>
    </row>
    <row r="2272">
      <c r="C2272" t="inlineStr">
        <is>
          <t>MMCT%</t>
        </is>
      </c>
      <c r="D2272" s="31" t="n">
        <v>0.4262820512820513</v>
      </c>
      <c r="E2272" s="31" t="n">
        <v>0.5317752705503108</v>
      </c>
      <c r="F2272">
        <f>IFERROR(D2272-E2272,0)</f>
        <v/>
      </c>
    </row>
    <row r="2273">
      <c r="C2273" t="inlineStr">
        <is>
          <t>MINB%</t>
        </is>
      </c>
      <c r="D2273" s="31" t="n">
        <v>0.1794871794871795</v>
      </c>
      <c r="E2273" s="31" t="n">
        <v>0.2575600583314145</v>
      </c>
      <c r="F2273">
        <f>IFERROR(D2273-E2273,0)</f>
        <v/>
      </c>
    </row>
    <row r="2274">
      <c r="C2274" t="inlineStr">
        <is>
          <t>Asian%</t>
        </is>
      </c>
      <c r="D2274" s="31" t="n">
        <v>0</v>
      </c>
      <c r="E2274" s="31" t="n">
        <v>0</v>
      </c>
      <c r="F2274">
        <f>IFERROR(D2274-E2274,0)</f>
        <v/>
      </c>
    </row>
    <row r="2275">
      <c r="C2275" t="inlineStr">
        <is>
          <t>Black%</t>
        </is>
      </c>
      <c r="D2275" s="31" t="n">
        <v>0</v>
      </c>
      <c r="E2275" s="31" t="n">
        <v>0</v>
      </c>
      <c r="F2275">
        <f>IFERROR(D2275-E2275,0)</f>
        <v/>
      </c>
    </row>
    <row r="2276">
      <c r="C2276" t="inlineStr">
        <is>
          <t>Native American%</t>
        </is>
      </c>
      <c r="D2276" s="31" t="n">
        <v>0</v>
      </c>
      <c r="E2276" s="31" t="n">
        <v>0</v>
      </c>
      <c r="F2276">
        <f>IFERROR(D2276-E2276,0)</f>
        <v/>
      </c>
    </row>
    <row r="2277">
      <c r="C2277" t="inlineStr">
        <is>
          <t>HoPI%</t>
        </is>
      </c>
      <c r="D2277" s="31" t="n">
        <v>0</v>
      </c>
      <c r="E2277" s="31" t="n">
        <v>0</v>
      </c>
      <c r="F2277">
        <f>IFERROR(D2277-E2277,0)</f>
        <v/>
      </c>
    </row>
    <row r="2278">
      <c r="C2278" t="inlineStr">
        <is>
          <t>Hispanic%</t>
        </is>
      </c>
      <c r="D2278" s="31" t="n">
        <v>0.1794871794871795</v>
      </c>
      <c r="E2278" s="31" t="n">
        <v>0.2575600583314145</v>
      </c>
      <c r="F2278">
        <f>IFERROR(D2278-E2278,0)</f>
        <v/>
      </c>
    </row>
    <row r="2279">
      <c r="B2279" t="inlineStr">
        <is>
          <t>Houston-The Woodlands-Sugar Land, TX</t>
        </is>
      </c>
      <c r="C2279" t="inlineStr">
        <is>
          <t>Loans</t>
        </is>
      </c>
      <c r="D2279" t="n">
        <v>624</v>
      </c>
      <c r="E2279" t="n">
        <v>52116</v>
      </c>
    </row>
    <row r="2280">
      <c r="C2280" t="inlineStr">
        <is>
          <t>LMICT%</t>
        </is>
      </c>
      <c r="D2280" s="31" t="n">
        <v>0.1428571428571428</v>
      </c>
      <c r="E2280" s="31" t="n">
        <v>0.101193106495802</v>
      </c>
      <c r="F2280">
        <f>IFERROR(D2280-E2280,0)</f>
        <v/>
      </c>
    </row>
    <row r="2281">
      <c r="C2281" t="inlineStr">
        <is>
          <t>LMIB%</t>
        </is>
      </c>
      <c r="D2281" s="31" t="n">
        <v>0.3206997084548105</v>
      </c>
      <c r="E2281" s="31" t="n">
        <v>0.2496685815289439</v>
      </c>
      <c r="F2281">
        <f>IFERROR(D2281-E2281,0)</f>
        <v/>
      </c>
    </row>
    <row r="2282">
      <c r="C2282" t="inlineStr">
        <is>
          <t>LMIB$</t>
        </is>
      </c>
      <c r="D2282" s="50" t="n">
        <v>20580000</v>
      </c>
      <c r="E2282" s="50" t="n">
        <v>104125000</v>
      </c>
    </row>
    <row r="2283">
      <c r="C2283" t="inlineStr">
        <is>
          <t>MMCT%</t>
        </is>
      </c>
      <c r="D2283" s="31" t="n">
        <v>0</v>
      </c>
      <c r="E2283" s="31" t="n">
        <v>0</v>
      </c>
      <c r="F2283">
        <f>IFERROR(D2283-E2283,0)</f>
        <v/>
      </c>
    </row>
    <row r="2284">
      <c r="C2284" t="inlineStr">
        <is>
          <t>MINB%</t>
        </is>
      </c>
      <c r="D2284" s="31" t="n">
        <v>0.04081632653061225</v>
      </c>
      <c r="E2284" s="31" t="n">
        <v>0.02386212991604065</v>
      </c>
      <c r="F2284">
        <f>IFERROR(D2284-E2284,0)</f>
        <v/>
      </c>
    </row>
    <row r="2285">
      <c r="C2285" t="inlineStr">
        <is>
          <t>Asian%</t>
        </is>
      </c>
      <c r="D2285" s="31" t="n">
        <v>0</v>
      </c>
      <c r="E2285" s="31" t="n">
        <v>0</v>
      </c>
      <c r="F2285">
        <f>IFERROR(D2285-E2285,0)</f>
        <v/>
      </c>
    </row>
    <row r="2286">
      <c r="C2286" t="inlineStr">
        <is>
          <t>Black%</t>
        </is>
      </c>
      <c r="D2286" s="31" t="n">
        <v>0</v>
      </c>
      <c r="E2286" s="31" t="n">
        <v>0</v>
      </c>
      <c r="F2286">
        <f>IFERROR(D2286-E2286,0)</f>
        <v/>
      </c>
    </row>
    <row r="2287">
      <c r="C2287" t="inlineStr">
        <is>
          <t>Native American%</t>
        </is>
      </c>
      <c r="D2287" s="31" t="n">
        <v>0</v>
      </c>
      <c r="E2287" s="31" t="n">
        <v>0</v>
      </c>
      <c r="F2287">
        <f>IFERROR(D2287-E2287,0)</f>
        <v/>
      </c>
    </row>
    <row r="2288">
      <c r="C2288" t="inlineStr">
        <is>
          <t>HoPI%</t>
        </is>
      </c>
      <c r="D2288" s="31" t="n">
        <v>0</v>
      </c>
      <c r="E2288" s="31" t="n">
        <v>0</v>
      </c>
      <c r="F2288">
        <f>IFERROR(D2288-E2288,0)</f>
        <v/>
      </c>
    </row>
    <row r="2289">
      <c r="C2289" t="inlineStr">
        <is>
          <t>Hispanic%</t>
        </is>
      </c>
      <c r="D2289" s="31" t="n">
        <v>0.04081632653061225</v>
      </c>
      <c r="E2289" s="31" t="n">
        <v>0.02386212991604065</v>
      </c>
      <c r="F2289">
        <f>IFERROR(D2289-E2289,0)</f>
        <v/>
      </c>
    </row>
    <row r="2290">
      <c r="A2290" t="inlineStr">
        <is>
          <t>Virginia</t>
        </is>
      </c>
      <c r="B2290" t="inlineStr">
        <is>
          <t>Morgantown, WV</t>
        </is>
      </c>
      <c r="C2290" t="inlineStr">
        <is>
          <t>Loans</t>
        </is>
      </c>
      <c r="D2290" t="n">
        <v>343</v>
      </c>
      <c r="E2290" t="n">
        <v>2263</v>
      </c>
    </row>
    <row r="2291">
      <c r="C2291" t="inlineStr">
        <is>
          <t>LMICT%</t>
        </is>
      </c>
      <c r="D2291" s="31" t="n">
        <v>0.2190831556503198</v>
      </c>
      <c r="E2291" s="31" t="n">
        <v>0.202324893370479</v>
      </c>
      <c r="F2291">
        <f>IFERROR(D2291-E2291,0)</f>
        <v/>
      </c>
    </row>
    <row r="2292">
      <c r="C2292" t="inlineStr">
        <is>
          <t>LMIB%</t>
        </is>
      </c>
      <c r="D2292" s="31" t="n">
        <v>0.3246268656716418</v>
      </c>
      <c r="E2292" s="31" t="n">
        <v>0.3614186040778087</v>
      </c>
      <c r="F2292">
        <f>IFERROR(D2292-E2292,0)</f>
        <v/>
      </c>
    </row>
    <row r="2293">
      <c r="C2293" t="inlineStr">
        <is>
          <t>LMIB$</t>
        </is>
      </c>
      <c r="D2293" s="50" t="n">
        <v>155815000</v>
      </c>
      <c r="E2293" s="50" t="n">
        <v>9801925000</v>
      </c>
    </row>
    <row r="2294">
      <c r="C2294" t="inlineStr">
        <is>
          <t>MMCT%</t>
        </is>
      </c>
      <c r="D2294" s="31" t="n">
        <v>0.4301705756929637</v>
      </c>
      <c r="E2294" s="31" t="n">
        <v>0.4998520746529918</v>
      </c>
      <c r="F2294">
        <f>IFERROR(D2294-E2294,0)</f>
        <v/>
      </c>
    </row>
    <row r="2295">
      <c r="C2295" t="inlineStr">
        <is>
          <t>MINB%</t>
        </is>
      </c>
      <c r="D2295" s="31" t="n">
        <v>0.0628997867803838</v>
      </c>
      <c r="E2295" s="31" t="n">
        <v>0.140035995167772</v>
      </c>
      <c r="F2295">
        <f>IFERROR(D2295-E2295,0)</f>
        <v/>
      </c>
    </row>
    <row r="2296">
      <c r="C2296" t="inlineStr">
        <is>
          <t>Asian%</t>
        </is>
      </c>
      <c r="D2296" s="31" t="n">
        <v>0</v>
      </c>
      <c r="E2296" s="31" t="n">
        <v>0</v>
      </c>
      <c r="F2296">
        <f>IFERROR(D2296-E2296,0)</f>
        <v/>
      </c>
    </row>
    <row r="2297">
      <c r="C2297" t="inlineStr">
        <is>
          <t>Black%</t>
        </is>
      </c>
      <c r="D2297" s="31" t="n">
        <v>0</v>
      </c>
      <c r="E2297" s="31" t="n">
        <v>0</v>
      </c>
      <c r="F2297">
        <f>IFERROR(D2297-E2297,0)</f>
        <v/>
      </c>
    </row>
    <row r="2298">
      <c r="C2298" t="inlineStr">
        <is>
          <t>Native American%</t>
        </is>
      </c>
      <c r="D2298" s="31" t="n">
        <v>0</v>
      </c>
      <c r="E2298" s="31" t="n">
        <v>0</v>
      </c>
      <c r="F2298">
        <f>IFERROR(D2298-E2298,0)</f>
        <v/>
      </c>
    </row>
    <row r="2299">
      <c r="C2299" t="inlineStr">
        <is>
          <t>HoPI%</t>
        </is>
      </c>
      <c r="D2299" s="31" t="n">
        <v>0</v>
      </c>
      <c r="E2299" s="31" t="n">
        <v>0</v>
      </c>
      <c r="F2299">
        <f>IFERROR(D2299-E2299,0)</f>
        <v/>
      </c>
    </row>
    <row r="2300">
      <c r="C2300" t="inlineStr">
        <is>
          <t>Hispanic%</t>
        </is>
      </c>
      <c r="D2300" s="31" t="n">
        <v>0.0628997867803838</v>
      </c>
      <c r="E2300" s="31" t="n">
        <v>0.140035995167772</v>
      </c>
      <c r="F2300">
        <f>IFERROR(D2300-E2300,0)</f>
        <v/>
      </c>
    </row>
    <row r="2301">
      <c r="B2301" t="inlineStr">
        <is>
          <t>Washington-Arlington-Alexandria, DC-VA-MD-WV</t>
        </is>
      </c>
      <c r="C2301" t="inlineStr">
        <is>
          <t>Loans</t>
        </is>
      </c>
      <c r="D2301" t="n">
        <v>1876</v>
      </c>
      <c r="E2301" t="n">
        <v>81122</v>
      </c>
    </row>
    <row r="2302">
      <c r="C2302" t="inlineStr">
        <is>
          <t>LMICT%</t>
        </is>
      </c>
      <c r="D2302" s="31" t="n">
        <v>0.160958904109589</v>
      </c>
      <c r="E2302" s="31" t="n">
        <v>0.2202892167657638</v>
      </c>
      <c r="F2302">
        <f>IFERROR(D2302-E2302,0)</f>
        <v/>
      </c>
    </row>
    <row r="2303">
      <c r="C2303" t="inlineStr">
        <is>
          <t>LMIB%</t>
        </is>
      </c>
      <c r="D2303" s="31" t="n">
        <v>0.3595890410958904</v>
      </c>
      <c r="E2303" s="31" t="n">
        <v>0.3774499009028848</v>
      </c>
      <c r="F2303">
        <f>IFERROR(D2303-E2303,0)</f>
        <v/>
      </c>
    </row>
    <row r="2304">
      <c r="C2304" t="inlineStr">
        <is>
          <t>LMIB$</t>
        </is>
      </c>
      <c r="D2304" s="50" t="n">
        <v>17085000</v>
      </c>
      <c r="E2304" s="50" t="n">
        <v>917330000</v>
      </c>
    </row>
    <row r="2305">
      <c r="C2305" t="inlineStr">
        <is>
          <t>MMCT%</t>
        </is>
      </c>
      <c r="D2305" s="31" t="n">
        <v>0.1164383561643836</v>
      </c>
      <c r="E2305" s="31" t="n">
        <v>0.1772003229831902</v>
      </c>
      <c r="F2305">
        <f>IFERROR(D2305-E2305,0)</f>
        <v/>
      </c>
    </row>
    <row r="2306">
      <c r="C2306" t="inlineStr">
        <is>
          <t>MINB%</t>
        </is>
      </c>
      <c r="D2306" s="31" t="n">
        <v>0.0684931506849315</v>
      </c>
      <c r="E2306" s="31" t="n">
        <v>0.1026939734272921</v>
      </c>
      <c r="F2306">
        <f>IFERROR(D2306-E2306,0)</f>
        <v/>
      </c>
    </row>
    <row r="2307">
      <c r="C2307" t="inlineStr">
        <is>
          <t>Asian%</t>
        </is>
      </c>
      <c r="D2307" s="31" t="n">
        <v>0</v>
      </c>
      <c r="E2307" s="31" t="n">
        <v>0</v>
      </c>
      <c r="F2307">
        <f>IFERROR(D2307-E2307,0)</f>
        <v/>
      </c>
    </row>
    <row r="2308">
      <c r="C2308" t="inlineStr">
        <is>
          <t>Black%</t>
        </is>
      </c>
      <c r="D2308" s="31" t="n">
        <v>0</v>
      </c>
      <c r="E2308" s="31" t="n">
        <v>0</v>
      </c>
      <c r="F2308">
        <f>IFERROR(D2308-E2308,0)</f>
        <v/>
      </c>
    </row>
    <row r="2309">
      <c r="C2309" t="inlineStr">
        <is>
          <t>Native American%</t>
        </is>
      </c>
      <c r="D2309" s="31" t="n">
        <v>0</v>
      </c>
      <c r="E2309" s="31" t="n">
        <v>0</v>
      </c>
      <c r="F2309">
        <f>IFERROR(D2309-E2309,0)</f>
        <v/>
      </c>
    </row>
    <row r="2310">
      <c r="C2310" t="inlineStr">
        <is>
          <t>HoPI%</t>
        </is>
      </c>
      <c r="D2310" s="31" t="n">
        <v>0</v>
      </c>
      <c r="E2310" s="31" t="n">
        <v>0</v>
      </c>
      <c r="F2310">
        <f>IFERROR(D2310-E2310,0)</f>
        <v/>
      </c>
    </row>
    <row r="2311">
      <c r="C2311" t="inlineStr">
        <is>
          <t>Hispanic%</t>
        </is>
      </c>
      <c r="D2311" s="31" t="n">
        <v>0.0684931506849315</v>
      </c>
      <c r="E2311" s="31" t="n">
        <v>0.1026939734272921</v>
      </c>
      <c r="F2311">
        <f>IFERROR(D2311-E2311,0)</f>
        <v/>
      </c>
    </row>
    <row r="2312">
      <c r="A2312" t="inlineStr">
        <is>
          <t>Wisconsin</t>
        </is>
      </c>
      <c r="B2312" t="inlineStr">
        <is>
          <t>Milwaukee-Waukesha, WI</t>
        </is>
      </c>
      <c r="C2312" t="inlineStr">
        <is>
          <t>Loans</t>
        </is>
      </c>
      <c r="D2312" t="n">
        <v>292</v>
      </c>
      <c r="E2312" t="n">
        <v>13623</v>
      </c>
    </row>
    <row r="2313">
      <c r="C2313" t="inlineStr">
        <is>
          <t>LMICT%</t>
        </is>
      </c>
      <c r="D2313" s="31" t="n">
        <v>0</v>
      </c>
      <c r="E2313" s="31" t="n">
        <v>0.000746268656716418</v>
      </c>
      <c r="F2313">
        <f>IFERROR(D2313-E2313,0)</f>
        <v/>
      </c>
    </row>
    <row r="2314">
      <c r="C2314" t="inlineStr">
        <is>
          <t>LMIB%</t>
        </is>
      </c>
      <c r="D2314" s="31" t="n">
        <v>0.1818181818181818</v>
      </c>
      <c r="E2314" s="31" t="n">
        <v>0.2111940298507463</v>
      </c>
      <c r="F2314">
        <f>IFERROR(D2314-E2314,0)</f>
        <v/>
      </c>
    </row>
    <row r="2315">
      <c r="C2315" t="inlineStr">
        <is>
          <t>LMIB$</t>
        </is>
      </c>
      <c r="D2315" s="50" t="n">
        <v>810000</v>
      </c>
      <c r="E2315" s="50" t="n">
        <v>47645000</v>
      </c>
    </row>
    <row r="2316">
      <c r="C2316" t="inlineStr">
        <is>
          <t>MMCT%</t>
        </is>
      </c>
      <c r="D2316" s="31" t="n">
        <v>0</v>
      </c>
      <c r="E2316" s="31" t="n">
        <v>0</v>
      </c>
      <c r="F2316">
        <f>IFERROR(D2316-E2316,0)</f>
        <v/>
      </c>
    </row>
    <row r="2317">
      <c r="C2317" t="inlineStr">
        <is>
          <t>MINB%</t>
        </is>
      </c>
      <c r="D2317" s="31" t="n">
        <v>0.1363636363636364</v>
      </c>
      <c r="E2317" s="31" t="n">
        <v>0.06119402985074627</v>
      </c>
      <c r="F2317">
        <f>IFERROR(D2317-E2317,0)</f>
        <v/>
      </c>
    </row>
    <row r="2318">
      <c r="C2318" t="inlineStr">
        <is>
          <t>Asian%</t>
        </is>
      </c>
      <c r="D2318" s="31" t="n">
        <v>0</v>
      </c>
      <c r="E2318" s="31" t="n">
        <v>0</v>
      </c>
      <c r="F2318">
        <f>IFERROR(D2318-E2318,0)</f>
        <v/>
      </c>
    </row>
    <row r="2319">
      <c r="C2319" t="inlineStr">
        <is>
          <t>Black%</t>
        </is>
      </c>
      <c r="D2319" s="31" t="n">
        <v>0</v>
      </c>
      <c r="E2319" s="31" t="n">
        <v>0</v>
      </c>
      <c r="F2319">
        <f>IFERROR(D2319-E2319,0)</f>
        <v/>
      </c>
    </row>
    <row r="2320">
      <c r="C2320" t="inlineStr">
        <is>
          <t>Native American%</t>
        </is>
      </c>
      <c r="D2320" s="31" t="n">
        <v>0</v>
      </c>
      <c r="E2320" s="31" t="n">
        <v>0</v>
      </c>
      <c r="F2320">
        <f>IFERROR(D2320-E2320,0)</f>
        <v/>
      </c>
    </row>
    <row r="2321">
      <c r="C2321" t="inlineStr">
        <is>
          <t>HoPI%</t>
        </is>
      </c>
      <c r="D2321" s="31" t="n">
        <v>0</v>
      </c>
      <c r="E2321" s="31" t="n">
        <v>0</v>
      </c>
      <c r="F2321">
        <f>IFERROR(D2321-E2321,0)</f>
        <v/>
      </c>
    </row>
    <row r="2322">
      <c r="C2322" t="inlineStr">
        <is>
          <t>Hispanic%</t>
        </is>
      </c>
      <c r="D2322" s="31" t="n">
        <v>0.1363636363636364</v>
      </c>
      <c r="E2322" s="31" t="n">
        <v>0.06119402985074627</v>
      </c>
      <c r="F2322">
        <f>IFERROR(D2322-E2322,0)</f>
        <v/>
      </c>
    </row>
    <row r="2323">
      <c r="B2323" t="inlineStr">
        <is>
          <t>Wisconsin Non-MSA</t>
        </is>
      </c>
      <c r="C2323" t="inlineStr">
        <is>
          <t>Loans</t>
        </is>
      </c>
      <c r="D2323" t="n">
        <v>22</v>
      </c>
      <c r="E2323" t="n">
        <v>1340</v>
      </c>
    </row>
  </sheetData>
  <autoFilter ref="B1:F848">
    <filterColumn colId="1" hiddenButton="0" showButton="1">
      <filters>
        <filter val="LMICT%"/>
      </filters>
    </filterColumn>
    <filterColumn colId="4" hiddenButton="0" showButton="1">
      <colorFilter dxfId="0"/>
    </filterColumn>
  </autoFilter>
  <mergeCells count="193">
    <mergeCell ref="B882:B892"/>
    <mergeCell ref="A948:A969"/>
    <mergeCell ref="B167:B177"/>
    <mergeCell ref="B937:B947"/>
    <mergeCell ref="B409:B419"/>
    <mergeCell ref="B1157:B1167"/>
    <mergeCell ref="B387:B397"/>
    <mergeCell ref="B1520:B1530"/>
    <mergeCell ref="B519:B529"/>
    <mergeCell ref="B1762:B1772"/>
    <mergeCell ref="A695:A782"/>
    <mergeCell ref="B464:B474"/>
    <mergeCell ref="B1377:B1387"/>
    <mergeCell ref="B211:B221"/>
    <mergeCell ref="B1575:B1585"/>
    <mergeCell ref="B398:B408"/>
    <mergeCell ref="B1806:B1816"/>
    <mergeCell ref="B640:B650"/>
    <mergeCell ref="B299:B309"/>
    <mergeCell ref="B112:B122"/>
    <mergeCell ref="A365:A474"/>
    <mergeCell ref="B728:B738"/>
    <mergeCell ref="A607:A694"/>
    <mergeCell ref="B1432:B1442"/>
    <mergeCell ref="B1498:B1508"/>
    <mergeCell ref="B453:B463"/>
    <mergeCell ref="A970:A1046"/>
    <mergeCell ref="B1311:B1321"/>
    <mergeCell ref="B310:B320"/>
    <mergeCell ref="B1674:B1684"/>
    <mergeCell ref="B1278:B1288"/>
    <mergeCell ref="B893:B903"/>
    <mergeCell ref="B123:B133"/>
    <mergeCell ref="B365:B375"/>
    <mergeCell ref="B1135:B1145"/>
    <mergeCell ref="B1366:B1376"/>
    <mergeCell ref="B1773:B1783"/>
    <mergeCell ref="B1322:B1332"/>
    <mergeCell ref="B1564:B1574"/>
    <mergeCell ref="B585:B595"/>
    <mergeCell ref="B948:B958"/>
    <mergeCell ref="B1014:B1024"/>
    <mergeCell ref="B1355:B1365"/>
    <mergeCell ref="B1784:B1794"/>
    <mergeCell ref="B1069:B1079"/>
    <mergeCell ref="B1410:B1420"/>
    <mergeCell ref="B1234:B1244"/>
    <mergeCell ref="B1476:B1486"/>
    <mergeCell ref="A1773:A1805"/>
    <mergeCell ref="B860:B870"/>
    <mergeCell ref="B651:B661"/>
    <mergeCell ref="B1289:B1299"/>
    <mergeCell ref="B739:B749"/>
    <mergeCell ref="B508:B518"/>
    <mergeCell ref="B981:B991"/>
    <mergeCell ref="B530:B540"/>
    <mergeCell ref="B871:B881"/>
    <mergeCell ref="B101:B111"/>
    <mergeCell ref="B849:B859"/>
    <mergeCell ref="B1300:B1310"/>
    <mergeCell ref="B563:B573"/>
    <mergeCell ref="B13:B23"/>
    <mergeCell ref="B750:B760"/>
    <mergeCell ref="B926:B936"/>
    <mergeCell ref="B992:B1002"/>
    <mergeCell ref="B376:B386"/>
    <mergeCell ref="B761:B771"/>
    <mergeCell ref="B805:B815"/>
    <mergeCell ref="B1212:B1222"/>
    <mergeCell ref="A134:A166"/>
    <mergeCell ref="B255:B265"/>
    <mergeCell ref="B24:B34"/>
    <mergeCell ref="B497:B507"/>
    <mergeCell ref="B1344:B1354"/>
    <mergeCell ref="A1707:A1717"/>
    <mergeCell ref="B1003:B1013"/>
    <mergeCell ref="A13:A111"/>
    <mergeCell ref="B288:B298"/>
    <mergeCell ref="B717:B727"/>
    <mergeCell ref="B486:B496"/>
    <mergeCell ref="B695:B705"/>
    <mergeCell ref="B1465:B1475"/>
    <mergeCell ref="B1487:B1497"/>
    <mergeCell ref="B222:B232"/>
    <mergeCell ref="B1828:B1838"/>
    <mergeCell ref="B1707:B1717"/>
    <mergeCell ref="B277:B287"/>
    <mergeCell ref="A167:A177"/>
    <mergeCell ref="B1685:B1695"/>
    <mergeCell ref="B1102:B1112"/>
    <mergeCell ref="B156:B166"/>
    <mergeCell ref="B1740:B1750"/>
    <mergeCell ref="B783:B793"/>
    <mergeCell ref="B1190:B1200"/>
    <mergeCell ref="B1641:B1651"/>
    <mergeCell ref="A1256:A1409"/>
    <mergeCell ref="B1751:B1761"/>
    <mergeCell ref="A178:A342"/>
    <mergeCell ref="B1036:B1046"/>
    <mergeCell ref="B1201:B1211"/>
    <mergeCell ref="B1443:B1453"/>
    <mergeCell ref="B915:B925"/>
    <mergeCell ref="A1740:A1772"/>
    <mergeCell ref="B1256:B1266"/>
    <mergeCell ref="B794:B804"/>
    <mergeCell ref="B1663:B1673"/>
    <mergeCell ref="B706:B716"/>
    <mergeCell ref="A596:A606"/>
    <mergeCell ref="B1113:B1123"/>
    <mergeCell ref="B1399:B1409"/>
    <mergeCell ref="B838:B848"/>
    <mergeCell ref="B1718:B1728"/>
    <mergeCell ref="B1542:B1552"/>
    <mergeCell ref="B354:B364"/>
    <mergeCell ref="B1267:B1277"/>
    <mergeCell ref="B1696:B1706"/>
    <mergeCell ref="B189:B199"/>
    <mergeCell ref="B959:B969"/>
    <mergeCell ref="B1597:B1607"/>
    <mergeCell ref="B574:B584"/>
    <mergeCell ref="B1047:B1057"/>
    <mergeCell ref="B816:B826"/>
    <mergeCell ref="B1817:B1827"/>
    <mergeCell ref="B772:B782"/>
    <mergeCell ref="B266:B276"/>
    <mergeCell ref="B1179:B1189"/>
    <mergeCell ref="B629:B639"/>
    <mergeCell ref="B607:B617"/>
    <mergeCell ref="B79:B89"/>
    <mergeCell ref="B321:B331"/>
    <mergeCell ref="B1058:B1068"/>
    <mergeCell ref="A1410:A1618"/>
    <mergeCell ref="A123:A133"/>
    <mergeCell ref="B684:B694"/>
    <mergeCell ref="B1091:B1101"/>
    <mergeCell ref="B200:B210"/>
    <mergeCell ref="B134:B144"/>
    <mergeCell ref="B90:B100"/>
    <mergeCell ref="B970:B980"/>
    <mergeCell ref="B332:B342"/>
    <mergeCell ref="B1652:B1662"/>
    <mergeCell ref="A343:A364"/>
    <mergeCell ref="B420:B430"/>
    <mergeCell ref="B1333:B1343"/>
    <mergeCell ref="A2:B12"/>
    <mergeCell ref="B145:B155"/>
    <mergeCell ref="B1729:B1739"/>
    <mergeCell ref="B1553:B1563"/>
    <mergeCell ref="B552:B562"/>
    <mergeCell ref="B1025:B1035"/>
    <mergeCell ref="B1795:B1805"/>
    <mergeCell ref="B1531:B1541"/>
    <mergeCell ref="B475:B485"/>
    <mergeCell ref="B244:B254"/>
    <mergeCell ref="A1047:A1057"/>
    <mergeCell ref="B1608:B1618"/>
    <mergeCell ref="B431:B441"/>
    <mergeCell ref="B673:B683"/>
    <mergeCell ref="B57:B67"/>
    <mergeCell ref="B827:B837"/>
    <mergeCell ref="B1619:B1629"/>
    <mergeCell ref="B178:B188"/>
    <mergeCell ref="B1245:B1255"/>
    <mergeCell ref="B68:B78"/>
    <mergeCell ref="A1806:A1838"/>
    <mergeCell ref="B1388:B1398"/>
    <mergeCell ref="B1630:B1640"/>
    <mergeCell ref="A1058:A1255"/>
    <mergeCell ref="B1454:B1464"/>
    <mergeCell ref="A112:A122"/>
    <mergeCell ref="B1168:B1178"/>
    <mergeCell ref="B1080:B1090"/>
    <mergeCell ref="B1124:B1134"/>
    <mergeCell ref="B618:B628"/>
    <mergeCell ref="B1509:B1519"/>
    <mergeCell ref="B343:B353"/>
    <mergeCell ref="B1223:B1233"/>
    <mergeCell ref="A783:A793"/>
    <mergeCell ref="B1586:B1596"/>
    <mergeCell ref="A1718:A1739"/>
    <mergeCell ref="B541:B551"/>
    <mergeCell ref="A475:A595"/>
    <mergeCell ref="B35:B45"/>
    <mergeCell ref="A1619:A1706"/>
    <mergeCell ref="B1421:B1431"/>
    <mergeCell ref="B233:B243"/>
    <mergeCell ref="B1146:B1156"/>
    <mergeCell ref="B442:B452"/>
    <mergeCell ref="A794:A947"/>
    <mergeCell ref="B662:B672"/>
    <mergeCell ref="B596:B606"/>
    <mergeCell ref="B46:B56"/>
    <mergeCell ref="B904:B914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8"/>
  <sheetViews>
    <sheetView workbookViewId="0">
      <selection activeCell="A68" sqref="A68"/>
    </sheetView>
  </sheetViews>
  <sheetFormatPr baseColWidth="8" defaultColWidth="9.140625" defaultRowHeight="15"/>
  <cols>
    <col width="35" bestFit="1" customWidth="1" style="33" min="2" max="2"/>
    <col width="11.5703125" customWidth="1" style="47" min="3" max="3"/>
    <col width="16.28515625" customWidth="1" style="47" min="4" max="4"/>
    <col width="20.7109375" customWidth="1" style="47" min="5" max="5"/>
    <col width="35.42578125" customWidth="1" style="47" min="6" max="6"/>
  </cols>
  <sheetData>
    <row r="1">
      <c r="A1" s="46" t="inlineStr">
        <is>
          <t>State</t>
        </is>
      </c>
      <c r="B1" s="36" t="inlineStr">
        <is>
          <t>@FirstBank AA</t>
        </is>
      </c>
      <c r="C1" s="39" t="n"/>
      <c r="D1" s="46" t="inlineStr">
        <is>
          <t>FirstBank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Grand Total</t>
        </is>
      </c>
      <c r="C2" s="42" t="inlineStr">
        <is>
          <t>Loans</t>
        </is>
      </c>
      <c r="D2" s="25" t="n">
        <v>6446</v>
      </c>
      <c r="E2" s="25" t="n">
        <v>785804</v>
      </c>
    </row>
    <row r="3">
      <c r="C3" s="42" t="inlineStr">
        <is>
          <t xml:space="preserve">LMICT% </t>
        </is>
      </c>
      <c r="D3" s="29" t="n">
        <v>0.1796</v>
      </c>
      <c r="E3" s="29" t="n">
        <v>0.2208</v>
      </c>
      <c r="F3" s="31">
        <f>D3-E3</f>
        <v/>
      </c>
    </row>
    <row r="4">
      <c r="C4" s="42" t="inlineStr">
        <is>
          <t>LMIB%</t>
        </is>
      </c>
      <c r="D4" s="29" t="n">
        <v>0.2395</v>
      </c>
      <c r="E4" s="29" t="n">
        <v>0.2742</v>
      </c>
      <c r="F4" s="31">
        <f>D4-E4</f>
        <v/>
      </c>
    </row>
    <row r="5">
      <c r="C5" s="42" t="inlineStr">
        <is>
          <t>LMIB$</t>
        </is>
      </c>
      <c r="D5" s="51" t="n">
        <v>453380000</v>
      </c>
      <c r="E5" s="51" t="n">
        <v>58571335000</v>
      </c>
      <c r="F5" s="31" t="n"/>
    </row>
    <row r="6">
      <c r="C6" s="42" t="inlineStr">
        <is>
          <t>MMCT%</t>
        </is>
      </c>
      <c r="D6" s="29" t="n">
        <v>0.1281</v>
      </c>
      <c r="E6" s="29" t="n">
        <v>0.206</v>
      </c>
      <c r="F6" s="31">
        <f>D6-E6</f>
        <v/>
      </c>
    </row>
    <row r="7">
      <c r="C7" s="42" t="inlineStr">
        <is>
          <t>MINB%</t>
        </is>
      </c>
      <c r="D7" s="29" t="n">
        <v>0.2982</v>
      </c>
      <c r="E7" s="29" t="n">
        <v>0.2798</v>
      </c>
      <c r="F7" s="31">
        <f>D7-E7</f>
        <v/>
      </c>
    </row>
    <row r="8">
      <c r="C8" s="42" t="inlineStr">
        <is>
          <t>Asian%</t>
        </is>
      </c>
      <c r="D8" s="29" t="n">
        <v>0.079</v>
      </c>
      <c r="E8" s="29" t="n">
        <v>0.0547</v>
      </c>
      <c r="F8" s="31">
        <f>D8-E8</f>
        <v/>
      </c>
    </row>
    <row r="9">
      <c r="C9" s="42" t="inlineStr">
        <is>
          <t>Black%</t>
        </is>
      </c>
      <c r="D9" s="29" t="n">
        <v>0.0433</v>
      </c>
      <c r="E9" s="29" t="n">
        <v>0.0363</v>
      </c>
      <c r="F9" s="31">
        <f>D9-E9</f>
        <v/>
      </c>
    </row>
    <row r="10" ht="21.75" customHeight="1" s="47">
      <c r="C10" s="42" t="inlineStr">
        <is>
          <t>Native American%</t>
        </is>
      </c>
      <c r="D10" s="29" t="n">
        <v>0.0029</v>
      </c>
      <c r="E10" s="29" t="n">
        <v>0.0063</v>
      </c>
      <c r="F10" s="31">
        <f>D10-E10</f>
        <v/>
      </c>
    </row>
    <row r="11">
      <c r="C11" s="42" t="inlineStr">
        <is>
          <t>HoPI%</t>
        </is>
      </c>
      <c r="D11" s="29" t="n">
        <v>0.0014</v>
      </c>
      <c r="E11" s="29" t="n">
        <v>0.0026</v>
      </c>
      <c r="F11" s="31">
        <f>D11-E11</f>
        <v/>
      </c>
    </row>
    <row r="12">
      <c r="C12" s="42" t="inlineStr">
        <is>
          <t>Hispanic%</t>
        </is>
      </c>
      <c r="D12" s="29" t="n">
        <v>0.1716</v>
      </c>
      <c r="E12" s="29" t="n">
        <v>0.1798</v>
      </c>
      <c r="F12" s="31">
        <f>D12-E12</f>
        <v/>
      </c>
    </row>
    <row r="13">
      <c r="A13" s="46" t="inlineStr">
        <is>
          <t>Arizona</t>
        </is>
      </c>
      <c r="B13" s="46" t="inlineStr">
        <is>
          <t>Phoenix-Mesa-Chandler, AZ</t>
        </is>
      </c>
      <c r="C13" s="42" t="inlineStr">
        <is>
          <t>Loans</t>
        </is>
      </c>
      <c r="D13" s="46" t="n">
        <v>440</v>
      </c>
      <c r="E13" s="25" t="n">
        <v>377060</v>
      </c>
    </row>
    <row r="14">
      <c r="C14" s="42" t="inlineStr">
        <is>
          <t xml:space="preserve">LMICT% </t>
        </is>
      </c>
      <c r="D14" s="29" t="n">
        <v>0.2182</v>
      </c>
      <c r="E14" s="29" t="n">
        <v>0.2218</v>
      </c>
      <c r="F14" s="31">
        <f>D14-E14</f>
        <v/>
      </c>
    </row>
    <row r="15">
      <c r="C15" s="42" t="inlineStr">
        <is>
          <t>LMIB%</t>
        </is>
      </c>
      <c r="D15" s="29" t="n">
        <v>0.2841</v>
      </c>
      <c r="E15" s="29" t="n">
        <v>0.2665</v>
      </c>
      <c r="F15" s="31">
        <f>D15-E15</f>
        <v/>
      </c>
    </row>
    <row r="16">
      <c r="C16" s="42" t="inlineStr">
        <is>
          <t>LMIB$</t>
        </is>
      </c>
      <c r="D16" s="51" t="n">
        <v>33595000</v>
      </c>
      <c r="E16" s="51" t="n">
        <v>24385660000</v>
      </c>
      <c r="F16" s="31" t="n"/>
    </row>
    <row r="17">
      <c r="C17" s="42" t="inlineStr">
        <is>
          <t>MMCT%</t>
        </is>
      </c>
      <c r="D17" s="29" t="n">
        <v>0.2</v>
      </c>
      <c r="E17" s="29" t="n">
        <v>0.2611</v>
      </c>
      <c r="F17" s="31">
        <f>D17-E17</f>
        <v/>
      </c>
    </row>
    <row r="18">
      <c r="C18" s="42" t="inlineStr">
        <is>
          <t>MINB%</t>
        </is>
      </c>
      <c r="D18" s="29" t="n">
        <v>0.3295</v>
      </c>
      <c r="E18" s="29" t="n">
        <v>0.3263</v>
      </c>
      <c r="F18" s="31">
        <f>D18-E18</f>
        <v/>
      </c>
    </row>
    <row r="19">
      <c r="C19" s="42" t="inlineStr">
        <is>
          <t>Asian%</t>
        </is>
      </c>
      <c r="D19" s="29" t="n">
        <v>0.1</v>
      </c>
      <c r="E19" s="29" t="n">
        <v>0.0574</v>
      </c>
      <c r="F19" s="31">
        <f>D19-E19</f>
        <v/>
      </c>
    </row>
    <row r="20">
      <c r="C20" s="42" t="inlineStr">
        <is>
          <t>Black%</t>
        </is>
      </c>
      <c r="D20" s="29" t="n">
        <v>0.025</v>
      </c>
      <c r="E20" s="29" t="n">
        <v>0.0418</v>
      </c>
      <c r="F20" s="31">
        <f>D20-E20</f>
        <v/>
      </c>
    </row>
    <row r="21" ht="21.75" customHeight="1" s="47">
      <c r="C21" s="42" t="inlineStr">
        <is>
          <t>Native American%</t>
        </is>
      </c>
      <c r="D21" s="29" t="n">
        <v>0.0023</v>
      </c>
      <c r="E21" s="29" t="n">
        <v>0.0072</v>
      </c>
      <c r="F21" s="31">
        <f>D21-E21</f>
        <v/>
      </c>
    </row>
    <row r="22">
      <c r="C22" s="42" t="inlineStr">
        <is>
          <t>HoPI%</t>
        </is>
      </c>
      <c r="D22" s="29" t="n">
        <v>0.0045</v>
      </c>
      <c r="E22" s="29" t="n">
        <v>0.0029</v>
      </c>
      <c r="F22" s="31">
        <f>D22-E22</f>
        <v/>
      </c>
    </row>
    <row r="23">
      <c r="C23" s="42" t="inlineStr">
        <is>
          <t>Hispanic%</t>
        </is>
      </c>
      <c r="D23" s="29" t="n">
        <v>0.1977</v>
      </c>
      <c r="E23" s="29" t="n">
        <v>0.2171</v>
      </c>
      <c r="F23" s="31">
        <f>D23-E23</f>
        <v/>
      </c>
    </row>
    <row r="24">
      <c r="A24" s="46" t="inlineStr">
        <is>
          <t>Colorado</t>
        </is>
      </c>
      <c r="B24" s="46" t="inlineStr">
        <is>
          <t>Colorado Mountain Non-MSA</t>
        </is>
      </c>
      <c r="C24" s="42" t="inlineStr">
        <is>
          <t>Loans</t>
        </is>
      </c>
      <c r="D24" s="46" t="n">
        <v>783</v>
      </c>
      <c r="E24" s="25" t="n">
        <v>13405</v>
      </c>
    </row>
    <row r="25">
      <c r="C25" s="42" t="inlineStr">
        <is>
          <t xml:space="preserve">LMICT% </t>
        </is>
      </c>
      <c r="D25" s="29" t="n">
        <v>0.0179</v>
      </c>
      <c r="E25" s="29" t="n">
        <v>0.008699999999999999</v>
      </c>
      <c r="F25" s="31">
        <f>D25-E25</f>
        <v/>
      </c>
    </row>
    <row r="26">
      <c r="C26" s="42" t="inlineStr">
        <is>
          <t>LMIB%</t>
        </is>
      </c>
      <c r="D26" s="29" t="n">
        <v>0.09710000000000001</v>
      </c>
      <c r="E26" s="29" t="n">
        <v>0.1249</v>
      </c>
      <c r="F26" s="31">
        <f>D26-E26</f>
        <v/>
      </c>
    </row>
    <row r="27">
      <c r="C27" s="42" t="inlineStr">
        <is>
          <t>LMIB$</t>
        </is>
      </c>
      <c r="D27" s="51" t="n">
        <v>26100000</v>
      </c>
      <c r="E27" s="51" t="n">
        <v>414660000</v>
      </c>
      <c r="F27" s="31" t="n"/>
    </row>
    <row r="28">
      <c r="C28" s="42" t="inlineStr">
        <is>
          <t>MMCT%</t>
        </is>
      </c>
      <c r="D28" s="29" t="n">
        <v>0.083</v>
      </c>
      <c r="E28" s="29" t="n">
        <v>0.0517</v>
      </c>
      <c r="F28" s="31">
        <f>D28-E28</f>
        <v/>
      </c>
    </row>
    <row r="29">
      <c r="C29" s="42" t="inlineStr">
        <is>
          <t>MINB%</t>
        </is>
      </c>
      <c r="D29" s="29" t="n">
        <v>0.1673</v>
      </c>
      <c r="E29" s="29" t="n">
        <v>0.1584</v>
      </c>
      <c r="F29" s="31">
        <f>D29-E29</f>
        <v/>
      </c>
    </row>
    <row r="30">
      <c r="C30" s="42" t="inlineStr">
        <is>
          <t>Asian%</t>
        </is>
      </c>
      <c r="D30" s="29" t="n">
        <v>0.0179</v>
      </c>
      <c r="E30" s="29" t="n">
        <v>0.0142</v>
      </c>
      <c r="F30" s="31">
        <f>D30-E30</f>
        <v/>
      </c>
    </row>
    <row r="31">
      <c r="C31" s="42" t="inlineStr">
        <is>
          <t>Black%</t>
        </is>
      </c>
      <c r="D31" s="29" t="n">
        <v>0.0051</v>
      </c>
      <c r="E31" s="29" t="n">
        <v>0.0041</v>
      </c>
      <c r="F31" s="31">
        <f>D31-E31</f>
        <v/>
      </c>
    </row>
    <row r="32" ht="21.75" customHeight="1" s="47">
      <c r="C32" s="42" t="inlineStr">
        <is>
          <t>Native American%</t>
        </is>
      </c>
      <c r="D32" s="29" t="n">
        <v>0.0064</v>
      </c>
      <c r="E32" s="29" t="n">
        <v>0.0043</v>
      </c>
      <c r="F32" s="31">
        <f>D32-E32</f>
        <v/>
      </c>
    </row>
    <row r="33">
      <c r="C33" s="42" t="inlineStr">
        <is>
          <t>HoPI%</t>
        </is>
      </c>
      <c r="D33" s="29" t="n">
        <v>0.0013</v>
      </c>
      <c r="E33" s="29" t="n">
        <v>0.0013</v>
      </c>
      <c r="F33" s="31">
        <f>D33-E33</f>
        <v/>
      </c>
    </row>
    <row r="34">
      <c r="C34" s="42" t="inlineStr">
        <is>
          <t>Hispanic%</t>
        </is>
      </c>
      <c r="D34" s="29" t="n">
        <v>0.1367</v>
      </c>
      <c r="E34" s="29" t="n">
        <v>0.1346</v>
      </c>
      <c r="F34" s="31">
        <f>D34-E34</f>
        <v/>
      </c>
    </row>
    <row r="35">
      <c r="B35" s="46" t="inlineStr">
        <is>
          <t>Colorado Springs, CO</t>
        </is>
      </c>
      <c r="C35" s="42" t="inlineStr">
        <is>
          <t>Loans</t>
        </is>
      </c>
      <c r="D35" s="46" t="n">
        <v>358</v>
      </c>
      <c r="E35" s="25" t="n">
        <v>74842</v>
      </c>
    </row>
    <row r="36">
      <c r="C36" s="42" t="inlineStr">
        <is>
          <t xml:space="preserve">LMICT% </t>
        </is>
      </c>
      <c r="D36" s="29" t="n">
        <v>0.1844</v>
      </c>
      <c r="E36" s="29" t="n">
        <v>0.1995</v>
      </c>
      <c r="F36" s="31">
        <f>D36-E36</f>
        <v/>
      </c>
    </row>
    <row r="37">
      <c r="C37" s="42" t="inlineStr">
        <is>
          <t>LMIB%</t>
        </is>
      </c>
      <c r="D37" s="29" t="n">
        <v>0.2374</v>
      </c>
      <c r="E37" s="29" t="n">
        <v>0.2564</v>
      </c>
      <c r="F37" s="31">
        <f>D37-E37</f>
        <v/>
      </c>
    </row>
    <row r="38">
      <c r="C38" s="42" t="inlineStr">
        <is>
          <t>LMIB$</t>
        </is>
      </c>
      <c r="D38" s="51" t="n">
        <v>23215000</v>
      </c>
      <c r="E38" s="51" t="n">
        <v>5482780000</v>
      </c>
      <c r="F38" s="31" t="n"/>
    </row>
    <row r="39">
      <c r="C39" s="42" t="inlineStr">
        <is>
          <t>MMCT%</t>
        </is>
      </c>
      <c r="D39" s="29" t="n">
        <v>0.0698</v>
      </c>
      <c r="E39" s="29" t="n">
        <v>0.08690000000000001</v>
      </c>
      <c r="F39" s="31">
        <f>D39-E39</f>
        <v/>
      </c>
    </row>
    <row r="40">
      <c r="C40" s="42" t="inlineStr">
        <is>
          <t>MINB%</t>
        </is>
      </c>
      <c r="D40" s="29" t="n">
        <v>0.3324</v>
      </c>
      <c r="E40" s="29" t="n">
        <v>0.2278</v>
      </c>
      <c r="F40" s="31">
        <f>D40-E40</f>
        <v/>
      </c>
    </row>
    <row r="41">
      <c r="C41" s="42" t="inlineStr">
        <is>
          <t>Asian%</t>
        </is>
      </c>
      <c r="D41" s="29" t="n">
        <v>0.081</v>
      </c>
      <c r="E41" s="29" t="n">
        <v>0.0418</v>
      </c>
      <c r="F41" s="31">
        <f>D41-E41</f>
        <v/>
      </c>
    </row>
    <row r="42">
      <c r="C42" s="42" t="inlineStr">
        <is>
          <t>Black%</t>
        </is>
      </c>
      <c r="D42" s="29" t="n">
        <v>0.0503</v>
      </c>
      <c r="E42" s="29" t="n">
        <v>0.0445</v>
      </c>
      <c r="F42" s="31">
        <f>D42-E42</f>
        <v/>
      </c>
    </row>
    <row r="43" ht="21.75" customHeight="1" s="47">
      <c r="C43" s="42" t="inlineStr">
        <is>
          <t>Native American%</t>
        </is>
      </c>
      <c r="D43" s="29" t="n">
        <v>0</v>
      </c>
      <c r="E43" s="29" t="n">
        <v>0.0078</v>
      </c>
      <c r="F43" s="31">
        <f>D43-E43</f>
        <v/>
      </c>
    </row>
    <row r="44">
      <c r="C44" s="42" t="inlineStr">
        <is>
          <t>HoPI%</t>
        </is>
      </c>
      <c r="D44" s="29" t="n">
        <v>0</v>
      </c>
      <c r="E44" s="29" t="n">
        <v>0.0045</v>
      </c>
      <c r="F44" s="31">
        <f>D44-E44</f>
        <v/>
      </c>
    </row>
    <row r="45">
      <c r="C45" s="42" t="inlineStr">
        <is>
          <t>Hispanic%</t>
        </is>
      </c>
      <c r="D45" s="29" t="n">
        <v>0.2011</v>
      </c>
      <c r="E45" s="29" t="n">
        <v>0.1292</v>
      </c>
      <c r="F45" s="31">
        <f>D45-E45</f>
        <v/>
      </c>
    </row>
    <row r="46">
      <c r="B46" s="46" t="inlineStr">
        <is>
          <t>Denver-Boulder-Greeley CSA</t>
        </is>
      </c>
      <c r="C46" s="42" t="inlineStr">
        <is>
          <t>Loans</t>
        </is>
      </c>
      <c r="D46" s="25" t="n">
        <v>4403</v>
      </c>
      <c r="E46" s="25" t="n">
        <v>293465</v>
      </c>
    </row>
    <row r="47">
      <c r="C47" s="42" t="inlineStr">
        <is>
          <t xml:space="preserve">LMICT% </t>
        </is>
      </c>
      <c r="D47" s="29" t="n">
        <v>0.2117</v>
      </c>
      <c r="E47" s="29" t="n">
        <v>0.2399</v>
      </c>
      <c r="F47" s="31">
        <f>D47-E47</f>
        <v/>
      </c>
    </row>
    <row r="48">
      <c r="C48" s="42" t="inlineStr">
        <is>
          <t>LMIB%</t>
        </is>
      </c>
      <c r="D48" s="29" t="n">
        <v>0.2612</v>
      </c>
      <c r="E48" s="29" t="n">
        <v>0.2948</v>
      </c>
      <c r="F48" s="31">
        <f>D48-E48</f>
        <v/>
      </c>
    </row>
    <row r="49">
      <c r="C49" s="42" t="inlineStr">
        <is>
          <t>LMIB$</t>
        </is>
      </c>
      <c r="D49" s="51" t="n">
        <v>337570000</v>
      </c>
      <c r="E49" s="51" t="n">
        <v>26059825000</v>
      </c>
      <c r="F49" s="31" t="n"/>
    </row>
    <row r="50">
      <c r="C50" s="42" t="inlineStr">
        <is>
          <t>MMCT%</t>
        </is>
      </c>
      <c r="D50" s="29" t="n">
        <v>0.1472</v>
      </c>
      <c r="E50" s="29" t="n">
        <v>0.1915</v>
      </c>
      <c r="F50" s="31">
        <f>D50-E50</f>
        <v/>
      </c>
    </row>
    <row r="51">
      <c r="C51" s="42" t="inlineStr">
        <is>
          <t>MINB%</t>
        </is>
      </c>
      <c r="D51" s="29" t="n">
        <v>0.338</v>
      </c>
      <c r="E51" s="29" t="n">
        <v>0.2533</v>
      </c>
      <c r="F51" s="31">
        <f>D51-E51</f>
        <v/>
      </c>
    </row>
    <row r="52">
      <c r="C52" s="42" t="inlineStr">
        <is>
          <t>Asian%</t>
        </is>
      </c>
      <c r="D52" s="29" t="n">
        <v>0.09180000000000001</v>
      </c>
      <c r="E52" s="29" t="n">
        <v>0.0586</v>
      </c>
      <c r="F52" s="31">
        <f>D52-E52</f>
        <v/>
      </c>
    </row>
    <row r="53">
      <c r="C53" s="42" t="inlineStr">
        <is>
          <t>Black%</t>
        </is>
      </c>
      <c r="D53" s="29" t="n">
        <v>0.0559</v>
      </c>
      <c r="E53" s="29" t="n">
        <v>0.0314</v>
      </c>
      <c r="F53" s="31">
        <f>D53-E53</f>
        <v/>
      </c>
    </row>
    <row r="54" ht="21.75" customHeight="1" s="47">
      <c r="C54" s="42" t="inlineStr">
        <is>
          <t>Native American%</t>
        </is>
      </c>
      <c r="D54" s="29" t="n">
        <v>0.0027</v>
      </c>
      <c r="E54" s="29" t="n">
        <v>0.0051</v>
      </c>
      <c r="F54" s="31">
        <f>D54-E54</f>
        <v/>
      </c>
    </row>
    <row r="55">
      <c r="C55" s="42" t="inlineStr">
        <is>
          <t>HoPI%</t>
        </is>
      </c>
      <c r="D55" s="29" t="n">
        <v>0.0014</v>
      </c>
      <c r="E55" s="29" t="n">
        <v>0.0019</v>
      </c>
      <c r="F55" s="31">
        <f>D55-E55</f>
        <v/>
      </c>
    </row>
    <row r="56">
      <c r="C56" s="42" t="inlineStr">
        <is>
          <t>Hispanic%</t>
        </is>
      </c>
      <c r="D56" s="29" t="n">
        <v>0.1862</v>
      </c>
      <c r="E56" s="29" t="n">
        <v>0.1563</v>
      </c>
      <c r="F56" s="31">
        <f>D56-E56</f>
        <v/>
      </c>
    </row>
    <row r="57">
      <c r="B57" s="46" t="inlineStr">
        <is>
          <t>Fort Collins, CO</t>
        </is>
      </c>
      <c r="C57" s="42" t="inlineStr">
        <is>
          <t>Loans</t>
        </is>
      </c>
      <c r="D57" s="46" t="n">
        <v>462</v>
      </c>
      <c r="E57" s="25" t="n">
        <v>27032</v>
      </c>
    </row>
    <row r="58">
      <c r="C58" s="42" t="inlineStr">
        <is>
          <t xml:space="preserve">LMICT% </t>
        </is>
      </c>
      <c r="D58" s="29" t="n">
        <v>0.1082</v>
      </c>
      <c r="E58" s="29" t="n">
        <v>0.1644</v>
      </c>
      <c r="F58" s="31">
        <f>D58-E58</f>
        <v/>
      </c>
    </row>
    <row r="59">
      <c r="C59" s="42" t="inlineStr">
        <is>
          <t>LMIB%</t>
        </is>
      </c>
      <c r="D59" s="29" t="n">
        <v>0.2338</v>
      </c>
      <c r="E59" s="29" t="n">
        <v>0.2813</v>
      </c>
      <c r="F59" s="31">
        <f>D59-E59</f>
        <v/>
      </c>
    </row>
    <row r="60">
      <c r="C60" s="42" t="inlineStr">
        <is>
          <t>LMIB$</t>
        </is>
      </c>
      <c r="D60" s="51" t="n">
        <v>32900000</v>
      </c>
      <c r="E60" s="51" t="n">
        <v>2228410000</v>
      </c>
      <c r="F60" s="31" t="n"/>
    </row>
    <row r="61">
      <c r="C61" s="42" t="inlineStr">
        <is>
          <t>MMCT%</t>
        </is>
      </c>
      <c r="D61" s="29" t="n">
        <v>0</v>
      </c>
      <c r="E61" s="29" t="n">
        <v>0.0025</v>
      </c>
      <c r="F61" s="31">
        <f>D61-E61</f>
        <v/>
      </c>
    </row>
    <row r="62">
      <c r="C62" s="42" t="inlineStr">
        <is>
          <t>MINB%</t>
        </is>
      </c>
      <c r="D62" s="29" t="n">
        <v>0.0844</v>
      </c>
      <c r="E62" s="29" t="n">
        <v>0.1224</v>
      </c>
      <c r="F62" s="31">
        <f>D62-E62</f>
        <v/>
      </c>
    </row>
    <row r="63">
      <c r="C63" s="42" t="inlineStr">
        <is>
          <t>Asian%</t>
        </is>
      </c>
      <c r="D63" s="29" t="n">
        <v>0.039</v>
      </c>
      <c r="E63" s="29" t="n">
        <v>0.0306</v>
      </c>
      <c r="F63" s="31">
        <f>D63-E63</f>
        <v/>
      </c>
    </row>
    <row r="64">
      <c r="C64" s="42" t="inlineStr">
        <is>
          <t>Black%</t>
        </is>
      </c>
      <c r="D64" s="29" t="n">
        <v>0</v>
      </c>
      <c r="E64" s="29" t="n">
        <v>0.0077</v>
      </c>
      <c r="F64" s="31">
        <f>D64-E64</f>
        <v/>
      </c>
    </row>
    <row r="65" ht="21.75" customHeight="1" s="47">
      <c r="C65" s="42" t="inlineStr">
        <is>
          <t>Native American%</t>
        </is>
      </c>
      <c r="D65" s="29" t="n">
        <v>0.0022</v>
      </c>
      <c r="E65" s="29" t="n">
        <v>0.0054</v>
      </c>
      <c r="F65" s="31">
        <f>D65-E65</f>
        <v/>
      </c>
    </row>
    <row r="66">
      <c r="C66" s="42" t="inlineStr">
        <is>
          <t>HoPI%</t>
        </is>
      </c>
      <c r="D66" s="29" t="n">
        <v>0</v>
      </c>
      <c r="E66" s="29" t="n">
        <v>0.0014</v>
      </c>
      <c r="F66" s="31">
        <f>D66-E66</f>
        <v/>
      </c>
    </row>
    <row r="67">
      <c r="C67" s="42" t="inlineStr">
        <is>
          <t>Hispanic%</t>
        </is>
      </c>
      <c r="D67" s="29" t="n">
        <v>0.0433</v>
      </c>
      <c r="E67" s="29" t="n">
        <v>0.0774</v>
      </c>
      <c r="F67" s="31">
        <f>D67-E67</f>
        <v/>
      </c>
    </row>
    <row r="68">
      <c r="A68" s="46" t="n"/>
      <c r="B68" s="46" t="n"/>
      <c r="C68" s="42" t="n"/>
      <c r="D68" s="46" t="n"/>
      <c r="E68" s="25" t="n"/>
    </row>
    <row r="69">
      <c r="A69" s="46" t="n"/>
      <c r="B69" s="46" t="n"/>
      <c r="C69" s="42" t="n"/>
      <c r="D69" s="29" t="n"/>
      <c r="E69" s="29" t="n"/>
      <c r="F69" s="31">
        <f>D69-E69</f>
        <v/>
      </c>
    </row>
    <row r="70">
      <c r="A70" s="46" t="n"/>
      <c r="B70" s="46" t="n"/>
      <c r="C70" s="42" t="n"/>
      <c r="D70" s="29" t="n"/>
      <c r="E70" s="29" t="n"/>
      <c r="F70" s="31">
        <f>D70-E70</f>
        <v/>
      </c>
    </row>
    <row r="71">
      <c r="A71" s="46" t="n"/>
      <c r="B71" s="46" t="n"/>
      <c r="C71" s="42" t="n"/>
      <c r="D71" s="51" t="n"/>
      <c r="E71" s="51" t="n"/>
      <c r="F71" s="31" t="n"/>
    </row>
    <row r="72">
      <c r="A72" s="46" t="n"/>
      <c r="B72" s="46" t="n"/>
      <c r="C72" s="42" t="n"/>
      <c r="D72" s="29" t="n"/>
      <c r="E72" s="29" t="n"/>
      <c r="F72" s="31">
        <f>D72-E72</f>
        <v/>
      </c>
    </row>
    <row r="73">
      <c r="A73" s="46" t="n"/>
      <c r="B73" s="46" t="n"/>
      <c r="C73" s="42" t="n"/>
      <c r="D73" s="29" t="n"/>
      <c r="E73" s="29" t="n"/>
      <c r="F73" s="31">
        <f>D73-E73</f>
        <v/>
      </c>
    </row>
    <row r="74">
      <c r="A74" s="46" t="n"/>
      <c r="B74" s="46" t="n"/>
      <c r="C74" s="42" t="n"/>
      <c r="D74" s="29" t="n"/>
      <c r="E74" s="29" t="n"/>
      <c r="F74" s="31">
        <f>D74-E74</f>
        <v/>
      </c>
    </row>
    <row r="75">
      <c r="A75" s="46" t="n"/>
      <c r="B75" s="46" t="n"/>
      <c r="C75" s="42" t="n"/>
      <c r="D75" s="29" t="n"/>
      <c r="E75" s="29" t="n"/>
      <c r="F75" s="31">
        <f>D75-E75</f>
        <v/>
      </c>
    </row>
    <row r="76" ht="21.75" customHeight="1" s="47">
      <c r="A76" s="46" t="n"/>
      <c r="B76" s="46" t="n"/>
      <c r="C76" s="42" t="n"/>
      <c r="D76" s="29" t="n"/>
      <c r="E76" s="29" t="n"/>
      <c r="F76" s="31">
        <f>D76-E76</f>
        <v/>
      </c>
    </row>
    <row r="77">
      <c r="A77" s="46" t="n"/>
      <c r="B77" s="46" t="n"/>
      <c r="C77" s="42" t="n"/>
      <c r="D77" s="29" t="n"/>
      <c r="E77" s="29" t="n"/>
      <c r="F77" s="31">
        <f>D77-E77</f>
        <v/>
      </c>
    </row>
    <row r="78">
      <c r="A78" s="46" t="n"/>
      <c r="B78" s="46" t="n"/>
      <c r="C78" s="42" t="n"/>
      <c r="D78" s="29" t="n"/>
      <c r="E78" s="29" t="n"/>
      <c r="F78" s="31">
        <f>D78-E78</f>
        <v/>
      </c>
    </row>
    <row r="79">
      <c r="B79" s="43" t="n"/>
      <c r="C79" s="42" t="n"/>
      <c r="D79" s="46" t="n"/>
      <c r="E79" s="28" t="n"/>
    </row>
    <row r="80">
      <c r="C80" s="42" t="n"/>
      <c r="D80" s="29" t="n"/>
      <c r="E80" s="30" t="n"/>
      <c r="F80" s="31">
        <f>D80-E80</f>
        <v/>
      </c>
    </row>
    <row r="81">
      <c r="C81" s="42" t="n"/>
      <c r="D81" s="29" t="n"/>
      <c r="E81" s="30" t="n"/>
      <c r="F81" s="31">
        <f>D81-E81</f>
        <v/>
      </c>
    </row>
    <row r="82">
      <c r="C82" s="42" t="n"/>
      <c r="D82" s="51" t="n"/>
      <c r="E82" s="52" t="n"/>
      <c r="F82" s="31">
        <f>D82-E82</f>
        <v/>
      </c>
    </row>
    <row r="83">
      <c r="C83" s="42" t="n"/>
      <c r="D83" s="29" t="n"/>
      <c r="E83" s="30" t="n"/>
      <c r="F83" s="31">
        <f>D83-E83</f>
        <v/>
      </c>
    </row>
    <row r="84">
      <c r="C84" s="42" t="n"/>
      <c r="D84" s="29" t="n"/>
      <c r="E84" s="30" t="n"/>
      <c r="F84" s="31">
        <f>D84-E84</f>
        <v/>
      </c>
    </row>
    <row r="85">
      <c r="C85" s="42" t="n"/>
      <c r="D85" s="29" t="n"/>
      <c r="E85" s="30" t="n"/>
      <c r="F85" s="31">
        <f>D85-E85</f>
        <v/>
      </c>
    </row>
    <row r="86">
      <c r="C86" s="42" t="n"/>
      <c r="D86" s="29" t="n"/>
      <c r="E86" s="30" t="n"/>
      <c r="F86" s="31">
        <f>D86-E86</f>
        <v/>
      </c>
    </row>
    <row r="87">
      <c r="C87" s="42" t="n"/>
      <c r="D87" s="29" t="n"/>
      <c r="E87" s="30" t="n"/>
      <c r="F87" s="31">
        <f>D87-E87</f>
        <v/>
      </c>
    </row>
    <row r="88">
      <c r="C88" s="42" t="n"/>
      <c r="D88" s="29" t="n"/>
      <c r="E88" s="30" t="n"/>
      <c r="F88" s="31">
        <f>D88-E88</f>
        <v/>
      </c>
    </row>
    <row r="89">
      <c r="C89" s="42" t="n"/>
      <c r="D89" s="29" t="n"/>
      <c r="E89" s="30" t="n"/>
      <c r="F89" s="31">
        <f>D89-E89</f>
        <v/>
      </c>
    </row>
    <row r="90">
      <c r="B90" s="43" t="n"/>
      <c r="C90" s="42" t="n"/>
      <c r="D90" s="46" t="n"/>
      <c r="E90" s="28" t="n"/>
    </row>
    <row r="91">
      <c r="C91" s="42" t="n"/>
      <c r="D91" s="29" t="n"/>
      <c r="E91" s="30" t="n"/>
      <c r="F91" s="31">
        <f>D91-E91</f>
        <v/>
      </c>
    </row>
    <row r="92">
      <c r="C92" s="42" t="n"/>
      <c r="D92" s="29" t="n"/>
      <c r="E92" s="30" t="n"/>
      <c r="F92" s="31">
        <f>D92-E92</f>
        <v/>
      </c>
    </row>
    <row r="93">
      <c r="C93" s="42" t="n"/>
      <c r="D93" s="51" t="n"/>
      <c r="E93" s="52" t="n"/>
      <c r="F93" s="31">
        <f>D93-E93</f>
        <v/>
      </c>
    </row>
    <row r="94">
      <c r="C94" s="42" t="n"/>
      <c r="D94" s="29" t="n"/>
      <c r="E94" s="30" t="n"/>
      <c r="F94" s="31">
        <f>D94-E94</f>
        <v/>
      </c>
    </row>
    <row r="95">
      <c r="C95" s="42" t="n"/>
      <c r="D95" s="29" t="n"/>
      <c r="E95" s="30" t="n"/>
      <c r="F95" s="31">
        <f>D95-E95</f>
        <v/>
      </c>
    </row>
    <row r="96">
      <c r="C96" s="42" t="n"/>
      <c r="D96" s="29" t="n"/>
      <c r="E96" s="30" t="n"/>
      <c r="F96" s="31">
        <f>D96-E96</f>
        <v/>
      </c>
    </row>
    <row r="97">
      <c r="C97" s="42" t="n"/>
      <c r="D97" s="29" t="n"/>
      <c r="E97" s="30" t="n"/>
      <c r="F97" s="31">
        <f>D97-E97</f>
        <v/>
      </c>
    </row>
    <row r="98">
      <c r="C98" s="42" t="n"/>
      <c r="D98" s="29" t="n"/>
      <c r="E98" s="30" t="n"/>
      <c r="F98" s="31">
        <f>D98-E98</f>
        <v/>
      </c>
    </row>
    <row r="99">
      <c r="C99" s="42" t="n"/>
      <c r="D99" s="29" t="n"/>
      <c r="E99" s="30" t="n"/>
      <c r="F99" s="31">
        <f>D99-E99</f>
        <v/>
      </c>
    </row>
    <row r="100">
      <c r="C100" s="42" t="n"/>
      <c r="D100" s="29" t="n"/>
      <c r="E100" s="30" t="n"/>
      <c r="F100" s="31">
        <f>D100-E100</f>
        <v/>
      </c>
    </row>
    <row r="101">
      <c r="B101" s="43" t="n"/>
      <c r="C101" s="42" t="n"/>
      <c r="D101" s="46" t="n"/>
      <c r="E101" s="28" t="n"/>
    </row>
    <row r="102">
      <c r="C102" s="42" t="n"/>
      <c r="D102" s="29" t="n"/>
      <c r="E102" s="30" t="n"/>
      <c r="F102" s="31">
        <f>D102-E102</f>
        <v/>
      </c>
    </row>
    <row r="103">
      <c r="C103" s="42" t="n"/>
      <c r="D103" s="29" t="n"/>
      <c r="E103" s="30" t="n"/>
      <c r="F103" s="31">
        <f>D103-E103</f>
        <v/>
      </c>
    </row>
    <row r="104">
      <c r="C104" s="42" t="n"/>
      <c r="D104" s="51" t="n"/>
      <c r="E104" s="52" t="n"/>
      <c r="F104" s="31">
        <f>D104-E104</f>
        <v/>
      </c>
    </row>
    <row r="105">
      <c r="C105" s="42" t="n"/>
      <c r="D105" s="29" t="n"/>
      <c r="E105" s="30" t="n"/>
      <c r="F105" s="31">
        <f>D105-E105</f>
        <v/>
      </c>
    </row>
    <row r="106">
      <c r="C106" s="42" t="n"/>
      <c r="D106" s="29" t="n"/>
      <c r="E106" s="30" t="n"/>
      <c r="F106" s="31">
        <f>D106-E106</f>
        <v/>
      </c>
    </row>
    <row r="107">
      <c r="C107" s="42" t="n"/>
      <c r="D107" s="29" t="n"/>
      <c r="E107" s="30" t="n"/>
      <c r="F107" s="31">
        <f>D107-E107</f>
        <v/>
      </c>
    </row>
    <row r="108">
      <c r="C108" s="42" t="n"/>
      <c r="D108" s="29" t="n"/>
      <c r="E108" s="30" t="n"/>
      <c r="F108" s="31">
        <f>D108-E108</f>
        <v/>
      </c>
    </row>
    <row r="109">
      <c r="C109" s="42" t="n"/>
      <c r="D109" s="29" t="n"/>
      <c r="E109" s="30" t="n"/>
      <c r="F109" s="31">
        <f>D109-E109</f>
        <v/>
      </c>
    </row>
    <row r="110">
      <c r="C110" s="42" t="n"/>
      <c r="D110" s="29" t="n"/>
      <c r="E110" s="30" t="n"/>
      <c r="F110" s="31">
        <f>D110-E110</f>
        <v/>
      </c>
    </row>
    <row r="111">
      <c r="C111" s="42" t="n"/>
      <c r="D111" s="29" t="n"/>
      <c r="E111" s="30" t="n"/>
      <c r="F111" s="31">
        <f>D111-E111</f>
        <v/>
      </c>
    </row>
    <row r="112">
      <c r="B112" s="43" t="n"/>
      <c r="C112" s="42" t="n"/>
      <c r="D112" s="46" t="n"/>
      <c r="E112" s="28" t="n"/>
    </row>
    <row r="113">
      <c r="C113" s="42" t="n"/>
      <c r="D113" s="29" t="n"/>
      <c r="E113" s="30" t="n"/>
      <c r="F113" s="31">
        <f>D113-E113</f>
        <v/>
      </c>
    </row>
    <row r="114">
      <c r="C114" s="42" t="n"/>
      <c r="D114" s="29" t="n"/>
      <c r="E114" s="30" t="n"/>
      <c r="F114" s="31">
        <f>D114-E114</f>
        <v/>
      </c>
    </row>
    <row r="115">
      <c r="C115" s="42" t="n"/>
      <c r="D115" s="51" t="n"/>
      <c r="E115" s="52" t="n"/>
      <c r="F115" s="31">
        <f>D115-E115</f>
        <v/>
      </c>
    </row>
    <row r="116">
      <c r="C116" s="42" t="n"/>
      <c r="D116" s="29" t="n"/>
      <c r="E116" s="30" t="n"/>
      <c r="F116" s="31">
        <f>D116-E116</f>
        <v/>
      </c>
    </row>
    <row r="117">
      <c r="C117" s="42" t="n"/>
      <c r="D117" s="29" t="n"/>
      <c r="E117" s="30" t="n"/>
      <c r="F117" s="31">
        <f>D117-E117</f>
        <v/>
      </c>
    </row>
    <row r="118">
      <c r="C118" s="42" t="n"/>
      <c r="D118" s="29" t="n"/>
      <c r="E118" s="30" t="n"/>
      <c r="F118" s="31">
        <f>D118-E118</f>
        <v/>
      </c>
    </row>
    <row r="119">
      <c r="C119" s="42" t="n"/>
      <c r="D119" s="29" t="n"/>
      <c r="E119" s="30" t="n"/>
      <c r="F119" s="31">
        <f>D119-E119</f>
        <v/>
      </c>
    </row>
    <row r="120">
      <c r="C120" s="42" t="n"/>
      <c r="D120" s="29" t="n"/>
      <c r="E120" s="30" t="n"/>
      <c r="F120" s="31">
        <f>D120-E120</f>
        <v/>
      </c>
    </row>
    <row r="121">
      <c r="C121" s="42" t="n"/>
      <c r="D121" s="29" t="n"/>
      <c r="E121" s="30" t="n"/>
      <c r="F121" s="31">
        <f>D121-E121</f>
        <v/>
      </c>
    </row>
    <row r="122">
      <c r="C122" s="42" t="n"/>
      <c r="D122" s="29" t="n"/>
      <c r="E122" s="30" t="n"/>
      <c r="F122" s="31">
        <f>D122-E122</f>
        <v/>
      </c>
    </row>
    <row r="123">
      <c r="B123" s="43" t="n"/>
      <c r="C123" s="42" t="n"/>
      <c r="D123" s="46" t="n"/>
      <c r="E123" s="28" t="n"/>
    </row>
    <row r="124">
      <c r="C124" s="42" t="n"/>
      <c r="D124" s="29" t="n"/>
      <c r="E124" s="30" t="n"/>
      <c r="F124" s="31">
        <f>D124-E124</f>
        <v/>
      </c>
    </row>
    <row r="125">
      <c r="C125" s="42" t="n"/>
      <c r="D125" s="29" t="n"/>
      <c r="E125" s="30" t="n"/>
      <c r="F125" s="31">
        <f>D125-E125</f>
        <v/>
      </c>
    </row>
    <row r="126">
      <c r="C126" s="42" t="n"/>
      <c r="D126" s="51" t="n"/>
      <c r="E126" s="52" t="n"/>
      <c r="F126" s="31">
        <f>D126-E126</f>
        <v/>
      </c>
    </row>
    <row r="127">
      <c r="C127" s="42" t="n"/>
      <c r="D127" s="29" t="n"/>
      <c r="E127" s="30" t="n"/>
      <c r="F127" s="31">
        <f>D127-E127</f>
        <v/>
      </c>
    </row>
    <row r="128">
      <c r="C128" s="42" t="n"/>
      <c r="D128" s="29" t="n"/>
      <c r="E128" s="30" t="n"/>
      <c r="F128" s="31">
        <f>D128-E128</f>
        <v/>
      </c>
    </row>
    <row r="129">
      <c r="C129" s="42" t="n"/>
      <c r="D129" s="29" t="n"/>
      <c r="E129" s="30" t="n"/>
      <c r="F129" s="31">
        <f>D129-E129</f>
        <v/>
      </c>
    </row>
    <row r="130">
      <c r="C130" s="42" t="n"/>
      <c r="D130" s="29" t="n"/>
      <c r="E130" s="30" t="n"/>
      <c r="F130" s="31">
        <f>D130-E130</f>
        <v/>
      </c>
    </row>
    <row r="131">
      <c r="C131" s="42" t="n"/>
      <c r="D131" s="29" t="n"/>
      <c r="E131" s="30" t="n"/>
      <c r="F131" s="31">
        <f>D131-E131</f>
        <v/>
      </c>
    </row>
    <row r="132">
      <c r="C132" s="42" t="n"/>
      <c r="D132" s="29" t="n"/>
      <c r="E132" s="30" t="n"/>
      <c r="F132" s="31">
        <f>D132-E132</f>
        <v/>
      </c>
    </row>
    <row r="133">
      <c r="C133" s="42" t="n"/>
      <c r="D133" s="29" t="n"/>
      <c r="E133" s="30" t="n"/>
      <c r="F133" s="31">
        <f>D133-E133</f>
        <v/>
      </c>
    </row>
    <row r="134">
      <c r="B134" s="43" t="n"/>
      <c r="C134" s="42" t="n"/>
      <c r="D134" s="46" t="n"/>
      <c r="E134" s="28" t="n"/>
    </row>
    <row r="135">
      <c r="C135" s="42" t="n"/>
      <c r="D135" s="29" t="n"/>
      <c r="E135" s="30" t="n"/>
      <c r="F135" s="31">
        <f>D135-E135</f>
        <v/>
      </c>
    </row>
    <row r="136">
      <c r="C136" s="42" t="n"/>
      <c r="D136" s="29" t="n"/>
      <c r="E136" s="30" t="n"/>
      <c r="F136" s="31">
        <f>D136-E136</f>
        <v/>
      </c>
    </row>
    <row r="137">
      <c r="C137" s="42" t="n"/>
      <c r="D137" s="51" t="n"/>
      <c r="E137" s="52" t="n"/>
      <c r="F137" s="31">
        <f>D137-E137</f>
        <v/>
      </c>
    </row>
    <row r="138">
      <c r="C138" s="42" t="n"/>
      <c r="D138" s="29" t="n"/>
      <c r="E138" s="30" t="n"/>
      <c r="F138" s="31">
        <f>D138-E138</f>
        <v/>
      </c>
    </row>
    <row r="139">
      <c r="C139" s="42" t="n"/>
      <c r="D139" s="29" t="n"/>
      <c r="E139" s="30" t="n"/>
      <c r="F139" s="31">
        <f>D139-E139</f>
        <v/>
      </c>
    </row>
    <row r="140">
      <c r="C140" s="42" t="n"/>
      <c r="D140" s="29" t="n"/>
      <c r="E140" s="30" t="n"/>
      <c r="F140" s="31">
        <f>D140-E140</f>
        <v/>
      </c>
    </row>
    <row r="141">
      <c r="C141" s="42" t="n"/>
      <c r="D141" s="29" t="n"/>
      <c r="E141" s="30" t="n"/>
      <c r="F141" s="31">
        <f>D141-E141</f>
        <v/>
      </c>
    </row>
    <row r="142">
      <c r="C142" s="42" t="n"/>
      <c r="D142" s="29" t="n"/>
      <c r="E142" s="30" t="n"/>
      <c r="F142" s="31">
        <f>D142-E142</f>
        <v/>
      </c>
    </row>
    <row r="143">
      <c r="C143" s="42" t="n"/>
      <c r="D143" s="29" t="n"/>
      <c r="E143" s="30" t="n"/>
      <c r="F143" s="31">
        <f>D143-E143</f>
        <v/>
      </c>
    </row>
    <row r="144">
      <c r="C144" s="42" t="n"/>
      <c r="D144" s="29" t="n"/>
      <c r="E144" s="30" t="n"/>
      <c r="F144" s="31">
        <f>D144-E144</f>
        <v/>
      </c>
    </row>
    <row r="145">
      <c r="B145" s="43" t="n"/>
      <c r="C145" s="42" t="n"/>
      <c r="D145" s="25" t="n"/>
      <c r="E145" s="28" t="n"/>
    </row>
    <row r="146">
      <c r="C146" s="42" t="n"/>
      <c r="D146" s="29" t="n"/>
      <c r="E146" s="30" t="n"/>
      <c r="F146" s="31">
        <f>D146-E146</f>
        <v/>
      </c>
    </row>
    <row r="147">
      <c r="C147" s="42" t="n"/>
      <c r="D147" s="29" t="n"/>
      <c r="E147" s="30" t="n"/>
      <c r="F147" s="31">
        <f>D147-E147</f>
        <v/>
      </c>
    </row>
    <row r="148">
      <c r="C148" s="42" t="n"/>
      <c r="D148" s="51" t="n"/>
      <c r="E148" s="52" t="n"/>
      <c r="F148" s="31">
        <f>D148-E148</f>
        <v/>
      </c>
    </row>
    <row r="149">
      <c r="C149" s="42" t="n"/>
      <c r="D149" s="29" t="n"/>
      <c r="E149" s="30" t="n"/>
      <c r="F149" s="31">
        <f>D149-E149</f>
        <v/>
      </c>
    </row>
    <row r="150">
      <c r="C150" s="42" t="n"/>
      <c r="D150" s="29" t="n"/>
      <c r="E150" s="30" t="n"/>
      <c r="F150" s="31">
        <f>D150-E150</f>
        <v/>
      </c>
    </row>
    <row r="151">
      <c r="C151" s="42" t="n"/>
      <c r="D151" s="29" t="n"/>
      <c r="E151" s="30" t="n"/>
      <c r="F151" s="31">
        <f>D151-E151</f>
        <v/>
      </c>
    </row>
    <row r="152">
      <c r="C152" s="42" t="n"/>
      <c r="D152" s="29" t="n"/>
      <c r="E152" s="30" t="n"/>
      <c r="F152" s="31">
        <f>D152-E152</f>
        <v/>
      </c>
    </row>
    <row r="153">
      <c r="C153" s="42" t="n"/>
      <c r="D153" s="29" t="n"/>
      <c r="E153" s="30" t="n"/>
      <c r="F153" s="31">
        <f>D153-E153</f>
        <v/>
      </c>
    </row>
    <row r="154">
      <c r="C154" s="42" t="n"/>
      <c r="D154" s="29" t="n"/>
      <c r="E154" s="30" t="n"/>
      <c r="F154" s="31">
        <f>D154-E154</f>
        <v/>
      </c>
    </row>
    <row r="155">
      <c r="C155" s="42" t="n"/>
      <c r="D155" s="29" t="n"/>
      <c r="E155" s="30" t="n"/>
      <c r="F155" s="31">
        <f>D155-E155</f>
        <v/>
      </c>
    </row>
    <row r="156">
      <c r="B156" s="43" t="n"/>
      <c r="C156" s="42" t="n"/>
      <c r="D156" s="46" t="n"/>
      <c r="E156" s="28" t="n"/>
    </row>
    <row r="157">
      <c r="C157" s="42" t="n"/>
      <c r="D157" s="29" t="n"/>
      <c r="E157" s="30" t="n"/>
      <c r="F157" s="31">
        <f>D157-E157</f>
        <v/>
      </c>
    </row>
    <row r="158">
      <c r="C158" s="42" t="n"/>
      <c r="D158" s="29" t="n"/>
      <c r="E158" s="30" t="n"/>
      <c r="F158" s="31">
        <f>D158-E158</f>
        <v/>
      </c>
    </row>
    <row r="159">
      <c r="C159" s="42" t="n"/>
      <c r="D159" s="51" t="n"/>
      <c r="E159" s="52" t="n"/>
      <c r="F159" s="31">
        <f>D159-E159</f>
        <v/>
      </c>
    </row>
    <row r="160">
      <c r="C160" s="42" t="n"/>
      <c r="D160" s="29" t="n"/>
      <c r="E160" s="30" t="n"/>
      <c r="F160" s="31">
        <f>D160-E160</f>
        <v/>
      </c>
    </row>
    <row r="161">
      <c r="C161" s="42" t="n"/>
      <c r="D161" s="29" t="n"/>
      <c r="E161" s="30" t="n"/>
      <c r="F161" s="31">
        <f>D161-E161</f>
        <v/>
      </c>
    </row>
    <row r="162">
      <c r="C162" s="42" t="n"/>
      <c r="D162" s="29" t="n"/>
      <c r="E162" s="30" t="n"/>
      <c r="F162" s="31">
        <f>D162-E162</f>
        <v/>
      </c>
    </row>
    <row r="163">
      <c r="C163" s="42" t="n"/>
      <c r="D163" s="29" t="n"/>
      <c r="E163" s="30" t="n"/>
      <c r="F163" s="31">
        <f>D163-E163</f>
        <v/>
      </c>
    </row>
    <row r="164">
      <c r="C164" s="42" t="n"/>
      <c r="D164" s="29" t="n"/>
      <c r="E164" s="30" t="n"/>
      <c r="F164" s="31">
        <f>D164-E164</f>
        <v/>
      </c>
    </row>
    <row r="165">
      <c r="C165" s="42" t="n"/>
      <c r="D165" s="29" t="n"/>
      <c r="E165" s="30" t="n"/>
      <c r="F165" s="31">
        <f>D165-E165</f>
        <v/>
      </c>
    </row>
    <row r="166">
      <c r="C166" s="42" t="n"/>
      <c r="D166" s="29" t="n"/>
      <c r="E166" s="30" t="n"/>
      <c r="F166" s="31">
        <f>D166-E166</f>
        <v/>
      </c>
    </row>
    <row r="167">
      <c r="B167" s="43" t="n"/>
      <c r="C167" s="42" t="n"/>
      <c r="D167" s="46" t="n"/>
      <c r="E167" s="28" t="n"/>
    </row>
    <row r="168">
      <c r="C168" s="42" t="n"/>
      <c r="D168" s="29" t="n"/>
      <c r="E168" s="30" t="n"/>
      <c r="F168" s="31">
        <f>D168-E168</f>
        <v/>
      </c>
    </row>
    <row r="169">
      <c r="C169" s="42" t="n"/>
      <c r="D169" s="29" t="n"/>
      <c r="E169" s="30" t="n"/>
      <c r="F169" s="31">
        <f>D169-E169</f>
        <v/>
      </c>
    </row>
    <row r="170">
      <c r="C170" s="42" t="n"/>
      <c r="D170" s="51" t="n"/>
      <c r="E170" s="52" t="n"/>
      <c r="F170" s="31">
        <f>D170-E170</f>
        <v/>
      </c>
    </row>
    <row r="171">
      <c r="C171" s="42" t="n"/>
      <c r="D171" s="29" t="n"/>
      <c r="E171" s="30" t="n"/>
      <c r="F171" s="31">
        <f>D171-E171</f>
        <v/>
      </c>
    </row>
    <row r="172">
      <c r="C172" s="42" t="n"/>
      <c r="D172" s="29" t="n"/>
      <c r="E172" s="30" t="n"/>
      <c r="F172" s="31">
        <f>D172-E172</f>
        <v/>
      </c>
    </row>
    <row r="173">
      <c r="C173" s="42" t="n"/>
      <c r="D173" s="29" t="n"/>
      <c r="E173" s="30" t="n"/>
      <c r="F173" s="31">
        <f>D173-E173</f>
        <v/>
      </c>
    </row>
    <row r="174">
      <c r="C174" s="42" t="n"/>
      <c r="D174" s="29" t="n"/>
      <c r="E174" s="30" t="n"/>
      <c r="F174" s="31">
        <f>D174-E174</f>
        <v/>
      </c>
    </row>
    <row r="175">
      <c r="C175" s="42" t="n"/>
      <c r="D175" s="29" t="n"/>
      <c r="E175" s="30" t="n"/>
      <c r="F175" s="31">
        <f>D175-E175</f>
        <v/>
      </c>
    </row>
    <row r="176">
      <c r="C176" s="42" t="n"/>
      <c r="D176" s="29" t="n"/>
      <c r="E176" s="30" t="n"/>
      <c r="F176" s="31">
        <f>D176-E176</f>
        <v/>
      </c>
    </row>
    <row r="177">
      <c r="C177" s="42" t="n"/>
      <c r="D177" s="29" t="n"/>
      <c r="E177" s="30" t="n"/>
      <c r="F177" s="31">
        <f>D177-E177</f>
        <v/>
      </c>
    </row>
    <row r="178">
      <c r="B178" s="43" t="n"/>
      <c r="C178" s="42" t="n"/>
      <c r="D178" s="46" t="n"/>
      <c r="E178" s="28" t="n"/>
    </row>
    <row r="179">
      <c r="C179" s="42" t="n"/>
      <c r="D179" s="29" t="n"/>
      <c r="E179" s="30" t="n"/>
      <c r="F179" s="31">
        <f>D179-E179</f>
        <v/>
      </c>
    </row>
    <row r="180">
      <c r="C180" s="42" t="n"/>
      <c r="D180" s="29" t="n"/>
      <c r="E180" s="30" t="n"/>
      <c r="F180" s="31">
        <f>D180-E180</f>
        <v/>
      </c>
    </row>
    <row r="181">
      <c r="C181" s="42" t="n"/>
      <c r="D181" s="51" t="n"/>
      <c r="E181" s="52" t="n"/>
      <c r="F181" s="31">
        <f>D181-E181</f>
        <v/>
      </c>
    </row>
    <row r="182">
      <c r="C182" s="42" t="n"/>
      <c r="D182" s="29" t="n"/>
      <c r="E182" s="30" t="n"/>
      <c r="F182" s="31">
        <f>D182-E182</f>
        <v/>
      </c>
    </row>
    <row r="183">
      <c r="C183" s="42" t="n"/>
      <c r="D183" s="29" t="n"/>
      <c r="E183" s="30" t="n"/>
      <c r="F183" s="31">
        <f>D183-E183</f>
        <v/>
      </c>
    </row>
    <row r="184">
      <c r="C184" s="42" t="n"/>
      <c r="D184" s="29" t="n"/>
      <c r="E184" s="30" t="n"/>
      <c r="F184" s="31">
        <f>D184-E184</f>
        <v/>
      </c>
    </row>
    <row r="185">
      <c r="C185" s="42" t="n"/>
      <c r="D185" s="29" t="n"/>
      <c r="E185" s="30" t="n"/>
      <c r="F185" s="31">
        <f>D185-E185</f>
        <v/>
      </c>
    </row>
    <row r="186">
      <c r="C186" s="42" t="n"/>
      <c r="D186" s="29" t="n"/>
      <c r="E186" s="30" t="n"/>
      <c r="F186" s="31">
        <f>D186-E186</f>
        <v/>
      </c>
    </row>
    <row r="187">
      <c r="C187" s="42" t="n"/>
      <c r="D187" s="29" t="n"/>
      <c r="E187" s="30" t="n"/>
      <c r="F187" s="31">
        <f>D187-E187</f>
        <v/>
      </c>
    </row>
    <row r="188">
      <c r="C188" s="42" t="n"/>
      <c r="D188" s="29" t="n"/>
      <c r="E188" s="30" t="n"/>
      <c r="F188" s="31">
        <f>D188-E188</f>
        <v/>
      </c>
    </row>
    <row r="189">
      <c r="B189" s="43" t="n"/>
      <c r="C189" s="42" t="n"/>
      <c r="D189" s="46" t="n"/>
      <c r="E189" s="28" t="n"/>
    </row>
    <row r="190">
      <c r="C190" s="42" t="n"/>
      <c r="D190" s="29" t="n"/>
      <c r="E190" s="30" t="n"/>
      <c r="F190" s="31">
        <f>D190-E190</f>
        <v/>
      </c>
    </row>
    <row r="191">
      <c r="C191" s="42" t="n"/>
      <c r="D191" s="29" t="n"/>
      <c r="E191" s="30" t="n"/>
      <c r="F191" s="31">
        <f>D191-E191</f>
        <v/>
      </c>
    </row>
    <row r="192">
      <c r="C192" s="42" t="n"/>
      <c r="D192" s="51" t="n"/>
      <c r="E192" s="52" t="n"/>
      <c r="F192" s="31">
        <f>D192-E192</f>
        <v/>
      </c>
    </row>
    <row r="193">
      <c r="C193" s="42" t="n"/>
      <c r="D193" s="29" t="n"/>
      <c r="E193" s="30" t="n"/>
      <c r="F193" s="31">
        <f>D193-E193</f>
        <v/>
      </c>
    </row>
    <row r="194">
      <c r="C194" s="42" t="n"/>
      <c r="D194" s="29" t="n"/>
      <c r="E194" s="30" t="n"/>
      <c r="F194" s="31">
        <f>D194-E194</f>
        <v/>
      </c>
    </row>
    <row r="195">
      <c r="C195" s="42" t="n"/>
      <c r="D195" s="29" t="n"/>
      <c r="E195" s="30" t="n"/>
      <c r="F195" s="31">
        <f>D195-E195</f>
        <v/>
      </c>
    </row>
    <row r="196">
      <c r="C196" s="42" t="n"/>
      <c r="D196" s="29" t="n"/>
      <c r="E196" s="30" t="n"/>
      <c r="F196" s="31">
        <f>D196-E196</f>
        <v/>
      </c>
    </row>
    <row r="197">
      <c r="C197" s="42" t="n"/>
      <c r="D197" s="29" t="n"/>
      <c r="E197" s="30" t="n"/>
      <c r="F197" s="31">
        <f>D197-E197</f>
        <v/>
      </c>
    </row>
    <row r="198">
      <c r="C198" s="42" t="n"/>
      <c r="D198" s="29" t="n"/>
      <c r="E198" s="30" t="n"/>
      <c r="F198" s="31">
        <f>D198-E198</f>
        <v/>
      </c>
    </row>
    <row r="199">
      <c r="C199" s="42" t="n"/>
      <c r="D199" s="29" t="n"/>
      <c r="E199" s="30" t="n"/>
      <c r="F199" s="31">
        <f>D199-E199</f>
        <v/>
      </c>
    </row>
    <row r="200">
      <c r="B200" s="43" t="n"/>
      <c r="C200" s="42" t="n"/>
      <c r="D200" s="46" t="n"/>
      <c r="E200" s="28" t="n"/>
    </row>
    <row r="201">
      <c r="C201" s="42" t="n"/>
      <c r="D201" s="29" t="n"/>
      <c r="E201" s="30" t="n"/>
      <c r="F201" s="31">
        <f>D201-E201</f>
        <v/>
      </c>
    </row>
    <row r="202">
      <c r="C202" s="42" t="n"/>
      <c r="D202" s="29" t="n"/>
      <c r="E202" s="30" t="n"/>
      <c r="F202" s="31">
        <f>D202-E202</f>
        <v/>
      </c>
    </row>
    <row r="203">
      <c r="C203" s="42" t="n"/>
      <c r="D203" s="51" t="n"/>
      <c r="E203" s="52" t="n"/>
      <c r="F203" s="31">
        <f>D203-E203</f>
        <v/>
      </c>
    </row>
    <row r="204">
      <c r="C204" s="42" t="n"/>
      <c r="D204" s="29" t="n"/>
      <c r="E204" s="30" t="n"/>
      <c r="F204" s="31">
        <f>D204-E204</f>
        <v/>
      </c>
    </row>
    <row r="205">
      <c r="C205" s="42" t="n"/>
      <c r="D205" s="29" t="n"/>
      <c r="E205" s="30" t="n"/>
      <c r="F205" s="31">
        <f>D205-E205</f>
        <v/>
      </c>
    </row>
    <row r="206">
      <c r="C206" s="42" t="n"/>
      <c r="D206" s="29" t="n"/>
      <c r="E206" s="30" t="n"/>
      <c r="F206" s="31">
        <f>D206-E206</f>
        <v/>
      </c>
    </row>
    <row r="207">
      <c r="C207" s="42" t="n"/>
      <c r="D207" s="29" t="n"/>
      <c r="E207" s="30" t="n"/>
      <c r="F207" s="31">
        <f>D207-E207</f>
        <v/>
      </c>
    </row>
    <row r="208">
      <c r="C208" s="42" t="n"/>
      <c r="D208" s="29" t="n"/>
      <c r="E208" s="30" t="n"/>
      <c r="F208" s="31">
        <f>D208-E208</f>
        <v/>
      </c>
    </row>
    <row r="209">
      <c r="C209" s="42" t="n"/>
      <c r="D209" s="29" t="n"/>
      <c r="E209" s="30" t="n"/>
      <c r="F209" s="31">
        <f>D209-E209</f>
        <v/>
      </c>
    </row>
    <row r="210">
      <c r="C210" s="42" t="n"/>
      <c r="D210" s="29" t="n"/>
      <c r="E210" s="30" t="n"/>
      <c r="F210" s="31">
        <f>D210-E210</f>
        <v/>
      </c>
    </row>
    <row r="211">
      <c r="B211" s="43" t="n"/>
      <c r="C211" s="42" t="n"/>
      <c r="D211" s="46" t="n"/>
      <c r="E211" s="28" t="n"/>
    </row>
    <row r="212">
      <c r="C212" s="42" t="n"/>
      <c r="D212" s="29" t="n"/>
      <c r="E212" s="30" t="n"/>
      <c r="F212" s="31">
        <f>D212-E212</f>
        <v/>
      </c>
    </row>
    <row r="213">
      <c r="C213" s="42" t="n"/>
      <c r="D213" s="29" t="n"/>
      <c r="E213" s="30" t="n"/>
      <c r="F213" s="31">
        <f>D213-E213</f>
        <v/>
      </c>
    </row>
    <row r="214">
      <c r="C214" s="42" t="n"/>
      <c r="D214" s="51" t="n"/>
      <c r="E214" s="52" t="n"/>
      <c r="F214" s="31">
        <f>D214-E214</f>
        <v/>
      </c>
    </row>
    <row r="215">
      <c r="C215" s="42" t="n"/>
      <c r="D215" s="29" t="n"/>
      <c r="E215" s="30" t="n"/>
      <c r="F215" s="31">
        <f>D215-E215</f>
        <v/>
      </c>
    </row>
    <row r="216">
      <c r="C216" s="42" t="n"/>
      <c r="D216" s="29" t="n"/>
      <c r="E216" s="30" t="n"/>
      <c r="F216" s="31">
        <f>D216-E216</f>
        <v/>
      </c>
    </row>
    <row r="217">
      <c r="C217" s="42" t="n"/>
      <c r="D217" s="29" t="n"/>
      <c r="E217" s="30" t="n"/>
      <c r="F217" s="31">
        <f>D217-E217</f>
        <v/>
      </c>
    </row>
    <row r="218">
      <c r="C218" s="42" t="n"/>
      <c r="D218" s="29" t="n"/>
      <c r="E218" s="30" t="n"/>
      <c r="F218" s="31">
        <f>D218-E218</f>
        <v/>
      </c>
    </row>
    <row r="219">
      <c r="C219" s="42" t="n"/>
      <c r="D219" s="29" t="n"/>
      <c r="E219" s="30" t="n"/>
      <c r="F219" s="31">
        <f>D219-E219</f>
        <v/>
      </c>
    </row>
    <row r="220">
      <c r="C220" s="42" t="n"/>
      <c r="D220" s="29" t="n"/>
      <c r="E220" s="30" t="n"/>
      <c r="F220" s="31">
        <f>D220-E220</f>
        <v/>
      </c>
    </row>
    <row r="221">
      <c r="C221" s="42" t="n"/>
      <c r="D221" s="29" t="n"/>
      <c r="E221" s="30" t="n"/>
      <c r="F221" s="31">
        <f>D221-E221</f>
        <v/>
      </c>
    </row>
    <row r="222">
      <c r="B222" s="43" t="n"/>
      <c r="C222" s="42" t="n"/>
      <c r="D222" s="46" t="n"/>
      <c r="E222" s="28" t="n"/>
    </row>
    <row r="223">
      <c r="C223" s="42" t="n"/>
      <c r="D223" s="29" t="n"/>
      <c r="E223" s="30" t="n"/>
      <c r="F223" s="31">
        <f>D223-E223</f>
        <v/>
      </c>
    </row>
    <row r="224">
      <c r="C224" s="42" t="n"/>
      <c r="D224" s="29" t="n"/>
      <c r="E224" s="30" t="n"/>
      <c r="F224" s="31">
        <f>D224-E224</f>
        <v/>
      </c>
    </row>
    <row r="225">
      <c r="C225" s="42" t="n"/>
      <c r="D225" s="51" t="n"/>
      <c r="E225" s="52" t="n"/>
      <c r="F225" s="31">
        <f>D225-E225</f>
        <v/>
      </c>
    </row>
    <row r="226">
      <c r="C226" s="42" t="n"/>
      <c r="D226" s="29" t="n"/>
      <c r="E226" s="30" t="n"/>
      <c r="F226" s="31">
        <f>D226-E226</f>
        <v/>
      </c>
    </row>
    <row r="227">
      <c r="C227" s="42" t="n"/>
      <c r="D227" s="29" t="n"/>
      <c r="E227" s="30" t="n"/>
      <c r="F227" s="31">
        <f>D227-E227</f>
        <v/>
      </c>
    </row>
    <row r="228">
      <c r="C228" s="42" t="n"/>
      <c r="D228" s="29" t="n"/>
      <c r="E228" s="30" t="n"/>
      <c r="F228" s="31">
        <f>D228-E228</f>
        <v/>
      </c>
    </row>
    <row r="229">
      <c r="C229" s="42" t="n"/>
      <c r="D229" s="29" t="n"/>
      <c r="E229" s="30" t="n"/>
      <c r="F229" s="31">
        <f>D229-E229</f>
        <v/>
      </c>
    </row>
    <row r="230">
      <c r="C230" s="42" t="n"/>
      <c r="D230" s="29" t="n"/>
      <c r="E230" s="30" t="n"/>
      <c r="F230" s="31">
        <f>D230-E230</f>
        <v/>
      </c>
    </row>
    <row r="231">
      <c r="C231" s="42" t="n"/>
      <c r="D231" s="29" t="n"/>
      <c r="E231" s="30" t="n"/>
      <c r="F231" s="31">
        <f>D231-E231</f>
        <v/>
      </c>
    </row>
    <row r="232">
      <c r="C232" s="42" t="n"/>
      <c r="D232" s="29" t="n"/>
      <c r="E232" s="30" t="n"/>
      <c r="F232" s="31">
        <f>D232-E232</f>
        <v/>
      </c>
    </row>
    <row r="233">
      <c r="B233" s="43" t="n"/>
      <c r="C233" s="42" t="n"/>
      <c r="D233" s="46" t="n"/>
      <c r="E233" s="28" t="n"/>
    </row>
    <row r="234">
      <c r="C234" s="42" t="n"/>
      <c r="D234" s="29" t="n"/>
      <c r="E234" s="30" t="n"/>
      <c r="F234" s="31">
        <f>D234-E234</f>
        <v/>
      </c>
    </row>
    <row r="235">
      <c r="C235" s="42" t="n"/>
      <c r="D235" s="29" t="n"/>
      <c r="E235" s="30" t="n"/>
      <c r="F235" s="31">
        <f>D235-E235</f>
        <v/>
      </c>
    </row>
    <row r="236">
      <c r="C236" s="42" t="n"/>
      <c r="D236" s="51" t="n"/>
      <c r="E236" s="52" t="n"/>
      <c r="F236" s="31">
        <f>D236-E236</f>
        <v/>
      </c>
    </row>
    <row r="237">
      <c r="C237" s="42" t="n"/>
      <c r="D237" s="29" t="n"/>
      <c r="E237" s="30" t="n"/>
      <c r="F237" s="31">
        <f>D237-E237</f>
        <v/>
      </c>
    </row>
    <row r="238">
      <c r="C238" s="42" t="n"/>
      <c r="D238" s="29" t="n"/>
      <c r="E238" s="30" t="n"/>
      <c r="F238" s="31">
        <f>D238-E238</f>
        <v/>
      </c>
    </row>
    <row r="239">
      <c r="C239" s="42" t="n"/>
      <c r="D239" s="29" t="n"/>
      <c r="E239" s="30" t="n"/>
      <c r="F239" s="31">
        <f>D239-E239</f>
        <v/>
      </c>
    </row>
    <row r="240">
      <c r="C240" s="42" t="n"/>
      <c r="D240" s="29" t="n"/>
      <c r="E240" s="30" t="n"/>
      <c r="F240" s="31">
        <f>D240-E240</f>
        <v/>
      </c>
    </row>
    <row r="241">
      <c r="C241" s="42" t="n"/>
      <c r="D241" s="29" t="n"/>
      <c r="E241" s="30" t="n"/>
      <c r="F241" s="31">
        <f>D241-E241</f>
        <v/>
      </c>
    </row>
    <row r="242">
      <c r="C242" s="42" t="n"/>
      <c r="D242" s="29" t="n"/>
      <c r="E242" s="30" t="n"/>
      <c r="F242" s="31">
        <f>D242-E242</f>
        <v/>
      </c>
    </row>
    <row r="243">
      <c r="C243" s="42" t="n"/>
      <c r="D243" s="29" t="n"/>
      <c r="E243" s="30" t="n"/>
      <c r="F243" s="31">
        <f>D243-E243</f>
        <v/>
      </c>
    </row>
    <row r="244">
      <c r="B244" s="43" t="n"/>
      <c r="C244" s="42" t="n"/>
      <c r="D244" s="46" t="n"/>
      <c r="E244" s="28" t="n"/>
    </row>
    <row r="245">
      <c r="C245" s="42" t="n"/>
      <c r="D245" s="29" t="n"/>
      <c r="E245" s="30" t="n"/>
      <c r="F245" s="31">
        <f>D245-E245</f>
        <v/>
      </c>
    </row>
    <row r="246">
      <c r="C246" s="42" t="n"/>
      <c r="D246" s="29" t="n"/>
      <c r="E246" s="30" t="n"/>
      <c r="F246" s="31">
        <f>D246-E246</f>
        <v/>
      </c>
    </row>
    <row r="247">
      <c r="C247" s="42" t="n"/>
      <c r="D247" s="51" t="n"/>
      <c r="E247" s="52" t="n"/>
      <c r="F247" s="31">
        <f>D247-E247</f>
        <v/>
      </c>
    </row>
    <row r="248">
      <c r="C248" s="42" t="n"/>
      <c r="D248" s="29" t="n"/>
      <c r="E248" s="30" t="n"/>
      <c r="F248" s="31">
        <f>D248-E248</f>
        <v/>
      </c>
    </row>
    <row r="249">
      <c r="C249" s="42" t="n"/>
      <c r="D249" s="29" t="n"/>
      <c r="E249" s="30" t="n"/>
      <c r="F249" s="31">
        <f>D249-E249</f>
        <v/>
      </c>
    </row>
    <row r="250">
      <c r="C250" s="42" t="n"/>
      <c r="D250" s="29" t="n"/>
      <c r="E250" s="30" t="n"/>
      <c r="F250" s="31">
        <f>D250-E250</f>
        <v/>
      </c>
    </row>
    <row r="251">
      <c r="C251" s="42" t="n"/>
      <c r="D251" s="29" t="n"/>
      <c r="E251" s="30" t="n"/>
      <c r="F251" s="31">
        <f>D251-E251</f>
        <v/>
      </c>
    </row>
    <row r="252">
      <c r="C252" s="42" t="n"/>
      <c r="D252" s="29" t="n"/>
      <c r="E252" s="30" t="n"/>
      <c r="F252" s="31">
        <f>D252-E252</f>
        <v/>
      </c>
    </row>
    <row r="253">
      <c r="C253" s="42" t="n"/>
      <c r="D253" s="29" t="n"/>
      <c r="E253" s="30" t="n"/>
      <c r="F253" s="31">
        <f>D253-E253</f>
        <v/>
      </c>
    </row>
    <row r="254">
      <c r="C254" s="42" t="n"/>
      <c r="D254" s="29" t="n"/>
      <c r="E254" s="30" t="n"/>
      <c r="F254" s="31">
        <f>D254-E254</f>
        <v/>
      </c>
    </row>
    <row r="255">
      <c r="B255" s="43" t="n"/>
      <c r="C255" s="42" t="n"/>
      <c r="D255" s="46" t="n"/>
      <c r="E255" s="28" t="n"/>
    </row>
    <row r="256">
      <c r="C256" s="42" t="n"/>
      <c r="D256" s="29" t="n"/>
      <c r="E256" s="30" t="n"/>
      <c r="F256" s="31">
        <f>D256-E256</f>
        <v/>
      </c>
    </row>
    <row r="257">
      <c r="C257" s="42" t="n"/>
      <c r="D257" s="29" t="n"/>
      <c r="E257" s="30" t="n"/>
      <c r="F257" s="31">
        <f>D257-E257</f>
        <v/>
      </c>
    </row>
    <row r="258">
      <c r="C258" s="42" t="n"/>
      <c r="D258" s="51" t="n"/>
      <c r="E258" s="52" t="n"/>
      <c r="F258" s="31">
        <f>D258-E258</f>
        <v/>
      </c>
    </row>
    <row r="259">
      <c r="C259" s="42" t="n"/>
      <c r="D259" s="29" t="n"/>
      <c r="E259" s="30" t="n"/>
      <c r="F259" s="31">
        <f>D259-E259</f>
        <v/>
      </c>
    </row>
    <row r="260">
      <c r="C260" s="42" t="n"/>
      <c r="D260" s="29" t="n"/>
      <c r="E260" s="30" t="n"/>
      <c r="F260" s="31">
        <f>D260-E260</f>
        <v/>
      </c>
    </row>
    <row r="261">
      <c r="C261" s="42" t="n"/>
      <c r="D261" s="29" t="n"/>
      <c r="E261" s="30" t="n"/>
      <c r="F261" s="31">
        <f>D261-E261</f>
        <v/>
      </c>
    </row>
    <row r="262">
      <c r="C262" s="42" t="n"/>
      <c r="D262" s="29" t="n"/>
      <c r="E262" s="30" t="n"/>
      <c r="F262" s="31">
        <f>D262-E262</f>
        <v/>
      </c>
    </row>
    <row r="263">
      <c r="C263" s="42" t="n"/>
      <c r="D263" s="29" t="n"/>
      <c r="E263" s="30" t="n"/>
      <c r="F263" s="31">
        <f>D263-E263</f>
        <v/>
      </c>
    </row>
    <row r="264">
      <c r="C264" s="42" t="n"/>
      <c r="D264" s="29" t="n"/>
      <c r="E264" s="30" t="n"/>
      <c r="F264" s="31">
        <f>D264-E264</f>
        <v/>
      </c>
    </row>
    <row r="265">
      <c r="C265" s="42" t="n"/>
      <c r="D265" s="29" t="n"/>
      <c r="E265" s="30" t="n"/>
      <c r="F265" s="31">
        <f>D265-E265</f>
        <v/>
      </c>
    </row>
    <row r="266">
      <c r="B266" s="43" t="n"/>
      <c r="C266" s="42" t="n"/>
      <c r="D266" s="46" t="n"/>
      <c r="E266" s="28" t="n"/>
    </row>
    <row r="267">
      <c r="C267" s="42" t="n"/>
      <c r="D267" s="29" t="n"/>
      <c r="E267" s="30" t="n"/>
      <c r="F267" s="31">
        <f>D267-E267</f>
        <v/>
      </c>
    </row>
    <row r="268">
      <c r="C268" s="42" t="n"/>
      <c r="D268" s="29" t="n"/>
      <c r="E268" s="30" t="n"/>
      <c r="F268" s="31">
        <f>D268-E268</f>
        <v/>
      </c>
    </row>
    <row r="269">
      <c r="C269" s="42" t="n"/>
      <c r="D269" s="51" t="n"/>
      <c r="E269" s="52" t="n"/>
      <c r="F269" s="31">
        <f>D269-E269</f>
        <v/>
      </c>
    </row>
    <row r="270">
      <c r="C270" s="42" t="n"/>
      <c r="D270" s="29" t="n"/>
      <c r="E270" s="30" t="n"/>
      <c r="F270" s="31">
        <f>D270-E270</f>
        <v/>
      </c>
    </row>
    <row r="271">
      <c r="C271" s="42" t="n"/>
      <c r="D271" s="29" t="n"/>
      <c r="E271" s="30" t="n"/>
      <c r="F271" s="31">
        <f>D271-E271</f>
        <v/>
      </c>
    </row>
    <row r="272">
      <c r="C272" s="42" t="n"/>
      <c r="D272" s="29" t="n"/>
      <c r="E272" s="30" t="n"/>
      <c r="F272" s="31">
        <f>D272-E272</f>
        <v/>
      </c>
    </row>
    <row r="273">
      <c r="C273" s="42" t="n"/>
      <c r="D273" s="29" t="n"/>
      <c r="E273" s="30" t="n"/>
      <c r="F273" s="31">
        <f>D273-E273</f>
        <v/>
      </c>
    </row>
    <row r="274">
      <c r="C274" s="42" t="n"/>
      <c r="D274" s="29" t="n"/>
      <c r="E274" s="30" t="n"/>
      <c r="F274" s="31">
        <f>D274-E274</f>
        <v/>
      </c>
    </row>
    <row r="275">
      <c r="C275" s="42" t="n"/>
      <c r="D275" s="29" t="n"/>
      <c r="E275" s="30" t="n"/>
      <c r="F275" s="31">
        <f>D275-E275</f>
        <v/>
      </c>
    </row>
    <row r="276">
      <c r="C276" s="42" t="n"/>
      <c r="D276" s="29" t="n"/>
      <c r="E276" s="30" t="n"/>
      <c r="F276" s="31">
        <f>D276-E276</f>
        <v/>
      </c>
    </row>
    <row r="277">
      <c r="B277" s="43" t="n"/>
      <c r="C277" s="42" t="n"/>
      <c r="D277" s="46" t="n"/>
      <c r="E277" s="28" t="n"/>
    </row>
    <row r="278">
      <c r="C278" s="42" t="n"/>
      <c r="D278" s="29" t="n"/>
      <c r="E278" s="30" t="n"/>
      <c r="F278" s="31">
        <f>D278-E278</f>
        <v/>
      </c>
    </row>
    <row r="279">
      <c r="C279" s="42" t="n"/>
      <c r="D279" s="29" t="n"/>
      <c r="E279" s="30" t="n"/>
      <c r="F279" s="31">
        <f>D279-E279</f>
        <v/>
      </c>
    </row>
    <row r="280">
      <c r="C280" s="42" t="n"/>
      <c r="D280" s="51" t="n"/>
      <c r="E280" s="52" t="n"/>
      <c r="F280" s="31">
        <f>D280-E280</f>
        <v/>
      </c>
    </row>
    <row r="281">
      <c r="C281" s="42" t="n"/>
      <c r="D281" s="29" t="n"/>
      <c r="E281" s="30" t="n"/>
      <c r="F281" s="31">
        <f>D281-E281</f>
        <v/>
      </c>
    </row>
    <row r="282">
      <c r="C282" s="42" t="n"/>
      <c r="D282" s="29" t="n"/>
      <c r="E282" s="30" t="n"/>
      <c r="F282" s="31">
        <f>D282-E282</f>
        <v/>
      </c>
    </row>
    <row r="283">
      <c r="C283" s="42" t="n"/>
      <c r="D283" s="29" t="n"/>
      <c r="E283" s="30" t="n"/>
      <c r="F283" s="31">
        <f>D283-E283</f>
        <v/>
      </c>
    </row>
    <row r="284">
      <c r="C284" s="42" t="n"/>
      <c r="D284" s="29" t="n"/>
      <c r="E284" s="30" t="n"/>
      <c r="F284" s="31">
        <f>D284-E284</f>
        <v/>
      </c>
    </row>
    <row r="285">
      <c r="C285" s="42" t="n"/>
      <c r="D285" s="29" t="n"/>
      <c r="E285" s="30" t="n"/>
      <c r="F285" s="31">
        <f>D285-E285</f>
        <v/>
      </c>
    </row>
    <row r="286">
      <c r="C286" s="42" t="n"/>
      <c r="D286" s="29" t="n"/>
      <c r="E286" s="30" t="n"/>
      <c r="F286" s="31">
        <f>D286-E286</f>
        <v/>
      </c>
    </row>
    <row r="287">
      <c r="C287" s="42" t="n"/>
      <c r="D287" s="29" t="n"/>
      <c r="E287" s="30" t="n"/>
      <c r="F287" s="31">
        <f>D287-E287</f>
        <v/>
      </c>
    </row>
    <row r="288">
      <c r="B288" s="43" t="n"/>
      <c r="C288" s="42" t="n"/>
      <c r="D288" s="46" t="n"/>
      <c r="E288" s="28" t="n"/>
    </row>
    <row r="289">
      <c r="C289" s="42" t="n"/>
      <c r="D289" s="29" t="n"/>
      <c r="E289" s="30" t="n"/>
      <c r="F289" s="31">
        <f>D289-E289</f>
        <v/>
      </c>
    </row>
    <row r="290">
      <c r="C290" s="42" t="n"/>
      <c r="D290" s="29" t="n"/>
      <c r="E290" s="30" t="n"/>
      <c r="F290" s="31">
        <f>D290-E290</f>
        <v/>
      </c>
    </row>
    <row r="291">
      <c r="C291" s="42" t="n"/>
      <c r="D291" s="51" t="n"/>
      <c r="E291" s="52" t="n"/>
      <c r="F291" s="31">
        <f>D291-E291</f>
        <v/>
      </c>
    </row>
    <row r="292">
      <c r="C292" s="42" t="n"/>
      <c r="D292" s="29" t="n"/>
      <c r="E292" s="30" t="n"/>
      <c r="F292" s="31">
        <f>D292-E292</f>
        <v/>
      </c>
    </row>
    <row r="293">
      <c r="C293" s="42" t="n"/>
      <c r="D293" s="29" t="n"/>
      <c r="E293" s="30" t="n"/>
      <c r="F293" s="31">
        <f>D293-E293</f>
        <v/>
      </c>
    </row>
    <row r="294">
      <c r="C294" s="42" t="n"/>
      <c r="D294" s="29" t="n"/>
      <c r="E294" s="30" t="n"/>
      <c r="F294" s="31">
        <f>D294-E294</f>
        <v/>
      </c>
    </row>
    <row r="295">
      <c r="C295" s="42" t="n"/>
      <c r="D295" s="29" t="n"/>
      <c r="E295" s="30" t="n"/>
      <c r="F295" s="31">
        <f>D295-E295</f>
        <v/>
      </c>
    </row>
    <row r="296">
      <c r="C296" s="42" t="n"/>
      <c r="D296" s="29" t="n"/>
      <c r="E296" s="30" t="n"/>
      <c r="F296" s="31">
        <f>D296-E296</f>
        <v/>
      </c>
    </row>
    <row r="297">
      <c r="C297" s="42" t="n"/>
      <c r="D297" s="29" t="n"/>
      <c r="E297" s="30" t="n"/>
      <c r="F297" s="31">
        <f>D297-E297</f>
        <v/>
      </c>
    </row>
    <row r="298">
      <c r="C298" s="42" t="n"/>
      <c r="D298" s="29" t="n"/>
      <c r="E298" s="30" t="n"/>
      <c r="F298" s="31">
        <f>D298-E298</f>
        <v/>
      </c>
    </row>
    <row r="299">
      <c r="B299" s="43" t="n"/>
      <c r="C299" s="42" t="n"/>
      <c r="D299" s="46" t="n"/>
      <c r="E299" s="28" t="n"/>
    </row>
    <row r="300">
      <c r="C300" s="42" t="n"/>
      <c r="D300" s="29" t="n"/>
      <c r="E300" s="30" t="n"/>
      <c r="F300" s="31">
        <f>D300-E300</f>
        <v/>
      </c>
    </row>
    <row r="301">
      <c r="C301" s="42" t="n"/>
      <c r="D301" s="29" t="n"/>
      <c r="E301" s="30" t="n"/>
      <c r="F301" s="31">
        <f>D301-E301</f>
        <v/>
      </c>
    </row>
    <row r="302">
      <c r="C302" s="42" t="n"/>
      <c r="D302" s="51" t="n"/>
      <c r="E302" s="52" t="n"/>
      <c r="F302" s="31">
        <f>D302-E302</f>
        <v/>
      </c>
    </row>
    <row r="303">
      <c r="C303" s="42" t="n"/>
      <c r="D303" s="29" t="n"/>
      <c r="E303" s="30" t="n"/>
      <c r="F303" s="31">
        <f>D303-E303</f>
        <v/>
      </c>
    </row>
    <row r="304">
      <c r="C304" s="42" t="n"/>
      <c r="D304" s="29" t="n"/>
      <c r="E304" s="30" t="n"/>
      <c r="F304" s="31">
        <f>D304-E304</f>
        <v/>
      </c>
    </row>
    <row r="305">
      <c r="C305" s="42" t="n"/>
      <c r="D305" s="29" t="n"/>
      <c r="E305" s="30" t="n"/>
      <c r="F305" s="31">
        <f>D305-E305</f>
        <v/>
      </c>
    </row>
    <row r="306">
      <c r="C306" s="42" t="n"/>
      <c r="D306" s="29" t="n"/>
      <c r="E306" s="30" t="n"/>
      <c r="F306" s="31">
        <f>D306-E306</f>
        <v/>
      </c>
    </row>
    <row r="307">
      <c r="C307" s="42" t="n"/>
      <c r="D307" s="29" t="n"/>
      <c r="E307" s="30" t="n"/>
      <c r="F307" s="31">
        <f>D307-E307</f>
        <v/>
      </c>
    </row>
    <row r="308">
      <c r="C308" s="42" t="n"/>
      <c r="D308" s="29" t="n"/>
      <c r="E308" s="30" t="n"/>
      <c r="F308" s="31">
        <f>D308-E308</f>
        <v/>
      </c>
    </row>
    <row r="309">
      <c r="C309" s="42" t="n"/>
      <c r="D309" s="29" t="n"/>
      <c r="E309" s="30" t="n"/>
      <c r="F309" s="31">
        <f>D309-E309</f>
        <v/>
      </c>
    </row>
    <row r="310">
      <c r="B310" s="43" t="n"/>
      <c r="C310" s="42" t="n"/>
      <c r="D310" s="46" t="n"/>
      <c r="E310" s="42" t="n"/>
    </row>
    <row r="311">
      <c r="C311" s="42" t="n"/>
      <c r="D311" s="29" t="n"/>
      <c r="E311" s="30" t="n"/>
      <c r="F311" s="31">
        <f>D311-E311</f>
        <v/>
      </c>
    </row>
    <row r="312">
      <c r="C312" s="42" t="n"/>
      <c r="D312" s="29" t="n"/>
      <c r="E312" s="30" t="n"/>
      <c r="F312" s="31">
        <f>D312-E312</f>
        <v/>
      </c>
    </row>
    <row r="313">
      <c r="C313" s="42" t="n"/>
      <c r="D313" s="51" t="n"/>
      <c r="E313" s="52" t="n"/>
      <c r="F313" s="31">
        <f>D313-E313</f>
        <v/>
      </c>
    </row>
    <row r="314">
      <c r="C314" s="42" t="n"/>
      <c r="D314" s="29" t="n"/>
      <c r="E314" s="30" t="n"/>
      <c r="F314" s="31">
        <f>D314-E314</f>
        <v/>
      </c>
    </row>
    <row r="315">
      <c r="C315" s="42" t="n"/>
      <c r="D315" s="29" t="n"/>
      <c r="E315" s="30" t="n"/>
      <c r="F315" s="31">
        <f>D315-E315</f>
        <v/>
      </c>
    </row>
    <row r="316">
      <c r="C316" s="42" t="n"/>
      <c r="D316" s="29" t="n"/>
      <c r="E316" s="30" t="n"/>
      <c r="F316" s="31">
        <f>D316-E316</f>
        <v/>
      </c>
    </row>
    <row r="317">
      <c r="C317" s="42" t="n"/>
      <c r="D317" s="29" t="n"/>
      <c r="E317" s="30" t="n"/>
      <c r="F317" s="31">
        <f>D317-E317</f>
        <v/>
      </c>
    </row>
    <row r="318">
      <c r="C318" s="42" t="n"/>
      <c r="D318" s="29" t="n"/>
      <c r="E318" s="30" t="n"/>
      <c r="F318" s="31">
        <f>D318-E318</f>
        <v/>
      </c>
    </row>
    <row r="319">
      <c r="C319" s="42" t="n"/>
      <c r="D319" s="29" t="n"/>
      <c r="E319" s="30" t="n"/>
      <c r="F319" s="31">
        <f>D319-E319</f>
        <v/>
      </c>
    </row>
    <row r="320">
      <c r="C320" s="42" t="n"/>
      <c r="D320" s="29" t="n"/>
      <c r="E320" s="30" t="n"/>
      <c r="F320" s="31">
        <f>D320-E320</f>
        <v/>
      </c>
    </row>
    <row r="321">
      <c r="B321" s="43" t="n"/>
      <c r="C321" s="42" t="n"/>
      <c r="D321" s="46" t="n"/>
      <c r="E321" s="28" t="n"/>
    </row>
    <row r="322">
      <c r="C322" s="42" t="n"/>
      <c r="D322" s="29" t="n"/>
      <c r="E322" s="30" t="n"/>
      <c r="F322" s="31">
        <f>D322-E322</f>
        <v/>
      </c>
    </row>
    <row r="323">
      <c r="C323" s="42" t="n"/>
      <c r="D323" s="29" t="n"/>
      <c r="E323" s="30" t="n"/>
      <c r="F323" s="31">
        <f>D323-E323</f>
        <v/>
      </c>
    </row>
    <row r="324">
      <c r="C324" s="42" t="n"/>
      <c r="D324" s="51" t="n"/>
      <c r="E324" s="52" t="n"/>
      <c r="F324" s="31">
        <f>D324-E324</f>
        <v/>
      </c>
    </row>
    <row r="325">
      <c r="C325" s="42" t="n"/>
      <c r="D325" s="29" t="n"/>
      <c r="E325" s="30" t="n"/>
      <c r="F325" s="31">
        <f>D325-E325</f>
        <v/>
      </c>
    </row>
    <row r="326">
      <c r="C326" s="42" t="n"/>
      <c r="D326" s="29" t="n"/>
      <c r="E326" s="30" t="n"/>
      <c r="F326" s="31">
        <f>D326-E326</f>
        <v/>
      </c>
    </row>
    <row r="327">
      <c r="C327" s="42" t="n"/>
      <c r="D327" s="29" t="n"/>
      <c r="E327" s="30" t="n"/>
      <c r="F327" s="31">
        <f>D327-E327</f>
        <v/>
      </c>
    </row>
    <row r="328">
      <c r="C328" s="42" t="n"/>
      <c r="D328" s="29" t="n"/>
      <c r="E328" s="30" t="n"/>
      <c r="F328" s="31">
        <f>D328-E328</f>
        <v/>
      </c>
    </row>
    <row r="329">
      <c r="C329" s="42" t="n"/>
      <c r="D329" s="29" t="n"/>
      <c r="E329" s="30" t="n"/>
      <c r="F329" s="31">
        <f>D329-E329</f>
        <v/>
      </c>
    </row>
    <row r="330">
      <c r="C330" s="42" t="n"/>
      <c r="D330" s="29" t="n"/>
      <c r="E330" s="30" t="n"/>
      <c r="F330" s="31">
        <f>D330-E330</f>
        <v/>
      </c>
    </row>
    <row r="331">
      <c r="C331" s="42" t="n"/>
      <c r="D331" s="29" t="n"/>
      <c r="E331" s="30" t="n"/>
      <c r="F331" s="31">
        <f>D331-E331</f>
        <v/>
      </c>
    </row>
    <row r="332">
      <c r="B332" s="43" t="n"/>
      <c r="C332" s="42" t="n"/>
      <c r="D332" s="46" t="n"/>
      <c r="E332" s="28" t="n"/>
    </row>
    <row r="333">
      <c r="C333" s="42" t="n"/>
      <c r="D333" s="29" t="n"/>
      <c r="E333" s="30" t="n"/>
      <c r="F333" s="31">
        <f>D333-E333</f>
        <v/>
      </c>
    </row>
    <row r="334">
      <c r="C334" s="42" t="n"/>
      <c r="D334" s="29" t="n"/>
      <c r="E334" s="30" t="n"/>
      <c r="F334" s="31">
        <f>D334-E334</f>
        <v/>
      </c>
    </row>
    <row r="335">
      <c r="C335" s="42" t="n"/>
      <c r="D335" s="51" t="n"/>
      <c r="E335" s="52" t="n"/>
      <c r="F335" s="31">
        <f>D335-E335</f>
        <v/>
      </c>
    </row>
    <row r="336">
      <c r="C336" s="42" t="n"/>
      <c r="D336" s="29" t="n"/>
      <c r="E336" s="30" t="n"/>
      <c r="F336" s="31">
        <f>D336-E336</f>
        <v/>
      </c>
    </row>
    <row r="337">
      <c r="C337" s="42" t="n"/>
      <c r="D337" s="29" t="n"/>
      <c r="E337" s="30" t="n"/>
      <c r="F337" s="31">
        <f>D337-E337</f>
        <v/>
      </c>
    </row>
    <row r="338">
      <c r="C338" s="42" t="n"/>
      <c r="D338" s="29" t="n"/>
      <c r="E338" s="30" t="n"/>
      <c r="F338" s="31">
        <f>D338-E338</f>
        <v/>
      </c>
    </row>
    <row r="339">
      <c r="C339" s="42" t="n"/>
      <c r="D339" s="29" t="n"/>
      <c r="E339" s="30" t="n"/>
      <c r="F339" s="31">
        <f>D339-E339</f>
        <v/>
      </c>
    </row>
    <row r="340">
      <c r="C340" s="42" t="n"/>
      <c r="D340" s="29" t="n"/>
      <c r="E340" s="30" t="n"/>
      <c r="F340" s="31">
        <f>D340-E340</f>
        <v/>
      </c>
    </row>
    <row r="341">
      <c r="C341" s="42" t="n"/>
      <c r="D341" s="29" t="n"/>
      <c r="E341" s="30" t="n"/>
      <c r="F341" s="31">
        <f>D341-E341</f>
        <v/>
      </c>
    </row>
    <row r="342">
      <c r="C342" s="42" t="n"/>
      <c r="D342" s="29" t="n"/>
      <c r="E342" s="30" t="n"/>
      <c r="F342" s="31">
        <f>D342-E342</f>
        <v/>
      </c>
    </row>
    <row r="343">
      <c r="B343" s="43" t="n"/>
      <c r="C343" s="42" t="n"/>
      <c r="D343" s="46" t="n"/>
      <c r="E343" s="28" t="n"/>
    </row>
    <row r="344">
      <c r="C344" s="42" t="n"/>
      <c r="D344" s="29" t="n"/>
      <c r="E344" s="30" t="n"/>
      <c r="F344" s="31">
        <f>D344-E344</f>
        <v/>
      </c>
    </row>
    <row r="345">
      <c r="C345" s="42" t="n"/>
      <c r="D345" s="29" t="n"/>
      <c r="E345" s="30" t="n"/>
      <c r="F345" s="31">
        <f>D345-E345</f>
        <v/>
      </c>
    </row>
    <row r="346">
      <c r="C346" s="42" t="n"/>
      <c r="D346" s="51" t="n"/>
      <c r="E346" s="52" t="n"/>
      <c r="F346" s="31">
        <f>D346-E346</f>
        <v/>
      </c>
    </row>
    <row r="347">
      <c r="C347" s="42" t="n"/>
      <c r="D347" s="29" t="n"/>
      <c r="E347" s="30" t="n"/>
      <c r="F347" s="31">
        <f>D347-E347</f>
        <v/>
      </c>
    </row>
    <row r="348">
      <c r="C348" s="42" t="n"/>
      <c r="D348" s="29" t="n"/>
      <c r="E348" s="30" t="n"/>
      <c r="F348" s="31">
        <f>D348-E348</f>
        <v/>
      </c>
    </row>
    <row r="349">
      <c r="C349" s="42" t="n"/>
      <c r="D349" s="29" t="n"/>
      <c r="E349" s="30" t="n"/>
      <c r="F349" s="31">
        <f>D349-E349</f>
        <v/>
      </c>
    </row>
    <row r="350">
      <c r="C350" s="42" t="n"/>
      <c r="D350" s="29" t="n"/>
      <c r="E350" s="30" t="n"/>
      <c r="F350" s="31">
        <f>D350-E350</f>
        <v/>
      </c>
    </row>
    <row r="351">
      <c r="C351" s="42" t="n"/>
      <c r="D351" s="29" t="n"/>
      <c r="E351" s="30" t="n"/>
      <c r="F351" s="31">
        <f>D351-E351</f>
        <v/>
      </c>
    </row>
    <row r="352">
      <c r="C352" s="42" t="n"/>
      <c r="D352" s="29" t="n"/>
      <c r="E352" s="30" t="n"/>
      <c r="F352" s="31">
        <f>D352-E352</f>
        <v/>
      </c>
    </row>
    <row r="353">
      <c r="C353" s="42" t="n"/>
      <c r="D353" s="29" t="n"/>
      <c r="E353" s="30" t="n"/>
      <c r="F353" s="31">
        <f>D353-E353</f>
        <v/>
      </c>
    </row>
    <row r="354">
      <c r="B354" s="43" t="n"/>
      <c r="C354" s="42" t="n"/>
      <c r="D354" s="46" t="n"/>
      <c r="E354" s="28" t="n"/>
    </row>
    <row r="355">
      <c r="C355" s="42" t="n"/>
      <c r="D355" s="29" t="n"/>
      <c r="E355" s="30" t="n"/>
      <c r="F355" s="31">
        <f>D355-E355</f>
        <v/>
      </c>
    </row>
    <row r="356">
      <c r="C356" s="42" t="n"/>
      <c r="D356" s="29" t="n"/>
      <c r="E356" s="30" t="n"/>
      <c r="F356" s="31">
        <f>D356-E356</f>
        <v/>
      </c>
    </row>
    <row r="357">
      <c r="C357" s="42" t="n"/>
      <c r="D357" s="51" t="n"/>
      <c r="E357" s="52" t="n"/>
      <c r="F357" s="31">
        <f>D357-E357</f>
        <v/>
      </c>
    </row>
    <row r="358">
      <c r="C358" s="42" t="n"/>
      <c r="D358" s="29" t="n"/>
      <c r="E358" s="30" t="n"/>
      <c r="F358" s="31">
        <f>D358-E358</f>
        <v/>
      </c>
    </row>
    <row r="359">
      <c r="C359" s="42" t="n"/>
      <c r="D359" s="29" t="n"/>
      <c r="E359" s="30" t="n"/>
      <c r="F359" s="31">
        <f>D359-E359</f>
        <v/>
      </c>
    </row>
    <row r="360">
      <c r="C360" s="42" t="n"/>
      <c r="D360" s="29" t="n"/>
      <c r="E360" s="30" t="n"/>
      <c r="F360" s="31">
        <f>D360-E360</f>
        <v/>
      </c>
    </row>
    <row r="361">
      <c r="C361" s="42" t="n"/>
      <c r="D361" s="29" t="n"/>
      <c r="E361" s="30" t="n"/>
      <c r="F361" s="31">
        <f>D361-E361</f>
        <v/>
      </c>
    </row>
    <row r="362">
      <c r="C362" s="42" t="n"/>
      <c r="D362" s="29" t="n"/>
      <c r="E362" s="30" t="n"/>
      <c r="F362" s="31">
        <f>D362-E362</f>
        <v/>
      </c>
    </row>
    <row r="363">
      <c r="C363" s="42" t="n"/>
      <c r="D363" s="29" t="n"/>
      <c r="E363" s="30" t="n"/>
      <c r="F363" s="31">
        <f>D363-E363</f>
        <v/>
      </c>
    </row>
    <row r="364">
      <c r="C364" s="42" t="n"/>
      <c r="D364" s="29" t="n"/>
      <c r="E364" s="30" t="n"/>
      <c r="F364" s="31">
        <f>D364-E364</f>
        <v/>
      </c>
    </row>
    <row r="365">
      <c r="B365" s="43" t="n"/>
      <c r="C365" s="42" t="n"/>
      <c r="D365" s="46" t="n"/>
      <c r="E365" s="28" t="n"/>
    </row>
    <row r="366">
      <c r="C366" s="42" t="n"/>
      <c r="D366" s="29" t="n"/>
      <c r="E366" s="30" t="n"/>
      <c r="F366" s="31">
        <f>D366-E366</f>
        <v/>
      </c>
    </row>
    <row r="367">
      <c r="C367" s="42" t="n"/>
      <c r="D367" s="29" t="n"/>
      <c r="E367" s="30" t="n"/>
      <c r="F367" s="31">
        <f>D367-E367</f>
        <v/>
      </c>
    </row>
    <row r="368">
      <c r="C368" s="42" t="n"/>
      <c r="D368" s="51" t="n"/>
      <c r="E368" s="52" t="n"/>
      <c r="F368" s="31">
        <f>D368-E368</f>
        <v/>
      </c>
    </row>
    <row r="369">
      <c r="C369" s="42" t="n"/>
      <c r="D369" s="29" t="n"/>
      <c r="E369" s="30" t="n"/>
      <c r="F369" s="31">
        <f>D369-E369</f>
        <v/>
      </c>
    </row>
    <row r="370">
      <c r="C370" s="42" t="n"/>
      <c r="D370" s="29" t="n"/>
      <c r="E370" s="30" t="n"/>
      <c r="F370" s="31">
        <f>D370-E370</f>
        <v/>
      </c>
    </row>
    <row r="371">
      <c r="C371" s="42" t="n"/>
      <c r="D371" s="29" t="n"/>
      <c r="E371" s="30" t="n"/>
      <c r="F371" s="31">
        <f>D371-E371</f>
        <v/>
      </c>
    </row>
    <row r="372">
      <c r="C372" s="42" t="n"/>
      <c r="D372" s="29" t="n"/>
      <c r="E372" s="30" t="n"/>
      <c r="F372" s="31">
        <f>D372-E372</f>
        <v/>
      </c>
    </row>
    <row r="373">
      <c r="C373" s="42" t="n"/>
      <c r="D373" s="29" t="n"/>
      <c r="E373" s="30" t="n"/>
      <c r="F373" s="31">
        <f>D373-E373</f>
        <v/>
      </c>
    </row>
    <row r="374">
      <c r="C374" s="42" t="n"/>
      <c r="D374" s="29" t="n"/>
      <c r="E374" s="30" t="n"/>
      <c r="F374" s="31">
        <f>D374-E374</f>
        <v/>
      </c>
    </row>
    <row r="375">
      <c r="C375" s="42" t="n"/>
      <c r="D375" s="29" t="n"/>
      <c r="E375" s="30" t="n"/>
      <c r="F375" s="31">
        <f>D375-E375</f>
        <v/>
      </c>
    </row>
    <row r="376">
      <c r="B376" s="43" t="n"/>
      <c r="C376" s="42" t="n"/>
      <c r="D376" s="46" t="n"/>
      <c r="E376" s="28" t="n"/>
    </row>
    <row r="377">
      <c r="C377" s="42" t="n"/>
      <c r="D377" s="29" t="n"/>
      <c r="E377" s="30" t="n"/>
      <c r="F377" s="31">
        <f>D377-E377</f>
        <v/>
      </c>
    </row>
    <row r="378">
      <c r="C378" s="42" t="n"/>
      <c r="D378" s="29" t="n"/>
      <c r="E378" s="30" t="n"/>
      <c r="F378" s="31">
        <f>D378-E378</f>
        <v/>
      </c>
    </row>
    <row r="379">
      <c r="C379" s="42" t="n"/>
      <c r="D379" s="51" t="n"/>
      <c r="E379" s="52" t="n"/>
      <c r="F379" s="31">
        <f>D379-E379</f>
        <v/>
      </c>
    </row>
    <row r="380">
      <c r="C380" s="42" t="n"/>
      <c r="D380" s="29" t="n"/>
      <c r="E380" s="30" t="n"/>
      <c r="F380" s="31">
        <f>D380-E380</f>
        <v/>
      </c>
    </row>
    <row r="381">
      <c r="C381" s="42" t="n"/>
      <c r="D381" s="29" t="n"/>
      <c r="E381" s="30" t="n"/>
      <c r="F381" s="31">
        <f>D381-E381</f>
        <v/>
      </c>
    </row>
    <row r="382">
      <c r="C382" s="42" t="n"/>
      <c r="D382" s="29" t="n"/>
      <c r="E382" s="30" t="n"/>
      <c r="F382" s="31">
        <f>D382-E382</f>
        <v/>
      </c>
    </row>
    <row r="383">
      <c r="C383" s="42" t="n"/>
      <c r="D383" s="29" t="n"/>
      <c r="E383" s="30" t="n"/>
      <c r="F383" s="31">
        <f>D383-E383</f>
        <v/>
      </c>
    </row>
    <row r="384">
      <c r="C384" s="42" t="n"/>
      <c r="D384" s="29" t="n"/>
      <c r="E384" s="30" t="n"/>
      <c r="F384" s="31">
        <f>D384-E384</f>
        <v/>
      </c>
    </row>
    <row r="385">
      <c r="C385" s="42" t="n"/>
      <c r="D385" s="29" t="n"/>
      <c r="E385" s="30" t="n"/>
      <c r="F385" s="31">
        <f>D385-E385</f>
        <v/>
      </c>
    </row>
    <row r="386">
      <c r="C386" s="42" t="n"/>
      <c r="D386" s="29" t="n"/>
      <c r="E386" s="30" t="n"/>
      <c r="F386" s="31">
        <f>D386-E386</f>
        <v/>
      </c>
    </row>
    <row r="387">
      <c r="B387" s="43" t="n"/>
      <c r="C387" s="42" t="n"/>
      <c r="D387" s="46" t="n"/>
      <c r="E387" s="28" t="n"/>
    </row>
    <row r="388">
      <c r="C388" s="42" t="n"/>
      <c r="D388" s="29" t="n"/>
      <c r="E388" s="30" t="n"/>
      <c r="F388" s="31">
        <f>D388-E388</f>
        <v/>
      </c>
    </row>
    <row r="389">
      <c r="C389" s="42" t="n"/>
      <c r="D389" s="29" t="n"/>
      <c r="E389" s="30" t="n"/>
      <c r="F389" s="31">
        <f>D389-E389</f>
        <v/>
      </c>
    </row>
    <row r="390">
      <c r="C390" s="42" t="n"/>
      <c r="D390" s="51" t="n"/>
      <c r="E390" s="52" t="n"/>
      <c r="F390" s="31">
        <f>D390-E390</f>
        <v/>
      </c>
    </row>
    <row r="391">
      <c r="C391" s="42" t="n"/>
      <c r="D391" s="29" t="n"/>
      <c r="E391" s="30" t="n"/>
      <c r="F391" s="31">
        <f>D391-E391</f>
        <v/>
      </c>
    </row>
    <row r="392">
      <c r="C392" s="42" t="n"/>
      <c r="D392" s="29" t="n"/>
      <c r="E392" s="30" t="n"/>
      <c r="F392" s="31">
        <f>D392-E392</f>
        <v/>
      </c>
    </row>
    <row r="393">
      <c r="C393" s="42" t="n"/>
      <c r="D393" s="29" t="n"/>
      <c r="E393" s="30" t="n"/>
      <c r="F393" s="31">
        <f>D393-E393</f>
        <v/>
      </c>
    </row>
    <row r="394">
      <c r="C394" s="42" t="n"/>
      <c r="D394" s="29" t="n"/>
      <c r="E394" s="30" t="n"/>
      <c r="F394" s="31">
        <f>D394-E394</f>
        <v/>
      </c>
    </row>
    <row r="395">
      <c r="C395" s="42" t="n"/>
      <c r="D395" s="29" t="n"/>
      <c r="E395" s="30" t="n"/>
      <c r="F395" s="31">
        <f>D395-E395</f>
        <v/>
      </c>
    </row>
    <row r="396">
      <c r="C396" s="42" t="n"/>
      <c r="D396" s="29" t="n"/>
      <c r="E396" s="30" t="n"/>
      <c r="F396" s="31">
        <f>D396-E396</f>
        <v/>
      </c>
    </row>
    <row r="397">
      <c r="C397" s="42" t="n"/>
      <c r="D397" s="29" t="n"/>
      <c r="E397" s="30" t="n"/>
      <c r="F397" s="31">
        <f>D397-E397</f>
        <v/>
      </c>
    </row>
    <row r="398">
      <c r="B398" s="43" t="n"/>
      <c r="C398" s="42" t="n"/>
      <c r="D398" s="46" t="n"/>
      <c r="E398" s="28" t="n"/>
    </row>
    <row r="399">
      <c r="C399" s="42" t="n"/>
      <c r="D399" s="29" t="n"/>
      <c r="E399" s="30" t="n"/>
      <c r="F399" s="31">
        <f>D399-E399</f>
        <v/>
      </c>
    </row>
    <row r="400">
      <c r="C400" s="42" t="n"/>
      <c r="D400" s="29" t="n"/>
      <c r="E400" s="30" t="n"/>
      <c r="F400" s="31">
        <f>D400-E400</f>
        <v/>
      </c>
    </row>
    <row r="401">
      <c r="C401" s="42" t="n"/>
      <c r="D401" s="51" t="n"/>
      <c r="E401" s="52" t="n"/>
      <c r="F401" s="31">
        <f>D401-E401</f>
        <v/>
      </c>
    </row>
    <row r="402">
      <c r="C402" s="42" t="n"/>
      <c r="D402" s="29" t="n"/>
      <c r="E402" s="30" t="n"/>
      <c r="F402" s="31">
        <f>D402-E402</f>
        <v/>
      </c>
    </row>
    <row r="403">
      <c r="C403" s="42" t="n"/>
      <c r="D403" s="29" t="n"/>
      <c r="E403" s="30" t="n"/>
      <c r="F403" s="31">
        <f>D403-E403</f>
        <v/>
      </c>
    </row>
    <row r="404">
      <c r="C404" s="42" t="n"/>
      <c r="D404" s="29" t="n"/>
      <c r="E404" s="30" t="n"/>
      <c r="F404" s="31">
        <f>D404-E404</f>
        <v/>
      </c>
    </row>
    <row r="405">
      <c r="C405" s="42" t="n"/>
      <c r="D405" s="29" t="n"/>
      <c r="E405" s="30" t="n"/>
      <c r="F405" s="31">
        <f>D405-E405</f>
        <v/>
      </c>
    </row>
    <row r="406">
      <c r="C406" s="42" t="n"/>
      <c r="D406" s="29" t="n"/>
      <c r="E406" s="30" t="n"/>
      <c r="F406" s="31">
        <f>D406-E406</f>
        <v/>
      </c>
    </row>
    <row r="407">
      <c r="C407" s="42" t="n"/>
      <c r="D407" s="29" t="n"/>
      <c r="E407" s="30" t="n"/>
      <c r="F407" s="31">
        <f>D407-E407</f>
        <v/>
      </c>
    </row>
    <row r="408">
      <c r="C408" s="42" t="n"/>
      <c r="D408" s="29" t="n"/>
      <c r="E408" s="30" t="n"/>
      <c r="F408" s="31">
        <f>D408-E408</f>
        <v/>
      </c>
    </row>
    <row r="409">
      <c r="B409" s="43" t="n"/>
      <c r="C409" s="42" t="n"/>
      <c r="D409" s="46" t="n"/>
      <c r="E409" s="28" t="n"/>
    </row>
    <row r="410">
      <c r="C410" s="42" t="n"/>
      <c r="D410" s="29" t="n"/>
      <c r="E410" s="30" t="n"/>
      <c r="F410" s="31">
        <f>D410-E410</f>
        <v/>
      </c>
    </row>
    <row r="411">
      <c r="C411" s="42" t="n"/>
      <c r="D411" s="29" t="n"/>
      <c r="E411" s="30" t="n"/>
      <c r="F411" s="31">
        <f>D411-E411</f>
        <v/>
      </c>
    </row>
    <row r="412">
      <c r="C412" s="42" t="n"/>
      <c r="D412" s="51" t="n"/>
      <c r="E412" s="52" t="n"/>
      <c r="F412" s="31">
        <f>D412-E412</f>
        <v/>
      </c>
    </row>
    <row r="413">
      <c r="C413" s="42" t="n"/>
      <c r="D413" s="29" t="n"/>
      <c r="E413" s="30" t="n"/>
      <c r="F413" s="31">
        <f>D413-E413</f>
        <v/>
      </c>
    </row>
    <row r="414">
      <c r="C414" s="42" t="n"/>
      <c r="D414" s="29" t="n"/>
      <c r="E414" s="30" t="n"/>
      <c r="F414" s="31">
        <f>D414-E414</f>
        <v/>
      </c>
    </row>
    <row r="415">
      <c r="C415" s="42" t="n"/>
      <c r="D415" s="29" t="n"/>
      <c r="E415" s="30" t="n"/>
      <c r="F415" s="31">
        <f>D415-E415</f>
        <v/>
      </c>
    </row>
    <row r="416">
      <c r="C416" s="42" t="n"/>
      <c r="D416" s="29" t="n"/>
      <c r="E416" s="30" t="n"/>
      <c r="F416" s="31">
        <f>D416-E416</f>
        <v/>
      </c>
    </row>
    <row r="417">
      <c r="C417" s="42" t="n"/>
      <c r="D417" s="29" t="n"/>
      <c r="E417" s="30" t="n"/>
      <c r="F417" s="31">
        <f>D417-E417</f>
        <v/>
      </c>
    </row>
    <row r="418">
      <c r="C418" s="42" t="n"/>
      <c r="D418" s="29" t="n"/>
      <c r="E418" s="30" t="n"/>
      <c r="F418" s="31">
        <f>D418-E418</f>
        <v/>
      </c>
    </row>
    <row r="419">
      <c r="C419" s="42" t="n"/>
      <c r="D419" s="29" t="n"/>
      <c r="E419" s="30" t="n"/>
      <c r="F419" s="31">
        <f>D419-E419</f>
        <v/>
      </c>
    </row>
    <row r="420">
      <c r="B420" s="43" t="n"/>
      <c r="C420" s="42" t="n"/>
      <c r="D420" s="46" t="n"/>
      <c r="E420" s="28" t="n"/>
    </row>
    <row r="421">
      <c r="C421" s="42" t="n"/>
      <c r="D421" s="29" t="n"/>
      <c r="E421" s="30" t="n"/>
      <c r="F421" s="31">
        <f>D421-E421</f>
        <v/>
      </c>
    </row>
    <row r="422">
      <c r="C422" s="42" t="n"/>
      <c r="D422" s="29" t="n"/>
      <c r="E422" s="30" t="n"/>
      <c r="F422" s="31">
        <f>D422-E422</f>
        <v/>
      </c>
    </row>
    <row r="423">
      <c r="C423" s="42" t="n"/>
      <c r="D423" s="51" t="n"/>
      <c r="E423" s="52" t="n"/>
      <c r="F423" s="31">
        <f>D423-E423</f>
        <v/>
      </c>
    </row>
    <row r="424">
      <c r="C424" s="42" t="n"/>
      <c r="D424" s="29" t="n"/>
      <c r="E424" s="30" t="n"/>
      <c r="F424" s="31">
        <f>D424-E424</f>
        <v/>
      </c>
    </row>
    <row r="425">
      <c r="C425" s="42" t="n"/>
      <c r="D425" s="29" t="n"/>
      <c r="E425" s="30" t="n"/>
      <c r="F425" s="31">
        <f>D425-E425</f>
        <v/>
      </c>
    </row>
    <row r="426">
      <c r="C426" s="42" t="n"/>
      <c r="D426" s="29" t="n"/>
      <c r="E426" s="30" t="n"/>
      <c r="F426" s="31">
        <f>D426-E426</f>
        <v/>
      </c>
    </row>
    <row r="427">
      <c r="C427" s="42" t="n"/>
      <c r="D427" s="29" t="n"/>
      <c r="E427" s="30" t="n"/>
      <c r="F427" s="31">
        <f>D427-E427</f>
        <v/>
      </c>
    </row>
    <row r="428">
      <c r="C428" s="42" t="n"/>
      <c r="D428" s="29" t="n"/>
      <c r="E428" s="30" t="n"/>
      <c r="F428" s="31">
        <f>D428-E428</f>
        <v/>
      </c>
    </row>
    <row r="429">
      <c r="C429" s="42" t="n"/>
      <c r="D429" s="29" t="n"/>
      <c r="E429" s="30" t="n"/>
      <c r="F429" s="31">
        <f>D429-E429</f>
        <v/>
      </c>
    </row>
    <row r="430">
      <c r="C430" s="42" t="n"/>
      <c r="D430" s="29" t="n"/>
      <c r="E430" s="30" t="n"/>
      <c r="F430" s="31">
        <f>D430-E430</f>
        <v/>
      </c>
    </row>
    <row r="431">
      <c r="B431" s="43" t="n"/>
      <c r="C431" s="42" t="n"/>
      <c r="D431" s="46" t="n"/>
      <c r="E431" s="28" t="n"/>
    </row>
    <row r="432">
      <c r="C432" s="42" t="n"/>
      <c r="D432" s="29" t="n"/>
      <c r="E432" s="30" t="n"/>
      <c r="F432" s="31">
        <f>D432-E432</f>
        <v/>
      </c>
    </row>
    <row r="433">
      <c r="C433" s="42" t="n"/>
      <c r="D433" s="29" t="n"/>
      <c r="E433" s="30" t="n"/>
      <c r="F433" s="31">
        <f>D433-E433</f>
        <v/>
      </c>
    </row>
    <row r="434">
      <c r="C434" s="42" t="n"/>
      <c r="D434" s="51" t="n"/>
      <c r="E434" s="52" t="n"/>
      <c r="F434" s="31">
        <f>D434-E434</f>
        <v/>
      </c>
    </row>
    <row r="435">
      <c r="C435" s="42" t="n"/>
      <c r="D435" s="29" t="n"/>
      <c r="E435" s="30" t="n"/>
      <c r="F435" s="31">
        <f>D435-E435</f>
        <v/>
      </c>
    </row>
    <row r="436">
      <c r="C436" s="42" t="n"/>
      <c r="D436" s="29" t="n"/>
      <c r="E436" s="30" t="n"/>
      <c r="F436" s="31">
        <f>D436-E436</f>
        <v/>
      </c>
    </row>
    <row r="437">
      <c r="C437" s="42" t="n"/>
      <c r="D437" s="29" t="n"/>
      <c r="E437" s="30" t="n"/>
      <c r="F437" s="31">
        <f>D437-E437</f>
        <v/>
      </c>
    </row>
    <row r="438">
      <c r="C438" s="42" t="n"/>
      <c r="D438" s="29" t="n"/>
      <c r="E438" s="30" t="n"/>
      <c r="F438" s="31">
        <f>D438-E438</f>
        <v/>
      </c>
    </row>
    <row r="439">
      <c r="C439" s="42" t="n"/>
      <c r="D439" s="29" t="n"/>
      <c r="E439" s="30" t="n"/>
      <c r="F439" s="31">
        <f>D439-E439</f>
        <v/>
      </c>
    </row>
    <row r="440">
      <c r="C440" s="42" t="n"/>
      <c r="D440" s="29" t="n"/>
      <c r="E440" s="30" t="n"/>
      <c r="F440" s="31">
        <f>D440-E440</f>
        <v/>
      </c>
    </row>
    <row r="441">
      <c r="C441" s="42" t="n"/>
      <c r="D441" s="29" t="n"/>
      <c r="E441" s="30" t="n"/>
      <c r="F441" s="31">
        <f>D441-E441</f>
        <v/>
      </c>
    </row>
    <row r="442">
      <c r="B442" s="43" t="n"/>
      <c r="C442" s="42" t="n"/>
      <c r="D442" s="46" t="n"/>
      <c r="E442" s="28" t="n"/>
    </row>
    <row r="443">
      <c r="C443" s="42" t="n"/>
      <c r="D443" s="29" t="n"/>
      <c r="E443" s="30" t="n"/>
      <c r="F443" s="31">
        <f>D443-E443</f>
        <v/>
      </c>
    </row>
    <row r="444">
      <c r="C444" s="42" t="n"/>
      <c r="D444" s="29" t="n"/>
      <c r="E444" s="30" t="n"/>
      <c r="F444" s="31">
        <f>D444-E444</f>
        <v/>
      </c>
    </row>
    <row r="445">
      <c r="C445" s="42" t="n"/>
      <c r="D445" s="51" t="n"/>
      <c r="E445" s="52" t="n"/>
      <c r="F445" s="31">
        <f>D445-E445</f>
        <v/>
      </c>
    </row>
    <row r="446">
      <c r="C446" s="42" t="n"/>
      <c r="D446" s="29" t="n"/>
      <c r="E446" s="30" t="n"/>
      <c r="F446" s="31">
        <f>D446-E446</f>
        <v/>
      </c>
    </row>
    <row r="447">
      <c r="C447" s="42" t="n"/>
      <c r="D447" s="29" t="n"/>
      <c r="E447" s="30" t="n"/>
      <c r="F447" s="31">
        <f>D447-E447</f>
        <v/>
      </c>
    </row>
    <row r="448">
      <c r="C448" s="42" t="n"/>
      <c r="D448" s="29" t="n"/>
      <c r="E448" s="30" t="n"/>
      <c r="F448" s="31">
        <f>D448-E448</f>
        <v/>
      </c>
    </row>
    <row r="449">
      <c r="C449" s="42" t="n"/>
      <c r="D449" s="29" t="n"/>
      <c r="E449" s="30" t="n"/>
      <c r="F449" s="31">
        <f>D449-E449</f>
        <v/>
      </c>
    </row>
    <row r="450">
      <c r="C450" s="42" t="n"/>
      <c r="D450" s="29" t="n"/>
      <c r="E450" s="30" t="n"/>
      <c r="F450" s="31">
        <f>D450-E450</f>
        <v/>
      </c>
    </row>
    <row r="451">
      <c r="C451" s="42" t="n"/>
      <c r="D451" s="29" t="n"/>
      <c r="E451" s="30" t="n"/>
      <c r="F451" s="31">
        <f>D451-E451</f>
        <v/>
      </c>
    </row>
    <row r="452">
      <c r="C452" s="42" t="n"/>
      <c r="D452" s="29" t="n"/>
      <c r="E452" s="30" t="n"/>
      <c r="F452" s="31">
        <f>D452-E452</f>
        <v/>
      </c>
    </row>
    <row r="453">
      <c r="B453" s="43" t="n"/>
      <c r="C453" s="42" t="n"/>
      <c r="D453" s="46" t="n"/>
      <c r="E453" s="28" t="n"/>
    </row>
    <row r="454">
      <c r="C454" s="42" t="n"/>
      <c r="D454" s="29" t="n"/>
      <c r="E454" s="30" t="n"/>
      <c r="F454" s="31">
        <f>D454-E454</f>
        <v/>
      </c>
    </row>
    <row r="455">
      <c r="C455" s="42" t="n"/>
      <c r="D455" s="29" t="n"/>
      <c r="E455" s="30" t="n"/>
      <c r="F455" s="31">
        <f>D455-E455</f>
        <v/>
      </c>
    </row>
    <row r="456">
      <c r="C456" s="42" t="n"/>
      <c r="D456" s="51" t="n"/>
      <c r="E456" s="52" t="n"/>
      <c r="F456" s="31">
        <f>D456-E456</f>
        <v/>
      </c>
    </row>
    <row r="457">
      <c r="C457" s="42" t="n"/>
      <c r="D457" s="29" t="n"/>
      <c r="E457" s="30" t="n"/>
      <c r="F457" s="31">
        <f>D457-E457</f>
        <v/>
      </c>
    </row>
    <row r="458">
      <c r="C458" s="42" t="n"/>
      <c r="D458" s="29" t="n"/>
      <c r="E458" s="30" t="n"/>
      <c r="F458" s="31">
        <f>D458-E458</f>
        <v/>
      </c>
    </row>
    <row r="459">
      <c r="C459" s="42" t="n"/>
      <c r="D459" s="29" t="n"/>
      <c r="E459" s="30" t="n"/>
      <c r="F459" s="31">
        <f>D459-E459</f>
        <v/>
      </c>
    </row>
    <row r="460">
      <c r="C460" s="42" t="n"/>
      <c r="D460" s="29" t="n"/>
      <c r="E460" s="30" t="n"/>
      <c r="F460" s="31">
        <f>D460-E460</f>
        <v/>
      </c>
    </row>
    <row r="461">
      <c r="C461" s="42" t="n"/>
      <c r="D461" s="29" t="n"/>
      <c r="E461" s="30" t="n"/>
      <c r="F461" s="31">
        <f>D461-E461</f>
        <v/>
      </c>
    </row>
    <row r="462">
      <c r="C462" s="42" t="n"/>
      <c r="D462" s="29" t="n"/>
      <c r="E462" s="30" t="n"/>
      <c r="F462" s="31">
        <f>D462-E462</f>
        <v/>
      </c>
    </row>
    <row r="463">
      <c r="C463" s="42" t="n"/>
      <c r="D463" s="29" t="n"/>
      <c r="E463" s="30" t="n"/>
      <c r="F463" s="31">
        <f>D463-E463</f>
        <v/>
      </c>
    </row>
    <row r="464">
      <c r="B464" s="43" t="n"/>
      <c r="C464" s="42" t="n"/>
      <c r="D464" s="46" t="n"/>
      <c r="E464" s="28" t="n"/>
    </row>
    <row r="465">
      <c r="C465" s="42" t="n"/>
      <c r="D465" s="29" t="n"/>
      <c r="E465" s="30" t="n"/>
      <c r="F465" s="31">
        <f>D465-E465</f>
        <v/>
      </c>
    </row>
    <row r="466">
      <c r="C466" s="42" t="n"/>
      <c r="D466" s="29" t="n"/>
      <c r="E466" s="30" t="n"/>
      <c r="F466" s="31">
        <f>D466-E466</f>
        <v/>
      </c>
    </row>
    <row r="467">
      <c r="C467" s="42" t="n"/>
      <c r="D467" s="51" t="n"/>
      <c r="E467" s="52" t="n"/>
      <c r="F467" s="31">
        <f>D467-E467</f>
        <v/>
      </c>
    </row>
    <row r="468">
      <c r="C468" s="42" t="n"/>
      <c r="D468" s="29" t="n"/>
      <c r="E468" s="30" t="n"/>
      <c r="F468" s="31">
        <f>D468-E468</f>
        <v/>
      </c>
    </row>
    <row r="469">
      <c r="C469" s="42" t="n"/>
      <c r="D469" s="29" t="n"/>
      <c r="E469" s="30" t="n"/>
      <c r="F469" s="31">
        <f>D469-E469</f>
        <v/>
      </c>
    </row>
    <row r="470">
      <c r="C470" s="42" t="n"/>
      <c r="D470" s="29" t="n"/>
      <c r="E470" s="30" t="n"/>
      <c r="F470" s="31">
        <f>D470-E470</f>
        <v/>
      </c>
    </row>
    <row r="471">
      <c r="C471" s="42" t="n"/>
      <c r="D471" s="29" t="n"/>
      <c r="E471" s="30" t="n"/>
      <c r="F471" s="31">
        <f>D471-E471</f>
        <v/>
      </c>
    </row>
    <row r="472">
      <c r="C472" s="42" t="n"/>
      <c r="D472" s="29" t="n"/>
      <c r="E472" s="30" t="n"/>
      <c r="F472" s="31">
        <f>D472-E472</f>
        <v/>
      </c>
    </row>
    <row r="473">
      <c r="C473" s="42" t="n"/>
      <c r="D473" s="29" t="n"/>
      <c r="E473" s="30" t="n"/>
      <c r="F473" s="31">
        <f>D473-E473</f>
        <v/>
      </c>
    </row>
    <row r="474">
      <c r="C474" s="42" t="n"/>
      <c r="D474" s="29" t="n"/>
      <c r="E474" s="30" t="n"/>
      <c r="F474" s="31">
        <f>D474-E474</f>
        <v/>
      </c>
    </row>
    <row r="475">
      <c r="B475" s="43" t="n"/>
      <c r="C475" s="42" t="n"/>
      <c r="D475" s="46" t="n"/>
      <c r="E475" s="28" t="n"/>
    </row>
    <row r="476">
      <c r="C476" s="42" t="n"/>
      <c r="D476" s="29" t="n"/>
      <c r="E476" s="30" t="n"/>
      <c r="F476" s="31">
        <f>D476-E476</f>
        <v/>
      </c>
    </row>
    <row r="477">
      <c r="C477" s="42" t="n"/>
      <c r="D477" s="29" t="n"/>
      <c r="E477" s="30" t="n"/>
      <c r="F477" s="31">
        <f>D477-E477</f>
        <v/>
      </c>
    </row>
    <row r="478">
      <c r="C478" s="42" t="n"/>
      <c r="D478" s="51" t="n"/>
      <c r="E478" s="52" t="n"/>
      <c r="F478" s="31">
        <f>D478-E478</f>
        <v/>
      </c>
    </row>
    <row r="479">
      <c r="C479" s="42" t="n"/>
      <c r="D479" s="29" t="n"/>
      <c r="E479" s="30" t="n"/>
      <c r="F479" s="31">
        <f>D479-E479</f>
        <v/>
      </c>
    </row>
    <row r="480">
      <c r="C480" s="42" t="n"/>
      <c r="D480" s="29" t="n"/>
      <c r="E480" s="30" t="n"/>
      <c r="F480" s="31">
        <f>D480-E480</f>
        <v/>
      </c>
    </row>
    <row r="481">
      <c r="C481" s="42" t="n"/>
      <c r="D481" s="29" t="n"/>
      <c r="E481" s="30" t="n"/>
      <c r="F481" s="31">
        <f>D481-E481</f>
        <v/>
      </c>
    </row>
    <row r="482">
      <c r="C482" s="42" t="n"/>
      <c r="D482" s="29" t="n"/>
      <c r="E482" s="30" t="n"/>
      <c r="F482" s="31">
        <f>D482-E482</f>
        <v/>
      </c>
    </row>
    <row r="483">
      <c r="C483" s="42" t="n"/>
      <c r="D483" s="29" t="n"/>
      <c r="E483" s="30" t="n"/>
      <c r="F483" s="31">
        <f>D483-E483</f>
        <v/>
      </c>
    </row>
    <row r="484">
      <c r="C484" s="42" t="n"/>
      <c r="D484" s="29" t="n"/>
      <c r="E484" s="30" t="n"/>
      <c r="F484" s="31">
        <f>D484-E484</f>
        <v/>
      </c>
    </row>
    <row r="485">
      <c r="C485" s="42" t="n"/>
      <c r="D485" s="29" t="n"/>
      <c r="E485" s="30" t="n"/>
      <c r="F485" s="31">
        <f>D485-E485</f>
        <v/>
      </c>
    </row>
    <row r="486">
      <c r="B486" s="43" t="n"/>
      <c r="C486" s="42" t="n"/>
      <c r="D486" s="46" t="n"/>
      <c r="E486" s="28" t="n"/>
    </row>
    <row r="487">
      <c r="C487" s="42" t="n"/>
      <c r="D487" s="29" t="n"/>
      <c r="E487" s="30" t="n"/>
      <c r="F487" s="31">
        <f>D487-E487</f>
        <v/>
      </c>
    </row>
    <row r="488">
      <c r="C488" s="42" t="n"/>
      <c r="D488" s="29" t="n"/>
      <c r="E488" s="30" t="n"/>
      <c r="F488" s="31">
        <f>D488-E488</f>
        <v/>
      </c>
    </row>
    <row r="489">
      <c r="C489" s="42" t="n"/>
      <c r="D489" s="51" t="n"/>
      <c r="E489" s="52" t="n"/>
      <c r="F489" s="31">
        <f>D489-E489</f>
        <v/>
      </c>
    </row>
    <row r="490">
      <c r="C490" s="42" t="n"/>
      <c r="D490" s="29" t="n"/>
      <c r="E490" s="30" t="n"/>
      <c r="F490" s="31">
        <f>D490-E490</f>
        <v/>
      </c>
    </row>
    <row r="491">
      <c r="C491" s="42" t="n"/>
      <c r="D491" s="29" t="n"/>
      <c r="E491" s="30" t="n"/>
      <c r="F491" s="31">
        <f>D491-E491</f>
        <v/>
      </c>
    </row>
    <row r="492">
      <c r="C492" s="42" t="n"/>
      <c r="D492" s="29" t="n"/>
      <c r="E492" s="30" t="n"/>
      <c r="F492" s="31">
        <f>D492-E492</f>
        <v/>
      </c>
    </row>
    <row r="493">
      <c r="C493" s="42" t="n"/>
      <c r="D493" s="29" t="n"/>
      <c r="E493" s="30" t="n"/>
      <c r="F493" s="31">
        <f>D493-E493</f>
        <v/>
      </c>
    </row>
    <row r="494">
      <c r="C494" s="42" t="n"/>
      <c r="D494" s="29" t="n"/>
      <c r="E494" s="30" t="n"/>
      <c r="F494" s="31">
        <f>D494-E494</f>
        <v/>
      </c>
    </row>
    <row r="495">
      <c r="C495" s="42" t="n"/>
      <c r="D495" s="29" t="n"/>
      <c r="E495" s="30" t="n"/>
      <c r="F495" s="31">
        <f>D495-E495</f>
        <v/>
      </c>
    </row>
    <row r="496">
      <c r="C496" s="42" t="n"/>
      <c r="D496" s="29" t="n"/>
      <c r="E496" s="30" t="n"/>
      <c r="F496" s="31">
        <f>D496-E496</f>
        <v/>
      </c>
    </row>
    <row r="497">
      <c r="B497" s="43" t="n"/>
      <c r="C497" s="42" t="n"/>
      <c r="D497" s="46" t="n"/>
      <c r="E497" s="42" t="n"/>
    </row>
    <row r="498">
      <c r="C498" s="42" t="n"/>
      <c r="D498" s="29" t="n"/>
      <c r="E498" s="30" t="n"/>
      <c r="F498" s="31">
        <f>D498-E498</f>
        <v/>
      </c>
    </row>
    <row r="499">
      <c r="C499" s="42" t="n"/>
      <c r="D499" s="29" t="n"/>
      <c r="E499" s="30" t="n"/>
      <c r="F499" s="31">
        <f>D499-E499</f>
        <v/>
      </c>
    </row>
    <row r="500">
      <c r="C500" s="42" t="n"/>
      <c r="D500" s="51" t="n"/>
      <c r="E500" s="52" t="n"/>
      <c r="F500" s="31">
        <f>D500-E500</f>
        <v/>
      </c>
    </row>
    <row r="501">
      <c r="C501" s="42" t="n"/>
      <c r="D501" s="29" t="n"/>
      <c r="E501" s="30" t="n"/>
      <c r="F501" s="31">
        <f>D501-E501</f>
        <v/>
      </c>
    </row>
    <row r="502">
      <c r="C502" s="42" t="n"/>
      <c r="D502" s="29" t="n"/>
      <c r="E502" s="30" t="n"/>
      <c r="F502" s="31">
        <f>D502-E502</f>
        <v/>
      </c>
    </row>
    <row r="503">
      <c r="C503" s="42" t="n"/>
      <c r="D503" s="29" t="n"/>
      <c r="E503" s="30" t="n"/>
      <c r="F503" s="31">
        <f>D503-E503</f>
        <v/>
      </c>
    </row>
    <row r="504">
      <c r="C504" s="42" t="n"/>
      <c r="D504" s="29" t="n"/>
      <c r="E504" s="30" t="n"/>
      <c r="F504" s="31">
        <f>D504-E504</f>
        <v/>
      </c>
    </row>
    <row r="505">
      <c r="C505" s="42" t="n"/>
      <c r="D505" s="29" t="n"/>
      <c r="E505" s="30" t="n"/>
      <c r="F505" s="31">
        <f>D505-E505</f>
        <v/>
      </c>
    </row>
    <row r="506">
      <c r="C506" s="42" t="n"/>
      <c r="D506" s="29" t="n"/>
      <c r="E506" s="30" t="n"/>
      <c r="F506" s="31">
        <f>D506-E506</f>
        <v/>
      </c>
    </row>
    <row r="507">
      <c r="C507" s="42" t="n"/>
      <c r="D507" s="29" t="n"/>
      <c r="E507" s="30" t="n"/>
      <c r="F507" s="31">
        <f>D507-E507</f>
        <v/>
      </c>
    </row>
    <row r="508">
      <c r="B508" s="43" t="n"/>
      <c r="C508" s="42" t="n"/>
      <c r="D508" s="46" t="n"/>
      <c r="E508" s="28" t="n"/>
    </row>
    <row r="509">
      <c r="C509" s="42" t="n"/>
      <c r="D509" s="29" t="n"/>
      <c r="E509" s="30" t="n"/>
      <c r="F509" s="31">
        <f>D509-E509</f>
        <v/>
      </c>
    </row>
    <row r="510">
      <c r="C510" s="42" t="n"/>
      <c r="D510" s="29" t="n"/>
      <c r="E510" s="30" t="n"/>
      <c r="F510" s="31">
        <f>D510-E510</f>
        <v/>
      </c>
    </row>
    <row r="511">
      <c r="C511" s="42" t="n"/>
      <c r="D511" s="51" t="n"/>
      <c r="E511" s="52" t="n"/>
      <c r="F511" s="31">
        <f>D511-E511</f>
        <v/>
      </c>
    </row>
    <row r="512">
      <c r="C512" s="42" t="n"/>
      <c r="D512" s="29" t="n"/>
      <c r="E512" s="30" t="n"/>
      <c r="F512" s="31">
        <f>D512-E512</f>
        <v/>
      </c>
    </row>
    <row r="513">
      <c r="C513" s="42" t="n"/>
      <c r="D513" s="29" t="n"/>
      <c r="E513" s="30" t="n"/>
      <c r="F513" s="31">
        <f>D513-E513</f>
        <v/>
      </c>
    </row>
    <row r="514">
      <c r="C514" s="42" t="n"/>
      <c r="D514" s="29" t="n"/>
      <c r="E514" s="30" t="n"/>
      <c r="F514" s="31">
        <f>D514-E514</f>
        <v/>
      </c>
    </row>
    <row r="515">
      <c r="C515" s="42" t="n"/>
      <c r="D515" s="29" t="n"/>
      <c r="E515" s="30" t="n"/>
      <c r="F515" s="31">
        <f>D515-E515</f>
        <v/>
      </c>
    </row>
    <row r="516">
      <c r="C516" s="42" t="n"/>
      <c r="D516" s="29" t="n"/>
      <c r="E516" s="30" t="n"/>
      <c r="F516" s="31">
        <f>D516-E516</f>
        <v/>
      </c>
    </row>
    <row r="517">
      <c r="C517" s="42" t="n"/>
      <c r="D517" s="29" t="n"/>
      <c r="E517" s="30" t="n"/>
      <c r="F517" s="31">
        <f>D517-E517</f>
        <v/>
      </c>
    </row>
    <row r="518">
      <c r="C518" s="42" t="n"/>
      <c r="D518" s="29" t="n"/>
      <c r="E518" s="30" t="n"/>
      <c r="F518" s="31">
        <f>D518-E518</f>
        <v/>
      </c>
    </row>
    <row r="519">
      <c r="B519" s="43" t="n"/>
      <c r="C519" s="42" t="n"/>
      <c r="D519" s="46" t="n"/>
      <c r="E519" s="28" t="n"/>
    </row>
    <row r="520">
      <c r="C520" s="42" t="n"/>
      <c r="D520" s="29" t="n"/>
      <c r="E520" s="30" t="n"/>
      <c r="F520" s="31">
        <f>D520-E520</f>
        <v/>
      </c>
    </row>
    <row r="521">
      <c r="C521" s="42" t="n"/>
      <c r="D521" s="29" t="n"/>
      <c r="E521" s="30" t="n"/>
      <c r="F521" s="31">
        <f>D521-E521</f>
        <v/>
      </c>
    </row>
    <row r="522">
      <c r="C522" s="42" t="n"/>
      <c r="D522" s="51" t="n"/>
      <c r="E522" s="52" t="n"/>
      <c r="F522" s="31">
        <f>D522-E522</f>
        <v/>
      </c>
    </row>
    <row r="523">
      <c r="C523" s="42" t="n"/>
      <c r="D523" s="29" t="n"/>
      <c r="E523" s="30" t="n"/>
      <c r="F523" s="31">
        <f>D523-E523</f>
        <v/>
      </c>
    </row>
    <row r="524">
      <c r="C524" s="42" t="n"/>
      <c r="D524" s="29" t="n"/>
      <c r="E524" s="30" t="n"/>
      <c r="F524" s="31">
        <f>D524-E524</f>
        <v/>
      </c>
    </row>
    <row r="525">
      <c r="C525" s="42" t="n"/>
      <c r="D525" s="29" t="n"/>
      <c r="E525" s="30" t="n"/>
      <c r="F525" s="31">
        <f>D525-E525</f>
        <v/>
      </c>
    </row>
    <row r="526">
      <c r="C526" s="42" t="n"/>
      <c r="D526" s="29" t="n"/>
      <c r="E526" s="30" t="n"/>
      <c r="F526" s="31">
        <f>D526-E526</f>
        <v/>
      </c>
    </row>
    <row r="527">
      <c r="C527" s="42" t="n"/>
      <c r="D527" s="29" t="n"/>
      <c r="E527" s="30" t="n"/>
      <c r="F527" s="31">
        <f>D527-E527</f>
        <v/>
      </c>
    </row>
    <row r="528">
      <c r="C528" s="42" t="n"/>
      <c r="D528" s="29" t="n"/>
      <c r="E528" s="30" t="n"/>
      <c r="F528" s="31">
        <f>D528-E528</f>
        <v/>
      </c>
    </row>
    <row r="529">
      <c r="C529" s="42" t="n"/>
      <c r="D529" s="29" t="n"/>
      <c r="E529" s="30" t="n"/>
      <c r="F529" s="31">
        <f>D529-E529</f>
        <v/>
      </c>
    </row>
    <row r="530">
      <c r="B530" s="43" t="n"/>
      <c r="C530" s="42" t="n"/>
      <c r="D530" s="46" t="n"/>
      <c r="E530" s="28" t="n"/>
    </row>
    <row r="531">
      <c r="C531" s="42" t="n"/>
      <c r="D531" s="29" t="n"/>
      <c r="E531" s="30" t="n"/>
      <c r="F531" s="31">
        <f>D531-E531</f>
        <v/>
      </c>
    </row>
    <row r="532">
      <c r="C532" s="42" t="n"/>
      <c r="D532" s="29" t="n"/>
      <c r="E532" s="30" t="n"/>
      <c r="F532" s="31">
        <f>D532-E532</f>
        <v/>
      </c>
    </row>
    <row r="533">
      <c r="C533" s="42" t="n"/>
      <c r="D533" s="51" t="n"/>
      <c r="E533" s="52" t="n"/>
      <c r="F533" s="31">
        <f>D533-E533</f>
        <v/>
      </c>
    </row>
    <row r="534">
      <c r="C534" s="42" t="n"/>
      <c r="D534" s="29" t="n"/>
      <c r="E534" s="30" t="n"/>
      <c r="F534" s="31">
        <f>D534-E534</f>
        <v/>
      </c>
    </row>
    <row r="535">
      <c r="C535" s="42" t="n"/>
      <c r="D535" s="29" t="n"/>
      <c r="E535" s="30" t="n"/>
      <c r="F535" s="31">
        <f>D535-E535</f>
        <v/>
      </c>
    </row>
    <row r="536">
      <c r="C536" s="42" t="n"/>
      <c r="D536" s="29" t="n"/>
      <c r="E536" s="30" t="n"/>
      <c r="F536" s="31">
        <f>D536-E536</f>
        <v/>
      </c>
    </row>
    <row r="537">
      <c r="C537" s="42" t="n"/>
      <c r="D537" s="29" t="n"/>
      <c r="E537" s="30" t="n"/>
      <c r="F537" s="31">
        <f>D537-E537</f>
        <v/>
      </c>
    </row>
    <row r="538">
      <c r="C538" s="42" t="n"/>
      <c r="D538" s="29" t="n"/>
      <c r="E538" s="30" t="n"/>
      <c r="F538" s="31">
        <f>D538-E538</f>
        <v/>
      </c>
    </row>
    <row r="539">
      <c r="C539" s="42" t="n"/>
      <c r="D539" s="29" t="n"/>
      <c r="E539" s="30" t="n"/>
      <c r="F539" s="31">
        <f>D539-E539</f>
        <v/>
      </c>
    </row>
    <row r="540">
      <c r="C540" s="42" t="n"/>
      <c r="D540" s="29" t="n"/>
      <c r="E540" s="30" t="n"/>
      <c r="F540" s="31">
        <f>D540-E540</f>
        <v/>
      </c>
    </row>
    <row r="541">
      <c r="B541" s="43" t="n"/>
      <c r="C541" s="42" t="n"/>
      <c r="D541" s="46" t="n"/>
      <c r="E541" s="28" t="n"/>
    </row>
    <row r="542">
      <c r="C542" s="42" t="n"/>
      <c r="D542" s="29" t="n"/>
      <c r="E542" s="30" t="n"/>
      <c r="F542" s="31">
        <f>D542-E542</f>
        <v/>
      </c>
    </row>
    <row r="543">
      <c r="C543" s="42" t="n"/>
      <c r="D543" s="29" t="n"/>
      <c r="E543" s="30" t="n"/>
      <c r="F543" s="31">
        <f>D543-E543</f>
        <v/>
      </c>
    </row>
    <row r="544">
      <c r="C544" s="42" t="n"/>
      <c r="D544" s="51" t="n"/>
      <c r="E544" s="52" t="n"/>
      <c r="F544" s="31">
        <f>D544-E544</f>
        <v/>
      </c>
    </row>
    <row r="545">
      <c r="C545" s="42" t="n"/>
      <c r="D545" s="29" t="n"/>
      <c r="E545" s="30" t="n"/>
      <c r="F545" s="31">
        <f>D545-E545</f>
        <v/>
      </c>
    </row>
    <row r="546">
      <c r="C546" s="42" t="n"/>
      <c r="D546" s="29" t="n"/>
      <c r="E546" s="30" t="n"/>
      <c r="F546" s="31">
        <f>D546-E546</f>
        <v/>
      </c>
    </row>
    <row r="547">
      <c r="C547" s="42" t="n"/>
      <c r="D547" s="29" t="n"/>
      <c r="E547" s="30" t="n"/>
      <c r="F547" s="31">
        <f>D547-E547</f>
        <v/>
      </c>
    </row>
    <row r="548">
      <c r="C548" s="42" t="n"/>
      <c r="D548" s="29" t="n"/>
      <c r="E548" s="30" t="n"/>
      <c r="F548" s="31">
        <f>D548-E548</f>
        <v/>
      </c>
    </row>
    <row r="549">
      <c r="C549" s="42" t="n"/>
      <c r="D549" s="29" t="n"/>
      <c r="E549" s="30" t="n"/>
      <c r="F549" s="31">
        <f>D549-E549</f>
        <v/>
      </c>
    </row>
    <row r="550">
      <c r="C550" s="42" t="n"/>
      <c r="D550" s="29" t="n"/>
      <c r="E550" s="30" t="n"/>
      <c r="F550" s="31">
        <f>D550-E550</f>
        <v/>
      </c>
    </row>
    <row r="551">
      <c r="C551" s="42" t="n"/>
      <c r="D551" s="29" t="n"/>
      <c r="E551" s="30" t="n"/>
      <c r="F551" s="31">
        <f>D551-E551</f>
        <v/>
      </c>
    </row>
    <row r="552">
      <c r="B552" s="43" t="n"/>
      <c r="C552" s="42" t="n"/>
      <c r="D552" s="46" t="n"/>
      <c r="E552" s="28" t="n"/>
    </row>
    <row r="553">
      <c r="C553" s="42" t="n"/>
      <c r="D553" s="29" t="n"/>
      <c r="E553" s="30" t="n"/>
      <c r="F553" s="31">
        <f>D553-E553</f>
        <v/>
      </c>
    </row>
    <row r="554">
      <c r="C554" s="42" t="n"/>
      <c r="D554" s="29" t="n"/>
      <c r="E554" s="30" t="n"/>
      <c r="F554" s="31">
        <f>D554-E554</f>
        <v/>
      </c>
    </row>
    <row r="555">
      <c r="C555" s="42" t="n"/>
      <c r="D555" s="51" t="n"/>
      <c r="E555" s="52" t="n"/>
      <c r="F555" s="31">
        <f>D555-E555</f>
        <v/>
      </c>
    </row>
    <row r="556">
      <c r="C556" s="42" t="n"/>
      <c r="D556" s="29" t="n"/>
      <c r="E556" s="30" t="n"/>
      <c r="F556" s="31">
        <f>D556-E556</f>
        <v/>
      </c>
    </row>
    <row r="557">
      <c r="C557" s="42" t="n"/>
      <c r="D557" s="29" t="n"/>
      <c r="E557" s="30" t="n"/>
      <c r="F557" s="31">
        <f>D557-E557</f>
        <v/>
      </c>
    </row>
    <row r="558">
      <c r="C558" s="42" t="n"/>
      <c r="D558" s="29" t="n"/>
      <c r="E558" s="30" t="n"/>
      <c r="F558" s="31">
        <f>D558-E558</f>
        <v/>
      </c>
    </row>
    <row r="559">
      <c r="C559" s="42" t="n"/>
      <c r="D559" s="29" t="n"/>
      <c r="E559" s="30" t="n"/>
      <c r="F559" s="31">
        <f>D559-E559</f>
        <v/>
      </c>
    </row>
    <row r="560">
      <c r="C560" s="42" t="n"/>
      <c r="D560" s="29" t="n"/>
      <c r="E560" s="30" t="n"/>
      <c r="F560" s="31">
        <f>D560-E560</f>
        <v/>
      </c>
    </row>
    <row r="561">
      <c r="C561" s="42" t="n"/>
      <c r="D561" s="29" t="n"/>
      <c r="E561" s="30" t="n"/>
      <c r="F561" s="31">
        <f>D561-E561</f>
        <v/>
      </c>
    </row>
    <row r="562">
      <c r="C562" s="42" t="n"/>
      <c r="D562" s="29" t="n"/>
      <c r="E562" s="30" t="n"/>
      <c r="F562" s="31">
        <f>D562-E562</f>
        <v/>
      </c>
    </row>
    <row r="563">
      <c r="B563" s="43" t="n"/>
      <c r="C563" s="42" t="n"/>
      <c r="D563" s="46" t="n"/>
      <c r="E563" s="28" t="n"/>
    </row>
    <row r="564">
      <c r="C564" s="42" t="n"/>
      <c r="D564" s="29" t="n"/>
      <c r="E564" s="30" t="n"/>
      <c r="F564" s="31">
        <f>D564-E564</f>
        <v/>
      </c>
    </row>
    <row r="565">
      <c r="C565" s="42" t="n"/>
      <c r="D565" s="29" t="n"/>
      <c r="E565" s="30" t="n"/>
      <c r="F565" s="31">
        <f>D565-E565</f>
        <v/>
      </c>
    </row>
    <row r="566">
      <c r="C566" s="42" t="n"/>
      <c r="D566" s="51" t="n"/>
      <c r="E566" s="52" t="n"/>
      <c r="F566" s="31">
        <f>D566-E566</f>
        <v/>
      </c>
    </row>
    <row r="567">
      <c r="C567" s="42" t="n"/>
      <c r="D567" s="29" t="n"/>
      <c r="E567" s="30" t="n"/>
      <c r="F567" s="31">
        <f>D567-E567</f>
        <v/>
      </c>
    </row>
    <row r="568">
      <c r="C568" s="42" t="n"/>
      <c r="D568" s="29" t="n"/>
      <c r="E568" s="30" t="n"/>
      <c r="F568" s="31">
        <f>D568-E568</f>
        <v/>
      </c>
    </row>
    <row r="569">
      <c r="C569" s="42" t="n"/>
      <c r="D569" s="29" t="n"/>
      <c r="E569" s="30" t="n"/>
      <c r="F569" s="31">
        <f>D569-E569</f>
        <v/>
      </c>
    </row>
    <row r="570">
      <c r="C570" s="42" t="n"/>
      <c r="D570" s="29" t="n"/>
      <c r="E570" s="30" t="n"/>
      <c r="F570" s="31">
        <f>D570-E570</f>
        <v/>
      </c>
    </row>
    <row r="571">
      <c r="C571" s="42" t="n"/>
      <c r="D571" s="29" t="n"/>
      <c r="E571" s="30" t="n"/>
      <c r="F571" s="31">
        <f>D571-E571</f>
        <v/>
      </c>
    </row>
    <row r="572">
      <c r="C572" s="42" t="n"/>
      <c r="D572" s="29" t="n"/>
      <c r="E572" s="30" t="n"/>
      <c r="F572" s="31">
        <f>D572-E572</f>
        <v/>
      </c>
    </row>
    <row r="573">
      <c r="C573" s="42" t="n"/>
      <c r="D573" s="29" t="n"/>
      <c r="E573" s="30" t="n"/>
      <c r="F573" s="31">
        <f>D573-E573</f>
        <v/>
      </c>
    </row>
    <row r="574">
      <c r="B574" s="43" t="n"/>
      <c r="C574" s="42" t="n"/>
      <c r="D574" s="46" t="n"/>
      <c r="E574" s="28" t="n"/>
    </row>
    <row r="575">
      <c r="C575" s="42" t="n"/>
      <c r="D575" s="29" t="n"/>
      <c r="E575" s="30" t="n"/>
      <c r="F575" s="31">
        <f>D575-E575</f>
        <v/>
      </c>
    </row>
    <row r="576">
      <c r="C576" s="42" t="n"/>
      <c r="D576" s="29" t="n"/>
      <c r="E576" s="30" t="n"/>
      <c r="F576" s="31">
        <f>D576-E576</f>
        <v/>
      </c>
    </row>
    <row r="577">
      <c r="C577" s="42" t="n"/>
      <c r="D577" s="51" t="n"/>
      <c r="E577" s="52" t="n"/>
      <c r="F577" s="31">
        <f>D577-E577</f>
        <v/>
      </c>
    </row>
    <row r="578">
      <c r="C578" s="42" t="n"/>
      <c r="D578" s="29" t="n"/>
      <c r="E578" s="30" t="n"/>
      <c r="F578" s="31">
        <f>D578-E578</f>
        <v/>
      </c>
    </row>
    <row r="579">
      <c r="C579" s="42" t="n"/>
      <c r="D579" s="29" t="n"/>
      <c r="E579" s="30" t="n"/>
      <c r="F579" s="31">
        <f>D579-E579</f>
        <v/>
      </c>
    </row>
    <row r="580">
      <c r="C580" s="42" t="n"/>
      <c r="D580" s="29" t="n"/>
      <c r="E580" s="30" t="n"/>
      <c r="F580" s="31">
        <f>D580-E580</f>
        <v/>
      </c>
    </row>
    <row r="581">
      <c r="C581" s="42" t="n"/>
      <c r="D581" s="29" t="n"/>
      <c r="E581" s="30" t="n"/>
      <c r="F581" s="31">
        <f>D581-E581</f>
        <v/>
      </c>
    </row>
    <row r="582">
      <c r="C582" s="42" t="n"/>
      <c r="D582" s="29" t="n"/>
      <c r="E582" s="30" t="n"/>
      <c r="F582" s="31">
        <f>D582-E582</f>
        <v/>
      </c>
    </row>
    <row r="583">
      <c r="C583" s="42" t="n"/>
      <c r="D583" s="29" t="n"/>
      <c r="E583" s="30" t="n"/>
      <c r="F583" s="31">
        <f>D583-E583</f>
        <v/>
      </c>
    </row>
    <row r="584">
      <c r="C584" s="42" t="n"/>
      <c r="D584" s="29" t="n"/>
      <c r="E584" s="30" t="n"/>
      <c r="F584" s="31">
        <f>D584-E584</f>
        <v/>
      </c>
    </row>
    <row r="585">
      <c r="B585" s="43" t="n"/>
      <c r="C585" s="42" t="n"/>
      <c r="D585" s="46" t="n"/>
      <c r="E585" s="28" t="n"/>
    </row>
    <row r="586">
      <c r="C586" s="42" t="n"/>
      <c r="D586" s="29" t="n"/>
      <c r="E586" s="30" t="n"/>
      <c r="F586" s="31">
        <f>D586-E586</f>
        <v/>
      </c>
    </row>
    <row r="587">
      <c r="C587" s="42" t="n"/>
      <c r="D587" s="29" t="n"/>
      <c r="E587" s="30" t="n"/>
      <c r="F587" s="31">
        <f>D587-E587</f>
        <v/>
      </c>
    </row>
    <row r="588">
      <c r="C588" s="42" t="n"/>
      <c r="D588" s="51" t="n"/>
      <c r="E588" s="52" t="n"/>
      <c r="F588" s="31">
        <f>D588-E588</f>
        <v/>
      </c>
    </row>
    <row r="589">
      <c r="C589" s="42" t="n"/>
      <c r="D589" s="29" t="n"/>
      <c r="E589" s="30" t="n"/>
      <c r="F589" s="31">
        <f>D589-E589</f>
        <v/>
      </c>
    </row>
    <row r="590">
      <c r="C590" s="42" t="n"/>
      <c r="D590" s="29" t="n"/>
      <c r="E590" s="30" t="n"/>
      <c r="F590" s="31">
        <f>D590-E590</f>
        <v/>
      </c>
    </row>
    <row r="591">
      <c r="C591" s="42" t="n"/>
      <c r="D591" s="29" t="n"/>
      <c r="E591" s="30" t="n"/>
      <c r="F591" s="31">
        <f>D591-E591</f>
        <v/>
      </c>
    </row>
    <row r="592">
      <c r="C592" s="42" t="n"/>
      <c r="D592" s="29" t="n"/>
      <c r="E592" s="30" t="n"/>
      <c r="F592" s="31">
        <f>D592-E592</f>
        <v/>
      </c>
    </row>
    <row r="593">
      <c r="C593" s="42" t="n"/>
      <c r="D593" s="29" t="n"/>
      <c r="E593" s="30" t="n"/>
      <c r="F593" s="31">
        <f>D593-E593</f>
        <v/>
      </c>
    </row>
    <row r="594">
      <c r="C594" s="42" t="n"/>
      <c r="D594" s="29" t="n"/>
      <c r="E594" s="30" t="n"/>
      <c r="F594" s="31">
        <f>D594-E594</f>
        <v/>
      </c>
    </row>
    <row r="595">
      <c r="C595" s="42" t="n"/>
      <c r="D595" s="29" t="n"/>
      <c r="E595" s="30" t="n"/>
      <c r="F595" s="31">
        <f>D595-E595</f>
        <v/>
      </c>
    </row>
    <row r="596">
      <c r="B596" s="43" t="n"/>
      <c r="C596" s="42" t="n"/>
      <c r="D596" s="46" t="n"/>
      <c r="E596" s="28" t="n"/>
    </row>
    <row r="597">
      <c r="C597" s="42" t="n"/>
      <c r="D597" s="29" t="n"/>
      <c r="E597" s="30" t="n"/>
      <c r="F597" s="31">
        <f>D597-E597</f>
        <v/>
      </c>
    </row>
    <row r="598">
      <c r="C598" s="42" t="n"/>
      <c r="D598" s="29" t="n"/>
      <c r="E598" s="30" t="n"/>
      <c r="F598" s="31">
        <f>D598-E598</f>
        <v/>
      </c>
    </row>
    <row r="599">
      <c r="C599" s="42" t="n"/>
      <c r="D599" s="51" t="n"/>
      <c r="E599" s="52" t="n"/>
      <c r="F599" s="31">
        <f>D599-E599</f>
        <v/>
      </c>
    </row>
    <row r="600">
      <c r="C600" s="42" t="n"/>
      <c r="D600" s="29" t="n"/>
      <c r="E600" s="30" t="n"/>
      <c r="F600" s="31">
        <f>D600-E600</f>
        <v/>
      </c>
    </row>
    <row r="601">
      <c r="C601" s="42" t="n"/>
      <c r="D601" s="29" t="n"/>
      <c r="E601" s="30" t="n"/>
      <c r="F601" s="31">
        <f>D601-E601</f>
        <v/>
      </c>
    </row>
    <row r="602">
      <c r="C602" s="42" t="n"/>
      <c r="D602" s="29" t="n"/>
      <c r="E602" s="30" t="n"/>
      <c r="F602" s="31">
        <f>D602-E602</f>
        <v/>
      </c>
    </row>
    <row r="603">
      <c r="C603" s="42" t="n"/>
      <c r="D603" s="29" t="n"/>
      <c r="E603" s="30" t="n"/>
      <c r="F603" s="31">
        <f>D603-E603</f>
        <v/>
      </c>
    </row>
    <row r="604">
      <c r="C604" s="42" t="n"/>
      <c r="D604" s="29" t="n"/>
      <c r="E604" s="30" t="n"/>
      <c r="F604" s="31">
        <f>D604-E604</f>
        <v/>
      </c>
    </row>
    <row r="605">
      <c r="C605" s="42" t="n"/>
      <c r="D605" s="29" t="n"/>
      <c r="E605" s="30" t="n"/>
      <c r="F605" s="31">
        <f>D605-E605</f>
        <v/>
      </c>
    </row>
    <row r="606">
      <c r="C606" s="42" t="n"/>
      <c r="D606" s="29" t="n"/>
      <c r="E606" s="30" t="n"/>
      <c r="F606" s="31">
        <f>D606-E606</f>
        <v/>
      </c>
    </row>
    <row r="607">
      <c r="B607" s="43" t="n"/>
      <c r="C607" s="42" t="n"/>
      <c r="D607" s="46" t="n"/>
      <c r="E607" s="28" t="n"/>
    </row>
    <row r="608">
      <c r="C608" s="42" t="n"/>
      <c r="D608" s="29" t="n"/>
      <c r="E608" s="30" t="n"/>
      <c r="F608" s="31">
        <f>D608-E608</f>
        <v/>
      </c>
    </row>
    <row r="609">
      <c r="C609" s="42" t="n"/>
      <c r="D609" s="29" t="n"/>
      <c r="E609" s="30" t="n"/>
      <c r="F609" s="31">
        <f>D609-E609</f>
        <v/>
      </c>
    </row>
    <row r="610">
      <c r="C610" s="42" t="n"/>
      <c r="D610" s="51" t="n"/>
      <c r="E610" s="52" t="n"/>
      <c r="F610" s="31">
        <f>D610-E610</f>
        <v/>
      </c>
    </row>
    <row r="611">
      <c r="C611" s="42" t="n"/>
      <c r="D611" s="29" t="n"/>
      <c r="E611" s="30" t="n"/>
      <c r="F611" s="31">
        <f>D611-E611</f>
        <v/>
      </c>
    </row>
    <row r="612">
      <c r="C612" s="42" t="n"/>
      <c r="D612" s="29" t="n"/>
      <c r="E612" s="30" t="n"/>
      <c r="F612" s="31">
        <f>D612-E612</f>
        <v/>
      </c>
    </row>
    <row r="613">
      <c r="C613" s="42" t="n"/>
      <c r="D613" s="29" t="n"/>
      <c r="E613" s="30" t="n"/>
      <c r="F613" s="31">
        <f>D613-E613</f>
        <v/>
      </c>
    </row>
    <row r="614">
      <c r="C614" s="42" t="n"/>
      <c r="D614" s="29" t="n"/>
      <c r="E614" s="30" t="n"/>
      <c r="F614" s="31">
        <f>D614-E614</f>
        <v/>
      </c>
    </row>
    <row r="615">
      <c r="C615" s="42" t="n"/>
      <c r="D615" s="29" t="n"/>
      <c r="E615" s="30" t="n"/>
      <c r="F615" s="31">
        <f>D615-E615</f>
        <v/>
      </c>
    </row>
    <row r="616">
      <c r="C616" s="42" t="n"/>
      <c r="D616" s="29" t="n"/>
      <c r="E616" s="30" t="n"/>
      <c r="F616" s="31">
        <f>D616-E616</f>
        <v/>
      </c>
    </row>
    <row r="617">
      <c r="C617" s="42" t="n"/>
      <c r="D617" s="29" t="n"/>
      <c r="E617" s="30" t="n"/>
      <c r="F617" s="31">
        <f>D617-E617</f>
        <v/>
      </c>
    </row>
    <row r="618">
      <c r="B618" s="43" t="n"/>
      <c r="C618" s="42" t="n"/>
      <c r="D618" s="46" t="n"/>
      <c r="E618" s="28" t="n"/>
    </row>
    <row r="619">
      <c r="C619" s="42" t="n"/>
      <c r="D619" s="29" t="n"/>
      <c r="E619" s="30" t="n"/>
      <c r="F619" s="31">
        <f>D619-E619</f>
        <v/>
      </c>
    </row>
    <row r="620">
      <c r="C620" s="42" t="n"/>
      <c r="D620" s="29" t="n"/>
      <c r="E620" s="30" t="n"/>
      <c r="F620" s="31">
        <f>D620-E620</f>
        <v/>
      </c>
    </row>
    <row r="621">
      <c r="C621" s="42" t="n"/>
      <c r="D621" s="51" t="n"/>
      <c r="E621" s="52" t="n"/>
      <c r="F621" s="31">
        <f>D621-E621</f>
        <v/>
      </c>
    </row>
    <row r="622">
      <c r="C622" s="42" t="n"/>
      <c r="D622" s="29" t="n"/>
      <c r="E622" s="30" t="n"/>
      <c r="F622" s="31">
        <f>D622-E622</f>
        <v/>
      </c>
    </row>
    <row r="623">
      <c r="C623" s="42" t="n"/>
      <c r="D623" s="29" t="n"/>
      <c r="E623" s="30" t="n"/>
      <c r="F623" s="31">
        <f>D623-E623</f>
        <v/>
      </c>
    </row>
    <row r="624">
      <c r="C624" s="42" t="n"/>
      <c r="D624" s="29" t="n"/>
      <c r="E624" s="30" t="n"/>
      <c r="F624" s="31">
        <f>D624-E624</f>
        <v/>
      </c>
    </row>
    <row r="625">
      <c r="C625" s="42" t="n"/>
      <c r="D625" s="29" t="n"/>
      <c r="E625" s="30" t="n"/>
      <c r="F625" s="31">
        <f>D625-E625</f>
        <v/>
      </c>
    </row>
    <row r="626">
      <c r="C626" s="42" t="n"/>
      <c r="D626" s="29" t="n"/>
      <c r="E626" s="30" t="n"/>
      <c r="F626" s="31">
        <f>D626-E626</f>
        <v/>
      </c>
    </row>
    <row r="627">
      <c r="C627" s="42" t="n"/>
      <c r="D627" s="29" t="n"/>
      <c r="E627" s="30" t="n"/>
      <c r="F627" s="31">
        <f>D627-E627</f>
        <v/>
      </c>
    </row>
    <row r="628">
      <c r="C628" s="42" t="n"/>
      <c r="D628" s="29" t="n"/>
      <c r="E628" s="30" t="n"/>
      <c r="F628" s="31">
        <f>D628-E628</f>
        <v/>
      </c>
    </row>
  </sheetData>
  <autoFilter ref="B1:F628"/>
  <mergeCells count="58">
    <mergeCell ref="A2:B12"/>
    <mergeCell ref="B145:B155"/>
    <mergeCell ref="B167:B177"/>
    <mergeCell ref="B552:B562"/>
    <mergeCell ref="B508:B518"/>
    <mergeCell ref="B475:B485"/>
    <mergeCell ref="B244:B254"/>
    <mergeCell ref="B409:B419"/>
    <mergeCell ref="B530:B540"/>
    <mergeCell ref="B431:B441"/>
    <mergeCell ref="B387:B397"/>
    <mergeCell ref="B101:B111"/>
    <mergeCell ref="B57:B67"/>
    <mergeCell ref="B519:B529"/>
    <mergeCell ref="B563:B573"/>
    <mergeCell ref="B464:B474"/>
    <mergeCell ref="B13:B23"/>
    <mergeCell ref="B211:B221"/>
    <mergeCell ref="B376:B386"/>
    <mergeCell ref="B178:B188"/>
    <mergeCell ref="B398:B408"/>
    <mergeCell ref="B299:B309"/>
    <mergeCell ref="B112:B122"/>
    <mergeCell ref="B354:B364"/>
    <mergeCell ref="B255:B265"/>
    <mergeCell ref="B24:B34"/>
    <mergeCell ref="B453:B463"/>
    <mergeCell ref="B497:B507"/>
    <mergeCell ref="B189:B199"/>
    <mergeCell ref="A13:A23"/>
    <mergeCell ref="B574:B584"/>
    <mergeCell ref="B288:B298"/>
    <mergeCell ref="B618:B628"/>
    <mergeCell ref="B310:B320"/>
    <mergeCell ref="B343:B353"/>
    <mergeCell ref="B486:B496"/>
    <mergeCell ref="B266:B276"/>
    <mergeCell ref="B222:B232"/>
    <mergeCell ref="B123:B133"/>
    <mergeCell ref="B365:B375"/>
    <mergeCell ref="B607:B617"/>
    <mergeCell ref="B79:B89"/>
    <mergeCell ref="B35:B45"/>
    <mergeCell ref="B321:B331"/>
    <mergeCell ref="B541:B551"/>
    <mergeCell ref="B277:B287"/>
    <mergeCell ref="B585:B595"/>
    <mergeCell ref="B233:B243"/>
    <mergeCell ref="B442:B452"/>
    <mergeCell ref="B200:B210"/>
    <mergeCell ref="B134:B144"/>
    <mergeCell ref="A24:A67"/>
    <mergeCell ref="B156:B166"/>
    <mergeCell ref="B596:B606"/>
    <mergeCell ref="B90:B100"/>
    <mergeCell ref="B46:B56"/>
    <mergeCell ref="B332:B342"/>
    <mergeCell ref="B420:B4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8"/>
  <sheetViews>
    <sheetView topLeftCell="A27" workbookViewId="0">
      <selection activeCell="F2" sqref="F2"/>
    </sheetView>
  </sheetViews>
  <sheetFormatPr baseColWidth="8" defaultRowHeight="14.45"/>
  <cols>
    <col width="15.7109375" bestFit="1" customWidth="1" style="47" min="1" max="1"/>
    <col width="14.42578125" bestFit="1" customWidth="1" style="47" min="2" max="2"/>
    <col width="13.28515625" bestFit="1" customWidth="1" style="47" min="3" max="3"/>
    <col width="23.28515625" bestFit="1" customWidth="1" style="47" min="4" max="4"/>
    <col width="29.5703125" bestFit="1" customWidth="1" style="47" min="5" max="5"/>
  </cols>
  <sheetData>
    <row r="1" ht="43.5" customHeight="1" s="47">
      <c r="A1" s="46" t="inlineStr">
        <is>
          <t>State</t>
        </is>
      </c>
      <c r="B1" s="37" t="n"/>
      <c r="C1" s="46" t="inlineStr">
        <is>
          <t>Home Purchase</t>
        </is>
      </c>
      <c r="D1" s="46" t="inlineStr">
        <is>
          <t>Refinance and Cash-Out Refi</t>
        </is>
      </c>
      <c r="E1" s="46" t="inlineStr">
        <is>
          <t>Home Improvement and Home Equity</t>
        </is>
      </c>
      <c r="F1" s="15" t="inlineStr">
        <is>
          <t>Total</t>
        </is>
      </c>
      <c r="G1" s="15" t="inlineStr">
        <is>
          <t>HP 5 Year Goal</t>
        </is>
      </c>
      <c r="H1" s="15" t="inlineStr">
        <is>
          <t>Refi 5 Year Goal</t>
        </is>
      </c>
      <c r="I1" s="15" t="inlineStr">
        <is>
          <t>HI 5 Year Goal</t>
        </is>
      </c>
      <c r="J1" s="15" t="inlineStr">
        <is>
          <t>NCRC Proposal Over 5 Years</t>
        </is>
      </c>
      <c r="K1" s="15" t="inlineStr">
        <is>
          <t>Baseline Over 5 Years</t>
        </is>
      </c>
      <c r="L1" s="15" t="inlineStr">
        <is>
          <t>Total Increase in LMIB Lending</t>
        </is>
      </c>
    </row>
    <row r="2" ht="15" customHeight="1" s="47">
      <c r="A2" s="46" t="inlineStr">
        <is>
          <t>Grand Total</t>
        </is>
      </c>
      <c r="B2" s="46" t="inlineStr">
        <is>
          <t>Loans</t>
        </is>
      </c>
      <c r="C2" s="25" t="n">
        <v>73941</v>
      </c>
      <c r="D2" s="25" t="n">
        <v>172002</v>
      </c>
      <c r="E2" s="25" t="n">
        <v>162903</v>
      </c>
      <c r="F2" s="16">
        <f>SUM(C2:E2)</f>
        <v/>
      </c>
      <c r="G2" s="17" t="n">
        <v>1.1</v>
      </c>
      <c r="H2" s="17" t="n">
        <v>1.5</v>
      </c>
      <c r="I2" s="17" t="n">
        <v>1</v>
      </c>
    </row>
    <row r="3" ht="15" customHeight="1" s="47">
      <c r="B3" s="46" t="inlineStr">
        <is>
          <t>~LMICT</t>
        </is>
      </c>
      <c r="C3" s="25" t="n">
        <v>11993</v>
      </c>
      <c r="D3" s="25" t="n">
        <v>21105</v>
      </c>
      <c r="E3" s="25" t="n">
        <v>20773</v>
      </c>
      <c r="F3" s="16">
        <f>SUM(C3:E3)</f>
        <v/>
      </c>
      <c r="G3" s="53">
        <f>IFERROR(((C3/2)*G$2)*5,0)</f>
        <v/>
      </c>
      <c r="H3" s="53">
        <f>IFERROR(((D3/2)*H$2)*5,0)</f>
        <v/>
      </c>
      <c r="I3" s="53">
        <f>IFERROR(((E3/2)*I$2)*5,0)</f>
        <v/>
      </c>
      <c r="J3" s="53">
        <f>SUM(G3:I3)</f>
        <v/>
      </c>
      <c r="K3" s="8" t="n"/>
      <c r="L3" s="8" t="n"/>
    </row>
    <row r="4" ht="15" customHeight="1" s="47">
      <c r="B4" s="46" t="inlineStr">
        <is>
          <t>~LMIB</t>
        </is>
      </c>
      <c r="C4" s="25" t="n">
        <v>19183</v>
      </c>
      <c r="D4" s="25" t="n">
        <v>43903</v>
      </c>
      <c r="E4" s="25" t="n">
        <v>36560</v>
      </c>
      <c r="F4" s="16">
        <f>SUM(C4:E4)</f>
        <v/>
      </c>
      <c r="G4" s="53">
        <f>IFERROR(((C4/2)*G$2)*5,0)</f>
        <v/>
      </c>
      <c r="H4" s="53">
        <f>IFERROR(((D4/2)*H$2)*5,0)</f>
        <v/>
      </c>
      <c r="I4" s="53">
        <f>IFERROR(((E4/2)*I$2)*5,0)</f>
        <v/>
      </c>
      <c r="J4" s="53">
        <f>SUM(G4:I4)</f>
        <v/>
      </c>
      <c r="K4" s="8" t="n"/>
      <c r="L4" s="8" t="n"/>
    </row>
    <row r="5" ht="15" customHeight="1" s="47">
      <c r="B5" s="46" t="inlineStr">
        <is>
          <t>LMIB$</t>
        </is>
      </c>
      <c r="C5" s="51" t="n">
        <v>3501305000</v>
      </c>
      <c r="D5" s="51" t="n">
        <v>5840065000</v>
      </c>
      <c r="E5" s="51" t="n">
        <v>2894110000</v>
      </c>
      <c r="F5" s="16">
        <f>SUM(C5:E5)</f>
        <v/>
      </c>
      <c r="G5" s="54">
        <f>IFERROR(((C5/2)*G$2)*5,0)</f>
        <v/>
      </c>
      <c r="H5" s="54">
        <f>IFERROR(((D5/2)*H$2)*5,0)</f>
        <v/>
      </c>
      <c r="I5" s="54">
        <f>IFERROR(((E5/2)*I$2)*5,0)</f>
        <v/>
      </c>
      <c r="J5" s="55">
        <f>SUM(G5:I5)</f>
        <v/>
      </c>
      <c r="K5" s="56">
        <f>IFERROR((F5/6)*5,0)</f>
        <v/>
      </c>
      <c r="L5" s="54">
        <f>J5-K5</f>
        <v/>
      </c>
    </row>
    <row r="6" ht="15" customHeight="1" s="47">
      <c r="B6" s="46" t="inlineStr">
        <is>
          <t>~MMCT</t>
        </is>
      </c>
      <c r="C6" s="25" t="n">
        <v>14608</v>
      </c>
      <c r="D6" s="25" t="n">
        <v>24176</v>
      </c>
      <c r="E6" s="25" t="n">
        <v>26740</v>
      </c>
      <c r="F6" s="16">
        <f>SUM(C6:E6)</f>
        <v/>
      </c>
      <c r="G6" s="53">
        <f>IFERROR(((C6/2)*G$2)*5,0)</f>
        <v/>
      </c>
      <c r="H6" s="53">
        <f>IFERROR(((D6/2)*H$2)*5,0)</f>
        <v/>
      </c>
      <c r="I6" s="53">
        <f>IFERROR(((E6/2)*I$2)*5,0)</f>
        <v/>
      </c>
      <c r="J6" s="53">
        <f>SUM(G6:I6)</f>
        <v/>
      </c>
      <c r="K6" s="8" t="n"/>
    </row>
    <row r="7" ht="15" customHeight="1" s="47">
      <c r="B7" s="46" t="inlineStr">
        <is>
          <t>~MINB</t>
        </is>
      </c>
      <c r="C7" s="25" t="n">
        <v>18482</v>
      </c>
      <c r="D7" s="25" t="n">
        <v>25205</v>
      </c>
      <c r="E7" s="25" t="n">
        <v>28832</v>
      </c>
      <c r="F7" s="16">
        <f>SUM(C7:E7)</f>
        <v/>
      </c>
      <c r="G7" s="53">
        <f>IFERROR(((C7/2)*G$2)*5,0)</f>
        <v/>
      </c>
      <c r="H7" s="53">
        <f>IFERROR(((D7/2)*H$2)*5,0)</f>
        <v/>
      </c>
      <c r="I7" s="53">
        <f>IFERROR(((E7/2)*I$2)*5,0)</f>
        <v/>
      </c>
      <c r="J7" s="53">
        <f>SUM(G7:I7)</f>
        <v/>
      </c>
      <c r="K7" s="8" t="n"/>
    </row>
    <row r="8" ht="15" customHeight="1" s="47">
      <c r="B8" s="46" t="inlineStr">
        <is>
          <t>~Asian</t>
        </is>
      </c>
      <c r="C8" s="25" t="n">
        <v>9977</v>
      </c>
      <c r="D8" s="25" t="n">
        <v>9872</v>
      </c>
      <c r="E8" s="25" t="n">
        <v>8748</v>
      </c>
      <c r="F8" s="16">
        <f>SUM(C8:E8)</f>
        <v/>
      </c>
      <c r="G8" s="53">
        <f>IFERROR(((C8/2)*G$2)*5,0)</f>
        <v/>
      </c>
      <c r="H8" s="53">
        <f>IFERROR(((D8/2)*H$2)*5,0)</f>
        <v/>
      </c>
      <c r="I8" s="53">
        <f>IFERROR(((E8/2)*I$2)*5,0)</f>
        <v/>
      </c>
      <c r="J8" s="53">
        <f>SUM(G8:I8)</f>
        <v/>
      </c>
      <c r="K8" s="8" t="n"/>
    </row>
    <row r="9" ht="15" customHeight="1" s="47">
      <c r="B9" s="46" t="inlineStr">
        <is>
          <t>~Black</t>
        </is>
      </c>
      <c r="C9" s="25" t="n">
        <v>3180</v>
      </c>
      <c r="D9" s="25" t="n">
        <v>7050</v>
      </c>
      <c r="E9" s="25" t="n">
        <v>8073</v>
      </c>
      <c r="F9" s="16">
        <f>SUM(C9:E9)</f>
        <v/>
      </c>
      <c r="G9" s="53">
        <f>IFERROR(((C9/2)*G$2)*5,0)</f>
        <v/>
      </c>
      <c r="H9" s="53">
        <f>IFERROR(((D9/2)*H$2)*5,0)</f>
        <v/>
      </c>
      <c r="I9" s="53">
        <f>IFERROR(((E9/2)*I$2)*5,0)</f>
        <v/>
      </c>
      <c r="J9" s="53">
        <f>SUM(G9:I9)</f>
        <v/>
      </c>
      <c r="K9" s="8" t="n"/>
    </row>
    <row r="10" ht="15" customHeight="1" s="47">
      <c r="B10" s="46" t="inlineStr">
        <is>
          <t>~Native American</t>
        </is>
      </c>
      <c r="C10" s="46" t="n">
        <v>167</v>
      </c>
      <c r="D10" s="46" t="n">
        <v>375</v>
      </c>
      <c r="E10" s="46" t="n">
        <v>564</v>
      </c>
      <c r="F10" s="16">
        <f>SUM(C10:E10)</f>
        <v/>
      </c>
      <c r="G10" s="53">
        <f>IFERROR(((C10/2)*G$2)*5,0)</f>
        <v/>
      </c>
      <c r="H10" s="53">
        <f>IFERROR(((D10/2)*H$2)*5,0)</f>
        <v/>
      </c>
      <c r="I10" s="53">
        <f>IFERROR(((E10/2)*I$2)*5,0)</f>
        <v/>
      </c>
      <c r="J10" s="53">
        <f>SUM(G10:I10)</f>
        <v/>
      </c>
      <c r="K10" s="8" t="n"/>
    </row>
    <row r="11" ht="15" customHeight="1" s="47">
      <c r="B11" s="46" t="inlineStr">
        <is>
          <t>~HoPI</t>
        </is>
      </c>
      <c r="C11" s="46" t="n">
        <v>46</v>
      </c>
      <c r="D11" s="46" t="n">
        <v>153</v>
      </c>
      <c r="E11" s="46" t="n">
        <v>234</v>
      </c>
      <c r="F11" s="16">
        <f>SUM(C11:E11)</f>
        <v/>
      </c>
      <c r="G11" s="53">
        <f>IFERROR(((C11/2)*G$2)*5,0)</f>
        <v/>
      </c>
      <c r="H11" s="53">
        <f>IFERROR(((D11/2)*H$2)*5,0)</f>
        <v/>
      </c>
      <c r="I11" s="53">
        <f>IFERROR(((E11/2)*I$2)*5,0)</f>
        <v/>
      </c>
      <c r="J11" s="53">
        <f>SUM(G11:I11)</f>
        <v/>
      </c>
      <c r="K11" s="8" t="n"/>
    </row>
    <row r="12" ht="15" customHeight="1" s="47">
      <c r="B12" s="46" t="inlineStr">
        <is>
          <t>~Hispanic</t>
        </is>
      </c>
      <c r="C12" s="25" t="n">
        <v>5112</v>
      </c>
      <c r="D12" s="25" t="n">
        <v>7755</v>
      </c>
      <c r="E12" s="25" t="n">
        <v>11213</v>
      </c>
      <c r="F12" s="16">
        <f>SUM(C12:E12)</f>
        <v/>
      </c>
      <c r="G12" s="53">
        <f>IFERROR(((C12/2)*G$2)*5,0)</f>
        <v/>
      </c>
      <c r="H12" s="53">
        <f>IFERROR(((D12/2)*H$2)*5,0)</f>
        <v/>
      </c>
      <c r="I12" s="53">
        <f>IFERROR(((E12/2)*I$2)*5,0)</f>
        <v/>
      </c>
      <c r="J12" s="53">
        <f>SUM(G12:I12)</f>
        <v/>
      </c>
      <c r="K12" s="8" t="n"/>
    </row>
    <row r="13" ht="15" customHeight="1" s="47">
      <c r="A13" s="46" t="inlineStr">
        <is>
          <t>Alabama</t>
        </is>
      </c>
      <c r="B13" s="46" t="inlineStr">
        <is>
          <t>Loans</t>
        </is>
      </c>
      <c r="C13" s="25" t="n">
        <v>834</v>
      </c>
      <c r="D13" s="25" t="n">
        <v>2735</v>
      </c>
      <c r="E13" s="25" t="n">
        <v>2880</v>
      </c>
      <c r="F13" s="16">
        <f>SUM(C13:E13)</f>
        <v/>
      </c>
      <c r="G13" s="17" t="n"/>
      <c r="H13" s="17" t="n"/>
      <c r="I13" s="17" t="n"/>
    </row>
    <row r="14" ht="15" customHeight="1" s="47">
      <c r="B14" s="46" t="inlineStr">
        <is>
          <t>~LMICT</t>
        </is>
      </c>
      <c r="C14" s="46" t="n">
        <v>154</v>
      </c>
      <c r="D14" s="46" t="n">
        <v>424</v>
      </c>
      <c r="E14" s="46" t="n">
        <v>455</v>
      </c>
      <c r="F14" s="16">
        <f>SUM(C14:E14)</f>
        <v/>
      </c>
      <c r="G14" s="53">
        <f>IFERROR(((C14/2)*G$2)*5,0)</f>
        <v/>
      </c>
      <c r="H14" s="53">
        <f>IFERROR(((D14/2)*H$2)*5,0)</f>
        <v/>
      </c>
      <c r="I14" s="53">
        <f>IFERROR(((E14/2)*I$2)*5,0)</f>
        <v/>
      </c>
      <c r="J14" s="53">
        <f>SUM(G14:I14)</f>
        <v/>
      </c>
      <c r="K14" s="8" t="n"/>
      <c r="L14" s="8" t="n"/>
    </row>
    <row r="15" ht="15" customHeight="1" s="47">
      <c r="B15" s="46" t="inlineStr">
        <is>
          <t>~LMIB</t>
        </is>
      </c>
      <c r="C15" s="46" t="n">
        <v>315</v>
      </c>
      <c r="D15" s="46" t="n">
        <v>907</v>
      </c>
      <c r="E15" s="46" t="n">
        <v>864</v>
      </c>
      <c r="F15" s="16">
        <f>SUM(C15:E15)</f>
        <v/>
      </c>
      <c r="G15" s="53">
        <f>IFERROR(((C15/2)*G$2)*5,0)</f>
        <v/>
      </c>
      <c r="H15" s="53">
        <f>IFERROR(((D15/2)*H$2)*5,0)</f>
        <v/>
      </c>
      <c r="I15" s="53">
        <f>IFERROR(((E15/2)*I$2)*5,0)</f>
        <v/>
      </c>
      <c r="J15" s="53">
        <f>SUM(G15:I15)</f>
        <v/>
      </c>
      <c r="K15" s="8" t="n"/>
      <c r="L15" s="8" t="n"/>
    </row>
    <row r="16" ht="15" customHeight="1" s="47">
      <c r="B16" s="46" t="inlineStr">
        <is>
          <t>LMIB$</t>
        </is>
      </c>
      <c r="C16" s="51" t="n">
        <v>46895000</v>
      </c>
      <c r="D16" s="51" t="n">
        <v>96575000</v>
      </c>
      <c r="E16" s="51" t="n">
        <v>61440000</v>
      </c>
      <c r="F16" s="16">
        <f>SUM(C16:E16)</f>
        <v/>
      </c>
      <c r="G16" s="54">
        <f>IFERROR(((C16/2)*G$2)*5,0)</f>
        <v/>
      </c>
      <c r="H16" s="54">
        <f>IFERROR(((D16/2)*H$2)*5,0)</f>
        <v/>
      </c>
      <c r="I16" s="54">
        <f>IFERROR(((E16/2)*I$2)*5,0)</f>
        <v/>
      </c>
      <c r="J16" s="55">
        <f>SUM(G16:I16)</f>
        <v/>
      </c>
      <c r="K16" s="56">
        <f>IFERROR((F16/6)*5,0)</f>
        <v/>
      </c>
      <c r="L16" s="54">
        <f>J16-K16</f>
        <v/>
      </c>
    </row>
    <row r="17" ht="15" customHeight="1" s="47">
      <c r="B17" s="46" t="inlineStr">
        <is>
          <t>~MMCT</t>
        </is>
      </c>
      <c r="C17" s="46" t="n">
        <v>157</v>
      </c>
      <c r="D17" s="46" t="n">
        <v>412</v>
      </c>
      <c r="E17" s="46" t="n">
        <v>404</v>
      </c>
      <c r="F17" s="16">
        <f>SUM(C17:E17)</f>
        <v/>
      </c>
      <c r="G17" s="53">
        <f>IFERROR(((C17/2)*G$2)*5,0)</f>
        <v/>
      </c>
      <c r="H17" s="53">
        <f>IFERROR(((D17/2)*H$2)*5,0)</f>
        <v/>
      </c>
      <c r="I17" s="53">
        <f>IFERROR(((E17/2)*I$2)*5,0)</f>
        <v/>
      </c>
      <c r="J17" s="53">
        <f>SUM(G17:I17)</f>
        <v/>
      </c>
      <c r="K17" s="8" t="n"/>
    </row>
    <row r="18" ht="15" customHeight="1" s="47">
      <c r="B18" s="46" t="inlineStr">
        <is>
          <t>~MINB</t>
        </is>
      </c>
      <c r="C18" s="46" t="n">
        <v>229</v>
      </c>
      <c r="D18" s="46" t="n">
        <v>521</v>
      </c>
      <c r="E18" s="46" t="n">
        <v>594</v>
      </c>
      <c r="F18" s="16">
        <f>SUM(C18:E18)</f>
        <v/>
      </c>
      <c r="G18" s="53">
        <f>IFERROR(((C18/2)*G$2)*5,0)</f>
        <v/>
      </c>
      <c r="H18" s="53">
        <f>IFERROR(((D18/2)*H$2)*5,0)</f>
        <v/>
      </c>
      <c r="I18" s="53">
        <f>IFERROR(((E18/2)*I$2)*5,0)</f>
        <v/>
      </c>
      <c r="J18" s="53">
        <f>SUM(G18:I18)</f>
        <v/>
      </c>
      <c r="K18" s="8" t="n"/>
    </row>
    <row r="19" ht="15" customHeight="1" s="47">
      <c r="B19" s="46" t="inlineStr">
        <is>
          <t>~Asian</t>
        </is>
      </c>
      <c r="C19" s="46" t="n">
        <v>48</v>
      </c>
      <c r="D19" s="46" t="n">
        <v>53</v>
      </c>
      <c r="E19" s="46" t="n">
        <v>54</v>
      </c>
      <c r="F19" s="16">
        <f>SUM(C19:E19)</f>
        <v/>
      </c>
      <c r="G19" s="53">
        <f>IFERROR(((C19/2)*G$2)*5,0)</f>
        <v/>
      </c>
      <c r="H19" s="53">
        <f>IFERROR(((D19/2)*H$2)*5,0)</f>
        <v/>
      </c>
      <c r="I19" s="53">
        <f>IFERROR(((E19/2)*I$2)*5,0)</f>
        <v/>
      </c>
      <c r="J19" s="53">
        <f>SUM(G19:I19)</f>
        <v/>
      </c>
      <c r="K19" s="8" t="n"/>
    </row>
    <row r="20" ht="15" customHeight="1" s="47">
      <c r="B20" s="46" t="inlineStr">
        <is>
          <t>~Black</t>
        </is>
      </c>
      <c r="C20" s="46" t="n">
        <v>125</v>
      </c>
      <c r="D20" s="46" t="n">
        <v>389</v>
      </c>
      <c r="E20" s="46" t="n">
        <v>446</v>
      </c>
      <c r="F20" s="16">
        <f>SUM(C20:E20)</f>
        <v/>
      </c>
      <c r="G20" s="53">
        <f>IFERROR(((C20/2)*G$2)*5,0)</f>
        <v/>
      </c>
      <c r="H20" s="53">
        <f>IFERROR(((D20/2)*H$2)*5,0)</f>
        <v/>
      </c>
      <c r="I20" s="53">
        <f>IFERROR(((E20/2)*I$2)*5,0)</f>
        <v/>
      </c>
      <c r="J20" s="53">
        <f>SUM(G20:I20)</f>
        <v/>
      </c>
      <c r="K20" s="8" t="n"/>
    </row>
    <row r="21" ht="15" customHeight="1" s="47">
      <c r="B21" s="46" t="inlineStr">
        <is>
          <t>~Native American</t>
        </is>
      </c>
      <c r="C21" s="46" t="n">
        <v>9</v>
      </c>
      <c r="D21" s="46" t="n">
        <v>13</v>
      </c>
      <c r="E21" s="46" t="n">
        <v>12</v>
      </c>
      <c r="F21" s="16">
        <f>SUM(C21:E21)</f>
        <v/>
      </c>
      <c r="G21" s="53">
        <f>IFERROR(((C21/2)*G$2)*5,0)</f>
        <v/>
      </c>
      <c r="H21" s="53">
        <f>IFERROR(((D21/2)*H$2)*5,0)</f>
        <v/>
      </c>
      <c r="I21" s="53">
        <f>IFERROR(((E21/2)*I$2)*5,0)</f>
        <v/>
      </c>
      <c r="J21" s="53">
        <f>SUM(G21:I21)</f>
        <v/>
      </c>
      <c r="K21" s="8" t="n"/>
    </row>
    <row r="22" ht="15" customHeight="1" s="47">
      <c r="B22" s="46" t="inlineStr">
        <is>
          <t>~HoPI</t>
        </is>
      </c>
      <c r="C22" s="46" t="n">
        <v>0</v>
      </c>
      <c r="D22" s="46" t="n">
        <v>3</v>
      </c>
      <c r="E22" s="46" t="n">
        <v>4</v>
      </c>
      <c r="F22" s="16">
        <f>SUM(C22:E22)</f>
        <v/>
      </c>
      <c r="G22" s="53">
        <f>IFERROR(((C22/2)*G$2)*5,0)</f>
        <v/>
      </c>
      <c r="H22" s="53">
        <f>IFERROR(((D22/2)*H$2)*5,0)</f>
        <v/>
      </c>
      <c r="I22" s="53">
        <f>IFERROR(((E22/2)*I$2)*5,0)</f>
        <v/>
      </c>
      <c r="J22" s="53">
        <f>SUM(G22:I22)</f>
        <v/>
      </c>
      <c r="K22" s="8" t="n"/>
    </row>
    <row r="23" ht="15" customHeight="1" s="47">
      <c r="B23" s="46" t="inlineStr">
        <is>
          <t>~Hispanic</t>
        </is>
      </c>
      <c r="C23" s="46" t="n">
        <v>47</v>
      </c>
      <c r="D23" s="46" t="n">
        <v>63</v>
      </c>
      <c r="E23" s="46" t="n">
        <v>78</v>
      </c>
      <c r="F23" s="16">
        <f>SUM(C23:E23)</f>
        <v/>
      </c>
      <c r="G23" s="53">
        <f>IFERROR(((C23/2)*G$2)*5,0)</f>
        <v/>
      </c>
      <c r="H23" s="53">
        <f>IFERROR(((D23/2)*H$2)*5,0)</f>
        <v/>
      </c>
      <c r="I23" s="53">
        <f>IFERROR(((E23/2)*I$2)*5,0)</f>
        <v/>
      </c>
      <c r="J23" s="53">
        <f>SUM(G23:I23)</f>
        <v/>
      </c>
      <c r="K23" s="8" t="n"/>
    </row>
    <row r="24" ht="15" customHeight="1" s="47">
      <c r="A24" s="46" t="inlineStr">
        <is>
          <t>Arizona</t>
        </is>
      </c>
      <c r="B24" s="46" t="inlineStr">
        <is>
          <t>Loans</t>
        </is>
      </c>
      <c r="C24" s="25" t="n">
        <v>881</v>
      </c>
      <c r="D24" s="25" t="n">
        <v>1649</v>
      </c>
      <c r="E24" s="25" t="n">
        <v>2436</v>
      </c>
      <c r="F24" s="16">
        <f>SUM(C24:E24)</f>
        <v/>
      </c>
      <c r="G24" s="17" t="n"/>
      <c r="H24" s="17" t="n"/>
      <c r="I24" s="17" t="n"/>
    </row>
    <row r="25" ht="15" customHeight="1" s="47">
      <c r="B25" s="46" t="inlineStr">
        <is>
          <t>~LMICT</t>
        </is>
      </c>
      <c r="C25" s="46" t="n">
        <v>165</v>
      </c>
      <c r="D25" s="46" t="n">
        <v>254</v>
      </c>
      <c r="E25" s="46" t="n">
        <v>384</v>
      </c>
      <c r="F25" s="16">
        <f>SUM(C25:E25)</f>
        <v/>
      </c>
      <c r="G25" s="53">
        <f>IFERROR(((C25/2)*G$2)*5,0)</f>
        <v/>
      </c>
      <c r="H25" s="53">
        <f>IFERROR(((D25/2)*H$2)*5,0)</f>
        <v/>
      </c>
      <c r="I25" s="53">
        <f>IFERROR(((E25/2)*I$2)*5,0)</f>
        <v/>
      </c>
      <c r="J25" s="8">
        <f>SUM(G25:I25)</f>
        <v/>
      </c>
      <c r="K25" s="8" t="n"/>
      <c r="L25" s="8" t="n"/>
    </row>
    <row r="26" ht="15" customHeight="1" s="47">
      <c r="B26" s="46" t="inlineStr">
        <is>
          <t>~LMIB</t>
        </is>
      </c>
      <c r="C26" s="46" t="n">
        <v>193</v>
      </c>
      <c r="D26" s="46" t="n">
        <v>491</v>
      </c>
      <c r="E26" s="46" t="n">
        <v>638</v>
      </c>
      <c r="F26" s="16">
        <f>SUM(C26:E26)</f>
        <v/>
      </c>
      <c r="G26" s="53">
        <f>IFERROR(((C26/2)*G$2)*5,0)</f>
        <v/>
      </c>
      <c r="H26" s="53">
        <f>IFERROR(((D26/2)*H$2)*5,0)</f>
        <v/>
      </c>
      <c r="I26" s="53">
        <f>IFERROR(((E26/2)*I$2)*5,0)</f>
        <v/>
      </c>
      <c r="J26" s="8">
        <f>SUM(G26:I26)</f>
        <v/>
      </c>
      <c r="K26" s="8" t="n"/>
      <c r="L26" s="8" t="n"/>
    </row>
    <row r="27" ht="15" customHeight="1" s="47">
      <c r="B27" s="46" t="inlineStr">
        <is>
          <t>LMIB$</t>
        </is>
      </c>
      <c r="C27" s="51" t="n">
        <v>51845000</v>
      </c>
      <c r="D27" s="51" t="n">
        <v>74835000</v>
      </c>
      <c r="E27" s="51" t="n">
        <v>52340000</v>
      </c>
      <c r="F27" s="16">
        <f>SUM(C27:E27)</f>
        <v/>
      </c>
      <c r="G27" s="54">
        <f>IFERROR(((C27/2)*G$2)*5,0)</f>
        <v/>
      </c>
      <c r="H27" s="54">
        <f>IFERROR(((D27/2)*H$2)*5,0)</f>
        <v/>
      </c>
      <c r="I27" s="54">
        <f>IFERROR(((E27/2)*I$2)*5,0)</f>
        <v/>
      </c>
      <c r="J27" s="55">
        <f>SUM(G27:I27)</f>
        <v/>
      </c>
      <c r="K27" s="56">
        <f>IFERROR((F27/6)*5,0)</f>
        <v/>
      </c>
      <c r="L27" s="54">
        <f>J27-K27</f>
        <v/>
      </c>
    </row>
    <row r="28" ht="15" customHeight="1" s="47">
      <c r="B28" s="46" t="inlineStr">
        <is>
          <t>~MMCT</t>
        </is>
      </c>
      <c r="C28" s="46" t="n">
        <v>159</v>
      </c>
      <c r="D28" s="46" t="n">
        <v>294</v>
      </c>
      <c r="E28" s="46" t="n">
        <v>426</v>
      </c>
      <c r="F28" s="16">
        <f>SUM(C28:E28)</f>
        <v/>
      </c>
      <c r="G28" s="53">
        <f>IFERROR(((C28/2)*G$2)*5,0)</f>
        <v/>
      </c>
      <c r="H28" s="53">
        <f>IFERROR(((D28/2)*H$2)*5,0)</f>
        <v/>
      </c>
      <c r="I28" s="53">
        <f>IFERROR(((E28/2)*I$2)*5,0)</f>
        <v/>
      </c>
      <c r="J28" s="8">
        <f>SUM(G28:I28)</f>
        <v/>
      </c>
      <c r="K28" s="8" t="n"/>
    </row>
    <row r="29" ht="15" customHeight="1" s="47">
      <c r="B29" s="46" t="inlineStr">
        <is>
          <t>~MINB</t>
        </is>
      </c>
      <c r="C29" s="46" t="n">
        <v>275</v>
      </c>
      <c r="D29" s="46" t="n">
        <v>400</v>
      </c>
      <c r="E29" s="46" t="n">
        <v>666</v>
      </c>
      <c r="F29" s="16">
        <f>SUM(C29:E29)</f>
        <v/>
      </c>
      <c r="G29" s="53">
        <f>IFERROR(((C29/2)*G$2)*5,0)</f>
        <v/>
      </c>
      <c r="H29" s="53">
        <f>IFERROR(((D29/2)*H$2)*5,0)</f>
        <v/>
      </c>
      <c r="I29" s="53">
        <f>IFERROR(((E29/2)*I$2)*5,0)</f>
        <v/>
      </c>
      <c r="J29" s="8">
        <f>SUM(G29:I29)</f>
        <v/>
      </c>
      <c r="K29" s="8" t="n"/>
    </row>
    <row r="30" ht="15" customHeight="1" s="47">
      <c r="B30" s="46" t="inlineStr">
        <is>
          <t>~Asian</t>
        </is>
      </c>
      <c r="C30" s="46" t="n">
        <v>93</v>
      </c>
      <c r="D30" s="46" t="n">
        <v>86</v>
      </c>
      <c r="E30" s="46" t="n">
        <v>130</v>
      </c>
      <c r="F30" s="16">
        <f>SUM(C30:E30)</f>
        <v/>
      </c>
      <c r="G30" s="53">
        <f>IFERROR(((C30/2)*G$2)*5,0)</f>
        <v/>
      </c>
      <c r="H30" s="53">
        <f>IFERROR(((D30/2)*H$2)*5,0)</f>
        <v/>
      </c>
      <c r="I30" s="53">
        <f>IFERROR(((E30/2)*I$2)*5,0)</f>
        <v/>
      </c>
      <c r="J30" s="8">
        <f>SUM(G30:I30)</f>
        <v/>
      </c>
      <c r="K30" s="8" t="n"/>
    </row>
    <row r="31" ht="15" customHeight="1" s="47">
      <c r="B31" s="46" t="inlineStr">
        <is>
          <t>~Black</t>
        </is>
      </c>
      <c r="C31" s="46" t="n">
        <v>25</v>
      </c>
      <c r="D31" s="46" t="n">
        <v>44</v>
      </c>
      <c r="E31" s="46" t="n">
        <v>97</v>
      </c>
      <c r="F31" s="16">
        <f>SUM(C31:E31)</f>
        <v/>
      </c>
      <c r="G31" s="53">
        <f>IFERROR(((C31/2)*G$2)*5,0)</f>
        <v/>
      </c>
      <c r="H31" s="53">
        <f>IFERROR(((D31/2)*H$2)*5,0)</f>
        <v/>
      </c>
      <c r="I31" s="53">
        <f>IFERROR(((E31/2)*I$2)*5,0)</f>
        <v/>
      </c>
      <c r="J31" s="8">
        <f>SUM(G31:I31)</f>
        <v/>
      </c>
      <c r="K31" s="8" t="n"/>
    </row>
    <row r="32" ht="15" customHeight="1" s="47">
      <c r="B32" s="46" t="inlineStr">
        <is>
          <t>~Native American</t>
        </is>
      </c>
      <c r="C32" s="46" t="n">
        <v>3</v>
      </c>
      <c r="D32" s="46" t="n">
        <v>10</v>
      </c>
      <c r="E32" s="46" t="n">
        <v>18</v>
      </c>
      <c r="F32" s="16">
        <f>SUM(C32:E32)</f>
        <v/>
      </c>
      <c r="G32" s="53">
        <f>IFERROR(((C32/2)*G$2)*5,0)</f>
        <v/>
      </c>
      <c r="H32" s="53">
        <f>IFERROR(((D32/2)*H$2)*5,0)</f>
        <v/>
      </c>
      <c r="I32" s="53">
        <f>IFERROR(((E32/2)*I$2)*5,0)</f>
        <v/>
      </c>
      <c r="J32" s="8">
        <f>SUM(G32:I32)</f>
        <v/>
      </c>
      <c r="K32" s="8" t="n"/>
    </row>
    <row r="33" ht="15" customHeight="1" s="47">
      <c r="B33" s="46" t="inlineStr">
        <is>
          <t>~HoPI</t>
        </is>
      </c>
      <c r="C33" s="46" t="n">
        <v>2</v>
      </c>
      <c r="D33" s="46" t="n">
        <v>3</v>
      </c>
      <c r="E33" s="46" t="n">
        <v>6</v>
      </c>
      <c r="F33" s="16">
        <f>SUM(C33:E33)</f>
        <v/>
      </c>
      <c r="G33" s="53">
        <f>IFERROR(((C33/2)*G$2)*5,0)</f>
        <v/>
      </c>
      <c r="H33" s="53">
        <f>IFERROR(((D33/2)*H$2)*5,0)</f>
        <v/>
      </c>
      <c r="I33" s="53">
        <f>IFERROR(((E33/2)*I$2)*5,0)</f>
        <v/>
      </c>
      <c r="J33" s="8">
        <f>SUM(G33:I33)</f>
        <v/>
      </c>
      <c r="K33" s="8" t="n"/>
    </row>
    <row r="34" ht="15" customHeight="1" s="47">
      <c r="B34" s="46" t="inlineStr">
        <is>
          <t>~Hispanic</t>
        </is>
      </c>
      <c r="C34" s="46" t="n">
        <v>152</v>
      </c>
      <c r="D34" s="46" t="n">
        <v>257</v>
      </c>
      <c r="E34" s="46" t="n">
        <v>415</v>
      </c>
      <c r="F34" s="16">
        <f>SUM(C34:E34)</f>
        <v/>
      </c>
      <c r="G34" s="53">
        <f>IFERROR(((C34/2)*G$2)*5,0)</f>
        <v/>
      </c>
      <c r="H34" s="53">
        <f>IFERROR(((D34/2)*H$2)*5,0)</f>
        <v/>
      </c>
      <c r="I34" s="53">
        <f>IFERROR(((E34/2)*I$2)*5,0)</f>
        <v/>
      </c>
      <c r="J34" s="8">
        <f>SUM(G34:I34)</f>
        <v/>
      </c>
      <c r="K34" s="8" t="n"/>
    </row>
    <row r="35" ht="15" customHeight="1" s="47">
      <c r="A35" s="46" t="inlineStr">
        <is>
          <t>California</t>
        </is>
      </c>
      <c r="B35" s="46" t="inlineStr">
        <is>
          <t>Loans</t>
        </is>
      </c>
      <c r="C35" s="25" t="n">
        <v>87</v>
      </c>
      <c r="D35" s="25" t="n">
        <v>132</v>
      </c>
      <c r="E35" s="25" t="n">
        <v>128</v>
      </c>
      <c r="F35" s="16">
        <f>SUM(C35:E35)</f>
        <v/>
      </c>
      <c r="G35" s="17" t="n"/>
      <c r="H35" s="17" t="n"/>
      <c r="I35" s="17" t="n"/>
    </row>
    <row r="36" ht="15" customHeight="1" s="47">
      <c r="B36" s="46" t="inlineStr">
        <is>
          <t>~LMICT</t>
        </is>
      </c>
      <c r="C36" s="25" t="n">
        <v>1087</v>
      </c>
      <c r="D36" s="25" t="n">
        <v>1056</v>
      </c>
      <c r="E36" s="46" t="n">
        <v>947</v>
      </c>
      <c r="F36" s="16">
        <f>SUM(C36:E36)</f>
        <v/>
      </c>
      <c r="G36" s="53">
        <f>IFERROR(((C36/2)*G$2)*5,0)</f>
        <v/>
      </c>
      <c r="H36" s="53">
        <f>IFERROR(((D36/2)*H$2)*5,0)</f>
        <v/>
      </c>
      <c r="I36" s="53">
        <f>IFERROR(((E36/2)*I$2)*5,0)</f>
        <v/>
      </c>
      <c r="J36" s="8">
        <f>SUM(G36:I36)</f>
        <v/>
      </c>
      <c r="K36" s="8" t="n"/>
      <c r="L36" s="8" t="n"/>
    </row>
    <row r="37" ht="15" customHeight="1" s="47">
      <c r="B37" s="46" t="inlineStr">
        <is>
          <t>~LMIB</t>
        </is>
      </c>
      <c r="C37" s="46" t="n">
        <v>242</v>
      </c>
      <c r="D37" s="46" t="n">
        <v>808</v>
      </c>
      <c r="E37" s="46" t="n">
        <v>685</v>
      </c>
      <c r="F37" s="16">
        <f>SUM(C37:E37)</f>
        <v/>
      </c>
      <c r="G37" s="53">
        <f>IFERROR(((C37/2)*G$2)*5,0)</f>
        <v/>
      </c>
      <c r="H37" s="53">
        <f>IFERROR(((D37/2)*H$2)*5,0)</f>
        <v/>
      </c>
      <c r="I37" s="53">
        <f>IFERROR(((E37/2)*I$2)*5,0)</f>
        <v/>
      </c>
      <c r="J37" s="8">
        <f>SUM(G37:I37)</f>
        <v/>
      </c>
      <c r="K37" s="8" t="n"/>
      <c r="L37" s="8" t="n"/>
    </row>
    <row r="38" ht="15" customHeight="1" s="47">
      <c r="B38" s="46" t="inlineStr">
        <is>
          <t>LMIB$</t>
        </is>
      </c>
      <c r="C38" s="51" t="n">
        <v>103810000</v>
      </c>
      <c r="D38" s="51" t="n">
        <v>231710000</v>
      </c>
      <c r="E38" s="51" t="n">
        <v>80035000</v>
      </c>
      <c r="F38" s="16">
        <f>SUM(C38:E38)</f>
        <v/>
      </c>
      <c r="G38" s="54">
        <f>IFERROR(((C38/2)*G$2)*5,0)</f>
        <v/>
      </c>
      <c r="H38" s="54">
        <f>IFERROR(((D38/2)*H$2)*5,0)</f>
        <v/>
      </c>
      <c r="I38" s="54">
        <f>IFERROR(((E38/2)*I$2)*5,0)</f>
        <v/>
      </c>
      <c r="J38" s="55">
        <f>SUM(G38:I38)</f>
        <v/>
      </c>
      <c r="K38" s="56">
        <f>IFERROR((F38/6)*5,0)</f>
        <v/>
      </c>
      <c r="L38" s="54">
        <f>J38-K38</f>
        <v/>
      </c>
    </row>
    <row r="39" ht="15" customHeight="1" s="47">
      <c r="B39" s="46" t="inlineStr">
        <is>
          <t>~MMCT</t>
        </is>
      </c>
      <c r="C39" s="25" t="n">
        <v>5751</v>
      </c>
      <c r="D39" s="25" t="n">
        <v>5763</v>
      </c>
      <c r="E39" s="25" t="n">
        <v>4428</v>
      </c>
      <c r="F39" s="16">
        <f>SUM(C39:E39)</f>
        <v/>
      </c>
      <c r="G39" s="53">
        <f>IFERROR(((C39/2)*G$2)*5,0)</f>
        <v/>
      </c>
      <c r="H39" s="53">
        <f>IFERROR(((D39/2)*H$2)*5,0)</f>
        <v/>
      </c>
      <c r="I39" s="53">
        <f>IFERROR(((E39/2)*I$2)*5,0)</f>
        <v/>
      </c>
      <c r="J39" s="8">
        <f>SUM(G39:I39)</f>
        <v/>
      </c>
      <c r="K39" s="8" t="n"/>
    </row>
    <row r="40" ht="15" customHeight="1" s="47">
      <c r="B40" s="46" t="inlineStr">
        <is>
          <t>~MINB</t>
        </is>
      </c>
      <c r="C40" s="25" t="n">
        <v>5929</v>
      </c>
      <c r="D40" s="25" t="n">
        <v>5074</v>
      </c>
      <c r="E40" s="25" t="n">
        <v>3142</v>
      </c>
      <c r="F40" s="16">
        <f>SUM(C40:E40)</f>
        <v/>
      </c>
      <c r="G40" s="53">
        <f>IFERROR(((C40/2)*G$2)*5,0)</f>
        <v/>
      </c>
      <c r="H40" s="53">
        <f>IFERROR(((D40/2)*H$2)*5,0)</f>
        <v/>
      </c>
      <c r="I40" s="53">
        <f>IFERROR(((E40/2)*I$2)*5,0)</f>
        <v/>
      </c>
      <c r="J40" s="8">
        <f>SUM(G40:I40)</f>
        <v/>
      </c>
      <c r="K40" s="8" t="n"/>
    </row>
    <row r="41" ht="15" customHeight="1" s="47">
      <c r="B41" s="46" t="inlineStr">
        <is>
          <t>~Asian</t>
        </is>
      </c>
      <c r="C41" s="25" t="n">
        <v>5474</v>
      </c>
      <c r="D41" s="25" t="n">
        <v>4094</v>
      </c>
      <c r="E41" s="25" t="n">
        <v>1767</v>
      </c>
      <c r="F41" s="16">
        <f>SUM(C41:E41)</f>
        <v/>
      </c>
      <c r="G41" s="53">
        <f>IFERROR(((C41/2)*G$2)*5,0)</f>
        <v/>
      </c>
      <c r="H41" s="53">
        <f>IFERROR(((D41/2)*H$2)*5,0)</f>
        <v/>
      </c>
      <c r="I41" s="53">
        <f>IFERROR(((E41/2)*I$2)*5,0)</f>
        <v/>
      </c>
      <c r="J41" s="8">
        <f>SUM(G41:I41)</f>
        <v/>
      </c>
      <c r="K41" s="8" t="n"/>
    </row>
    <row r="42" ht="15" customHeight="1" s="47">
      <c r="B42" s="46" t="inlineStr">
        <is>
          <t>~Black</t>
        </is>
      </c>
      <c r="C42" s="46" t="n">
        <v>70</v>
      </c>
      <c r="D42" s="46" t="n">
        <v>173</v>
      </c>
      <c r="E42" s="46" t="n">
        <v>186</v>
      </c>
      <c r="F42" s="16">
        <f>SUM(C42:E42)</f>
        <v/>
      </c>
      <c r="G42" s="53">
        <f>IFERROR(((C42/2)*G$2)*5,0)</f>
        <v/>
      </c>
      <c r="H42" s="53">
        <f>IFERROR(((D42/2)*H$2)*5,0)</f>
        <v/>
      </c>
      <c r="I42" s="53">
        <f>IFERROR(((E42/2)*I$2)*5,0)</f>
        <v/>
      </c>
      <c r="J42" s="8">
        <f>SUM(G42:I42)</f>
        <v/>
      </c>
      <c r="K42" s="8" t="n"/>
    </row>
    <row r="43" ht="15" customHeight="1" s="47">
      <c r="B43" s="46" t="inlineStr">
        <is>
          <t>~Native American</t>
        </is>
      </c>
      <c r="C43" s="46" t="n">
        <v>8</v>
      </c>
      <c r="D43" s="46" t="n">
        <v>20</v>
      </c>
      <c r="E43" s="46" t="n">
        <v>39</v>
      </c>
      <c r="F43" s="16">
        <f>SUM(C43:E43)</f>
        <v/>
      </c>
      <c r="G43" s="53">
        <f>IFERROR(((C43/2)*G$2)*5,0)</f>
        <v/>
      </c>
      <c r="H43" s="53">
        <f>IFERROR(((D43/2)*H$2)*5,0)</f>
        <v/>
      </c>
      <c r="I43" s="53">
        <f>IFERROR(((E43/2)*I$2)*5,0)</f>
        <v/>
      </c>
      <c r="J43" s="8">
        <f>SUM(G43:I43)</f>
        <v/>
      </c>
      <c r="K43" s="8" t="n"/>
    </row>
    <row r="44" ht="15" customHeight="1" s="47">
      <c r="B44" s="46" t="inlineStr">
        <is>
          <t>~HoPI</t>
        </is>
      </c>
      <c r="C44" s="46" t="n">
        <v>8</v>
      </c>
      <c r="D44" s="46" t="n">
        <v>22</v>
      </c>
      <c r="E44" s="46" t="n">
        <v>41</v>
      </c>
      <c r="F44" s="16">
        <f>SUM(C44:E44)</f>
        <v/>
      </c>
      <c r="G44" s="53">
        <f>IFERROR(((C44/2)*G$2)*5,0)</f>
        <v/>
      </c>
      <c r="H44" s="53">
        <f>IFERROR(((D44/2)*H$2)*5,0)</f>
        <v/>
      </c>
      <c r="I44" s="53">
        <f>IFERROR(((E44/2)*I$2)*5,0)</f>
        <v/>
      </c>
      <c r="J44" s="8">
        <f>SUM(G44:I44)</f>
        <v/>
      </c>
      <c r="K44" s="8" t="n"/>
    </row>
    <row r="45" ht="15" customHeight="1" s="47">
      <c r="B45" s="46" t="inlineStr">
        <is>
          <t>~Hispanic</t>
        </is>
      </c>
      <c r="C45" s="46" t="n">
        <v>369</v>
      </c>
      <c r="D45" s="46" t="n">
        <v>765</v>
      </c>
      <c r="E45" s="25" t="n">
        <v>1109</v>
      </c>
      <c r="F45" s="16">
        <f>SUM(C45:E45)</f>
        <v/>
      </c>
      <c r="G45" s="53">
        <f>IFERROR(((C45/2)*G$2)*5,0)</f>
        <v/>
      </c>
      <c r="H45" s="53">
        <f>IFERROR(((D45/2)*H$2)*5,0)</f>
        <v/>
      </c>
      <c r="I45" s="53">
        <f>IFERROR(((E45/2)*I$2)*5,0)</f>
        <v/>
      </c>
      <c r="J45" s="8">
        <f>SUM(G45:I45)</f>
        <v/>
      </c>
      <c r="K45" s="8" t="n"/>
    </row>
    <row r="46" ht="15" customHeight="1" s="47">
      <c r="A46" s="46" t="inlineStr">
        <is>
          <t>Colorado</t>
        </is>
      </c>
      <c r="B46" s="46" t="inlineStr">
        <is>
          <t>Loans</t>
        </is>
      </c>
      <c r="C46" s="25" t="n">
        <v>6514</v>
      </c>
      <c r="D46" s="25" t="n">
        <v>7780</v>
      </c>
      <c r="E46" s="25" t="n">
        <v>9149</v>
      </c>
      <c r="F46" s="16">
        <f>SUM(C46:E46)</f>
        <v/>
      </c>
      <c r="G46" s="17" t="n"/>
      <c r="H46" s="17" t="n"/>
      <c r="I46" s="17" t="n"/>
    </row>
    <row r="47" ht="15" customHeight="1" s="47">
      <c r="B47" s="46" t="inlineStr">
        <is>
          <t>~LMICT</t>
        </is>
      </c>
      <c r="C47" s="25" t="n">
        <v>1135</v>
      </c>
      <c r="D47" s="25" t="n">
        <v>1068</v>
      </c>
      <c r="E47" s="25" t="n">
        <v>1213</v>
      </c>
      <c r="F47" s="16">
        <f>SUM(C47:E47)</f>
        <v/>
      </c>
      <c r="G47" s="53">
        <f>IFERROR(((C47/2)*G$2)*5,0)</f>
        <v/>
      </c>
      <c r="H47" s="53">
        <f>IFERROR(((D47/2)*H$2)*5,0)</f>
        <v/>
      </c>
      <c r="I47" s="53">
        <f>IFERROR(((E47/2)*I$2)*5,0)</f>
        <v/>
      </c>
      <c r="J47" s="53">
        <f>SUM(G47:I47)</f>
        <v/>
      </c>
      <c r="K47" s="8" t="n"/>
      <c r="L47" s="8" t="n"/>
    </row>
    <row r="48" ht="15" customHeight="1" s="47">
      <c r="B48" s="46" t="inlineStr">
        <is>
          <t>~LMIB</t>
        </is>
      </c>
      <c r="C48" s="25" t="n">
        <v>1496</v>
      </c>
      <c r="D48" s="25" t="n">
        <v>1971</v>
      </c>
      <c r="E48" s="25" t="n">
        <v>2231</v>
      </c>
      <c r="F48" s="16">
        <f>SUM(C48:E48)</f>
        <v/>
      </c>
      <c r="G48" s="53">
        <f>IFERROR(((C48/2)*G$2)*5,0)</f>
        <v/>
      </c>
      <c r="H48" s="53">
        <f>IFERROR(((D48/2)*H$2)*5,0)</f>
        <v/>
      </c>
      <c r="I48" s="53">
        <f>IFERROR(((E48/2)*I$2)*5,0)</f>
        <v/>
      </c>
      <c r="J48" s="53">
        <f>SUM(G48:I48)</f>
        <v/>
      </c>
      <c r="K48" s="8" t="n"/>
      <c r="L48" s="8" t="n"/>
    </row>
    <row r="49" ht="15" customHeight="1" s="47">
      <c r="B49" s="46" t="inlineStr">
        <is>
          <t>LMIB$</t>
        </is>
      </c>
      <c r="C49" s="51" t="n">
        <v>445510000</v>
      </c>
      <c r="D49" s="51" t="n">
        <v>377555000</v>
      </c>
      <c r="E49" s="51" t="n">
        <v>176725000</v>
      </c>
      <c r="F49" s="16">
        <f>SUM(C49:E49)</f>
        <v/>
      </c>
      <c r="G49" s="54">
        <f>IFERROR(((C49/2)*G$2)*5,0)</f>
        <v/>
      </c>
      <c r="H49" s="54">
        <f>IFERROR(((D49/2)*H$2)*5,0)</f>
        <v/>
      </c>
      <c r="I49" s="54">
        <f>IFERROR(((E49/2)*I$2)*5,0)</f>
        <v/>
      </c>
      <c r="J49" s="55">
        <f>SUM(G49:I49)</f>
        <v/>
      </c>
      <c r="K49" s="56">
        <f>IFERROR((F49/6)*5,0)</f>
        <v/>
      </c>
      <c r="L49" s="54">
        <f>J49-K49</f>
        <v/>
      </c>
    </row>
    <row r="50" ht="15" customHeight="1" s="47">
      <c r="B50" s="46" t="inlineStr">
        <is>
          <t>~MMCT</t>
        </is>
      </c>
      <c r="C50" s="46" t="n">
        <v>785</v>
      </c>
      <c r="D50" s="46" t="n">
        <v>704</v>
      </c>
      <c r="E50" s="46" t="n">
        <v>819</v>
      </c>
      <c r="F50" s="16">
        <f>SUM(C50:E50)</f>
        <v/>
      </c>
      <c r="G50" s="53">
        <f>IFERROR(((C50/2)*G$2)*5,0)</f>
        <v/>
      </c>
      <c r="H50" s="53">
        <f>IFERROR(((D50/2)*H$2)*5,0)</f>
        <v/>
      </c>
      <c r="I50" s="53">
        <f>IFERROR(((E50/2)*I$2)*5,0)</f>
        <v/>
      </c>
      <c r="J50" s="53">
        <f>SUM(G50:I50)</f>
        <v/>
      </c>
      <c r="K50" s="8" t="n"/>
    </row>
    <row r="51" ht="15" customHeight="1" s="47">
      <c r="B51" s="46" t="inlineStr">
        <is>
          <t>~MINB</t>
        </is>
      </c>
      <c r="C51" s="25" t="n">
        <v>1855</v>
      </c>
      <c r="D51" s="25" t="n">
        <v>1246</v>
      </c>
      <c r="E51" s="25" t="n">
        <v>1354</v>
      </c>
      <c r="F51" s="16">
        <f>SUM(C51:E51)</f>
        <v/>
      </c>
      <c r="G51" s="53">
        <f>IFERROR(((C51/2)*G$2)*5,0)</f>
        <v/>
      </c>
      <c r="H51" s="53">
        <f>IFERROR(((D51/2)*H$2)*5,0)</f>
        <v/>
      </c>
      <c r="I51" s="53">
        <f>IFERROR(((E51/2)*I$2)*5,0)</f>
        <v/>
      </c>
      <c r="J51" s="53">
        <f>SUM(G51:I51)</f>
        <v/>
      </c>
      <c r="K51" s="8" t="n"/>
    </row>
    <row r="52" ht="15" customHeight="1" s="47">
      <c r="B52" s="46" t="inlineStr">
        <is>
          <t>~Asian</t>
        </is>
      </c>
      <c r="C52" s="46" t="n">
        <v>497</v>
      </c>
      <c r="D52" s="46" t="n">
        <v>286</v>
      </c>
      <c r="E52" s="46" t="n">
        <v>282</v>
      </c>
      <c r="F52" s="16">
        <f>SUM(C52:E52)</f>
        <v/>
      </c>
      <c r="G52" s="53">
        <f>IFERROR(((C52/2)*G$2)*5,0)</f>
        <v/>
      </c>
      <c r="H52" s="53">
        <f>IFERROR(((D52/2)*H$2)*5,0)</f>
        <v/>
      </c>
      <c r="I52" s="53">
        <f>IFERROR(((E52/2)*I$2)*5,0)</f>
        <v/>
      </c>
      <c r="J52" s="53">
        <f>SUM(G52:I52)</f>
        <v/>
      </c>
      <c r="K52" s="8" t="n"/>
    </row>
    <row r="53" ht="15" customHeight="1" s="47">
      <c r="B53" s="46" t="inlineStr">
        <is>
          <t>~Black</t>
        </is>
      </c>
      <c r="C53" s="46" t="n">
        <v>273</v>
      </c>
      <c r="D53" s="46" t="n">
        <v>77</v>
      </c>
      <c r="E53" s="46" t="n">
        <v>89</v>
      </c>
      <c r="F53" s="16">
        <f>SUM(C53:E53)</f>
        <v/>
      </c>
      <c r="G53" s="53">
        <f>IFERROR(((C53/2)*G$2)*5,0)</f>
        <v/>
      </c>
      <c r="H53" s="53">
        <f>IFERROR(((D53/2)*H$2)*5,0)</f>
        <v/>
      </c>
      <c r="I53" s="53">
        <f>IFERROR(((E53/2)*I$2)*5,0)</f>
        <v/>
      </c>
      <c r="J53" s="53">
        <f>SUM(G53:I53)</f>
        <v/>
      </c>
      <c r="K53" s="8" t="n"/>
    </row>
    <row r="54" ht="15" customHeight="1" s="47">
      <c r="B54" s="46" t="inlineStr">
        <is>
          <t>~Native American</t>
        </is>
      </c>
      <c r="C54" s="46" t="n">
        <v>19</v>
      </c>
      <c r="D54" s="46" t="n">
        <v>31</v>
      </c>
      <c r="E54" s="46" t="n">
        <v>39</v>
      </c>
      <c r="F54" s="16">
        <f>SUM(C54:E54)</f>
        <v/>
      </c>
      <c r="G54" s="53">
        <f>IFERROR(((C54/2)*G$2)*5,0)</f>
        <v/>
      </c>
      <c r="H54" s="53">
        <f>IFERROR(((D54/2)*H$2)*5,0)</f>
        <v/>
      </c>
      <c r="I54" s="53">
        <f>IFERROR(((E54/2)*I$2)*5,0)</f>
        <v/>
      </c>
      <c r="J54" s="53">
        <f>SUM(G54:I54)</f>
        <v/>
      </c>
      <c r="K54" s="8" t="n"/>
    </row>
    <row r="55" ht="15" customHeight="1" s="47">
      <c r="B55" s="46" t="inlineStr">
        <is>
          <t>~HoPI</t>
        </is>
      </c>
      <c r="C55" s="46" t="n">
        <v>7</v>
      </c>
      <c r="D55" s="46" t="n">
        <v>8</v>
      </c>
      <c r="E55" s="46" t="n">
        <v>13</v>
      </c>
      <c r="F55" s="16">
        <f>SUM(C55:E55)</f>
        <v/>
      </c>
      <c r="G55" s="53">
        <f>IFERROR(((C55/2)*G$2)*5,0)</f>
        <v/>
      </c>
      <c r="H55" s="53">
        <f>IFERROR(((D55/2)*H$2)*5,0)</f>
        <v/>
      </c>
      <c r="I55" s="53">
        <f>IFERROR(((E55/2)*I$2)*5,0)</f>
        <v/>
      </c>
      <c r="J55" s="53">
        <f>SUM(G55:I55)</f>
        <v/>
      </c>
      <c r="K55" s="8" t="n"/>
    </row>
    <row r="56" ht="15" customHeight="1" s="47">
      <c r="B56" s="46" t="inlineStr">
        <is>
          <t>~Hispanic</t>
        </is>
      </c>
      <c r="C56" s="25" t="n">
        <v>1059</v>
      </c>
      <c r="D56" s="46" t="n">
        <v>844</v>
      </c>
      <c r="E56" s="46" t="n">
        <v>931</v>
      </c>
      <c r="F56" s="16">
        <f>SUM(C56:E56)</f>
        <v/>
      </c>
      <c r="G56" s="53">
        <f>IFERROR(((C56/2)*G$2)*5,0)</f>
        <v/>
      </c>
      <c r="H56" s="53">
        <f>IFERROR(((D56/2)*H$2)*5,0)</f>
        <v/>
      </c>
      <c r="I56" s="53">
        <f>IFERROR(((E56/2)*I$2)*5,0)</f>
        <v/>
      </c>
      <c r="J56" s="53">
        <f>SUM(G56:I56)</f>
        <v/>
      </c>
      <c r="K56" s="8" t="n"/>
    </row>
    <row r="57" ht="15" customHeight="1" s="47">
      <c r="A57" s="46" t="inlineStr">
        <is>
          <t>Delaware</t>
        </is>
      </c>
      <c r="B57" s="46" t="inlineStr">
        <is>
          <t>Loans</t>
        </is>
      </c>
      <c r="C57" s="46" t="n">
        <v>81</v>
      </c>
      <c r="D57" s="25" t="n">
        <v>328</v>
      </c>
      <c r="E57" s="25" t="n">
        <v>361</v>
      </c>
      <c r="F57" s="16">
        <f>SUM(C57:E57)</f>
        <v/>
      </c>
      <c r="G57" s="17" t="n"/>
      <c r="H57" s="17" t="n"/>
      <c r="I57" s="17" t="n"/>
    </row>
    <row r="58" ht="15" customHeight="1" s="47">
      <c r="B58" s="46" t="inlineStr">
        <is>
          <t>~LMICT</t>
        </is>
      </c>
      <c r="C58" s="46" t="n">
        <v>88</v>
      </c>
      <c r="D58" s="46" t="n">
        <v>275</v>
      </c>
      <c r="E58" s="46" t="n">
        <v>266</v>
      </c>
      <c r="F58" s="16">
        <f>SUM(C58:E58)</f>
        <v/>
      </c>
      <c r="G58" s="53">
        <f>IFERROR(((C58/2)*G$2)*5,0)</f>
        <v/>
      </c>
      <c r="H58" s="53">
        <f>IFERROR(((D58/2)*H$2)*5,0)</f>
        <v/>
      </c>
      <c r="I58" s="53">
        <f>IFERROR(((E58/2)*I$2)*5,0)</f>
        <v/>
      </c>
      <c r="J58" s="53">
        <f>SUM(G58:I58)</f>
        <v/>
      </c>
      <c r="K58" s="8" t="n"/>
      <c r="L58" s="8" t="n"/>
    </row>
    <row r="59" ht="15" customHeight="1" s="47">
      <c r="B59" s="46" t="inlineStr">
        <is>
          <t>~LMIB</t>
        </is>
      </c>
      <c r="C59" s="46" t="n">
        <v>192</v>
      </c>
      <c r="D59" s="46" t="n">
        <v>696</v>
      </c>
      <c r="E59" s="46" t="n">
        <v>664</v>
      </c>
      <c r="F59" s="16">
        <f>SUM(C59:E59)</f>
        <v/>
      </c>
      <c r="G59" s="53">
        <f>IFERROR(((C59/2)*G$2)*5,0)</f>
        <v/>
      </c>
      <c r="H59" s="53">
        <f>IFERROR(((D59/2)*H$2)*5,0)</f>
        <v/>
      </c>
      <c r="I59" s="53">
        <f>IFERROR(((E59/2)*I$2)*5,0)</f>
        <v/>
      </c>
      <c r="J59" s="53">
        <f>SUM(G59:I59)</f>
        <v/>
      </c>
      <c r="K59" s="8" t="n"/>
      <c r="L59" s="8" t="n"/>
    </row>
    <row r="60" ht="15" customHeight="1" s="47">
      <c r="B60" s="46" t="inlineStr">
        <is>
          <t>LMIB$</t>
        </is>
      </c>
      <c r="C60" s="51" t="n">
        <v>39320000</v>
      </c>
      <c r="D60" s="51" t="n">
        <v>96060000</v>
      </c>
      <c r="E60" s="51" t="n">
        <v>57990000</v>
      </c>
      <c r="F60" s="16">
        <f>SUM(C60:E60)</f>
        <v/>
      </c>
      <c r="G60" s="54">
        <f>IFERROR(((C60/2)*G$2)*5,0)</f>
        <v/>
      </c>
      <c r="H60" s="54">
        <f>IFERROR(((D60/2)*H$2)*5,0)</f>
        <v/>
      </c>
      <c r="I60" s="54">
        <f>IFERROR(((E60/2)*I$2)*5,0)</f>
        <v/>
      </c>
      <c r="J60" s="55">
        <f>SUM(G60:I60)</f>
        <v/>
      </c>
      <c r="K60" s="56">
        <f>IFERROR((F60/6)*5,0)</f>
        <v/>
      </c>
      <c r="L60" s="54">
        <f>J60-K60</f>
        <v/>
      </c>
    </row>
    <row r="61" ht="15" customHeight="1" s="47">
      <c r="B61" s="46" t="inlineStr">
        <is>
          <t>~MMCT</t>
        </is>
      </c>
      <c r="C61" s="46" t="n">
        <v>89</v>
      </c>
      <c r="D61" s="46" t="n">
        <v>288</v>
      </c>
      <c r="E61" s="46" t="n">
        <v>264</v>
      </c>
      <c r="F61" s="16">
        <f>SUM(C61:E61)</f>
        <v/>
      </c>
      <c r="G61" s="53">
        <f>IFERROR(((C61/2)*G$2)*5,0)</f>
        <v/>
      </c>
      <c r="H61" s="53">
        <f>IFERROR(((D61/2)*H$2)*5,0)</f>
        <v/>
      </c>
      <c r="I61" s="53">
        <f>IFERROR(((E61/2)*I$2)*5,0)</f>
        <v/>
      </c>
      <c r="J61" s="53">
        <f>SUM(G61:I61)</f>
        <v/>
      </c>
      <c r="K61" s="8" t="n"/>
    </row>
    <row r="62" ht="15" customHeight="1" s="47">
      <c r="B62" s="46" t="inlineStr">
        <is>
          <t>~MINB</t>
        </is>
      </c>
      <c r="C62" s="46" t="n">
        <v>120</v>
      </c>
      <c r="D62" s="46" t="n">
        <v>278</v>
      </c>
      <c r="E62" s="46" t="n">
        <v>386</v>
      </c>
      <c r="F62" s="16">
        <f>SUM(C62:E62)</f>
        <v/>
      </c>
      <c r="G62" s="53">
        <f>IFERROR(((C62/2)*G$2)*5,0)</f>
        <v/>
      </c>
      <c r="H62" s="53">
        <f>IFERROR(((D62/2)*H$2)*5,0)</f>
        <v/>
      </c>
      <c r="I62" s="53">
        <f>IFERROR(((E62/2)*I$2)*5,0)</f>
        <v/>
      </c>
      <c r="J62" s="53">
        <f>SUM(G62:I62)</f>
        <v/>
      </c>
      <c r="K62" s="8" t="n"/>
    </row>
    <row r="63" ht="15" customHeight="1" s="47">
      <c r="B63" s="46" t="inlineStr">
        <is>
          <t>~Asian</t>
        </is>
      </c>
      <c r="C63" s="46" t="n">
        <v>35</v>
      </c>
      <c r="D63" s="46" t="n">
        <v>56</v>
      </c>
      <c r="E63" s="46" t="n">
        <v>93</v>
      </c>
      <c r="F63" s="16">
        <f>SUM(C63:E63)</f>
        <v/>
      </c>
      <c r="G63" s="53">
        <f>IFERROR(((C63/2)*G$2)*5,0)</f>
        <v/>
      </c>
      <c r="H63" s="53">
        <f>IFERROR(((D63/2)*H$2)*5,0)</f>
        <v/>
      </c>
      <c r="I63" s="53">
        <f>IFERROR(((E63/2)*I$2)*5,0)</f>
        <v/>
      </c>
      <c r="J63" s="53">
        <f>SUM(G63:I63)</f>
        <v/>
      </c>
      <c r="K63" s="8" t="n"/>
    </row>
    <row r="64" ht="15" customHeight="1" s="47">
      <c r="B64" s="46" t="inlineStr">
        <is>
          <t>~Black</t>
        </is>
      </c>
      <c r="C64" s="46" t="n">
        <v>52</v>
      </c>
      <c r="D64" s="46" t="n">
        <v>161</v>
      </c>
      <c r="E64" s="46" t="n">
        <v>207</v>
      </c>
      <c r="F64" s="16">
        <f>SUM(C64:E64)</f>
        <v/>
      </c>
      <c r="G64" s="53">
        <f>IFERROR(((C64/2)*G$2)*5,0)</f>
        <v/>
      </c>
      <c r="H64" s="53">
        <f>IFERROR(((D64/2)*H$2)*5,0)</f>
        <v/>
      </c>
      <c r="I64" s="53">
        <f>IFERROR(((E64/2)*I$2)*5,0)</f>
        <v/>
      </c>
      <c r="J64" s="53">
        <f>SUM(G64:I64)</f>
        <v/>
      </c>
      <c r="K64" s="8" t="n"/>
    </row>
    <row r="65" ht="15" customHeight="1" s="47">
      <c r="B65" s="46" t="inlineStr">
        <is>
          <t>~Native American</t>
        </is>
      </c>
      <c r="C65" s="46" t="n">
        <v>1</v>
      </c>
      <c r="D65" s="46" t="n">
        <v>7</v>
      </c>
      <c r="E65" s="46" t="n">
        <v>11</v>
      </c>
      <c r="F65" s="16">
        <f>SUM(C65:E65)</f>
        <v/>
      </c>
      <c r="G65" s="53">
        <f>IFERROR(((C65/2)*G$2)*5,0)</f>
        <v/>
      </c>
      <c r="H65" s="53">
        <f>IFERROR(((D65/2)*H$2)*5,0)</f>
        <v/>
      </c>
      <c r="I65" s="53">
        <f>IFERROR(((E65/2)*I$2)*5,0)</f>
        <v/>
      </c>
      <c r="J65" s="53">
        <f>SUM(G65:I65)</f>
        <v/>
      </c>
      <c r="K65" s="8" t="n"/>
    </row>
    <row r="66" ht="15" customHeight="1" s="47">
      <c r="B66" s="46" t="inlineStr">
        <is>
          <t>~HoPI</t>
        </is>
      </c>
      <c r="C66" s="46" t="n">
        <v>0</v>
      </c>
      <c r="D66" s="46" t="n">
        <v>3</v>
      </c>
      <c r="E66" s="46" t="n">
        <v>4</v>
      </c>
      <c r="F66" s="16">
        <f>SUM(C66:E66)</f>
        <v/>
      </c>
      <c r="G66" s="53">
        <f>IFERROR(((C66/2)*G$2)*5,0)</f>
        <v/>
      </c>
      <c r="H66" s="53">
        <f>IFERROR(((D66/2)*H$2)*5,0)</f>
        <v/>
      </c>
      <c r="I66" s="53">
        <f>IFERROR(((E66/2)*I$2)*5,0)</f>
        <v/>
      </c>
      <c r="J66" s="53">
        <f>SUM(G66:I66)</f>
        <v/>
      </c>
      <c r="K66" s="8" t="n"/>
    </row>
    <row r="67" ht="15" customHeight="1" s="47">
      <c r="B67" s="46" t="inlineStr">
        <is>
          <t>~Hispanic</t>
        </is>
      </c>
      <c r="C67" s="46" t="n">
        <v>32</v>
      </c>
      <c r="D67" s="46" t="n">
        <v>51</v>
      </c>
      <c r="E67" s="46" t="n">
        <v>71</v>
      </c>
      <c r="F67" s="16">
        <f>SUM(C67:E67)</f>
        <v/>
      </c>
      <c r="G67" s="53">
        <f>IFERROR(((C67/2)*G$2)*5,0)</f>
        <v/>
      </c>
      <c r="H67" s="53">
        <f>IFERROR(((D67/2)*H$2)*5,0)</f>
        <v/>
      </c>
      <c r="I67" s="53">
        <f>IFERROR(((E67/2)*I$2)*5,0)</f>
        <v/>
      </c>
      <c r="J67" s="53">
        <f>SUM(G67:I67)</f>
        <v/>
      </c>
      <c r="K67" s="8" t="n"/>
    </row>
    <row r="68" ht="15" customHeight="1" s="47">
      <c r="A68" s="46" t="inlineStr">
        <is>
          <t>District of Columbia</t>
        </is>
      </c>
      <c r="B68" s="46" t="inlineStr">
        <is>
          <t>Loans</t>
        </is>
      </c>
      <c r="C68" s="46" t="n">
        <v>433</v>
      </c>
      <c r="D68" s="46" t="n">
        <v>984</v>
      </c>
      <c r="E68" s="46" t="n">
        <v>689</v>
      </c>
      <c r="F68" s="16">
        <f>SUM(C68:E68)</f>
        <v/>
      </c>
      <c r="G68" s="17" t="n"/>
      <c r="H68" s="17" t="n"/>
      <c r="I68" s="17" t="n"/>
    </row>
    <row r="69" ht="15" customHeight="1" s="47">
      <c r="B69" s="46" t="inlineStr">
        <is>
          <t>~LMICT</t>
        </is>
      </c>
      <c r="C69" s="46" t="n">
        <v>67</v>
      </c>
      <c r="D69" s="46" t="n">
        <v>190</v>
      </c>
      <c r="E69" s="46" t="n">
        <v>164</v>
      </c>
      <c r="F69" s="16">
        <f>SUM(C69:E69)</f>
        <v/>
      </c>
      <c r="G69" s="53">
        <f>IFERROR(((C69/2)*G$2)*5,0)</f>
        <v/>
      </c>
      <c r="H69" s="53">
        <f>IFERROR(((D69/2)*H$2)*5,0)</f>
        <v/>
      </c>
      <c r="I69" s="53">
        <f>IFERROR(((E69/2)*I$2)*5,0)</f>
        <v/>
      </c>
      <c r="J69" s="8">
        <f>SUM(G69:I69)</f>
        <v/>
      </c>
      <c r="K69" s="8" t="n"/>
      <c r="L69" s="8" t="n"/>
    </row>
    <row r="70" ht="15" customHeight="1" s="47">
      <c r="B70" s="46" t="inlineStr">
        <is>
          <t>~LMIB</t>
        </is>
      </c>
      <c r="C70" s="46" t="n">
        <v>91</v>
      </c>
      <c r="D70" s="46" t="n">
        <v>207</v>
      </c>
      <c r="E70" s="46" t="n">
        <v>130</v>
      </c>
      <c r="F70" s="16">
        <f>SUM(C70:E70)</f>
        <v/>
      </c>
      <c r="G70" s="53">
        <f>IFERROR(((C70/2)*G$2)*5,0)</f>
        <v/>
      </c>
      <c r="H70" s="53">
        <f>IFERROR(((D70/2)*H$2)*5,0)</f>
        <v/>
      </c>
      <c r="I70" s="53">
        <f>IFERROR(((E70/2)*I$2)*5,0)</f>
        <v/>
      </c>
      <c r="J70" s="8">
        <f>SUM(G70:I70)</f>
        <v/>
      </c>
      <c r="K70" s="8" t="n"/>
      <c r="L70" s="8" t="n"/>
    </row>
    <row r="71" ht="15" customHeight="1" s="47">
      <c r="B71" s="46" t="inlineStr">
        <is>
          <t>LMIB$</t>
        </is>
      </c>
      <c r="C71" s="51" t="n">
        <v>30005000</v>
      </c>
      <c r="D71" s="51" t="n">
        <v>51225000</v>
      </c>
      <c r="E71" s="51" t="n">
        <v>15520000</v>
      </c>
      <c r="F71" s="16">
        <f>SUM(C71:E71)</f>
        <v/>
      </c>
      <c r="G71" s="54">
        <f>IFERROR(((C71/2)*G$2)*5,0)</f>
        <v/>
      </c>
      <c r="H71" s="54">
        <f>IFERROR(((D71/2)*H$2)*5,0)</f>
        <v/>
      </c>
      <c r="I71" s="54">
        <f>IFERROR(((E71/2)*I$2)*5,0)</f>
        <v/>
      </c>
      <c r="J71" s="55">
        <f>SUM(G71:I71)</f>
        <v/>
      </c>
      <c r="K71" s="56">
        <f>IFERROR((F71/6)*5,0)</f>
        <v/>
      </c>
      <c r="L71" s="54">
        <f>J71-K71</f>
        <v/>
      </c>
    </row>
    <row r="72" ht="15" customHeight="1" s="47">
      <c r="B72" s="46" t="inlineStr">
        <is>
          <t>~MMCT</t>
        </is>
      </c>
      <c r="C72" s="46" t="n">
        <v>141</v>
      </c>
      <c r="D72" s="46" t="n">
        <v>374</v>
      </c>
      <c r="E72" s="46" t="n">
        <v>335</v>
      </c>
      <c r="F72" s="16">
        <f>SUM(C72:E72)</f>
        <v/>
      </c>
      <c r="G72" s="53">
        <f>IFERROR(((C72/2)*G$2)*5,0)</f>
        <v/>
      </c>
      <c r="H72" s="53">
        <f>IFERROR(((D72/2)*H$2)*5,0)</f>
        <v/>
      </c>
      <c r="I72" s="53">
        <f>IFERROR(((E72/2)*I$2)*5,0)</f>
        <v/>
      </c>
      <c r="J72" s="8">
        <f>SUM(G72:I72)</f>
        <v/>
      </c>
      <c r="K72" s="8" t="n"/>
    </row>
    <row r="73" ht="15" customHeight="1" s="47">
      <c r="B73" s="46" t="inlineStr">
        <is>
          <t>~MINB</t>
        </is>
      </c>
      <c r="C73" s="46" t="n">
        <v>76</v>
      </c>
      <c r="D73" s="46" t="n">
        <v>249</v>
      </c>
      <c r="E73" s="46" t="n">
        <v>218</v>
      </c>
      <c r="F73" s="16">
        <f>SUM(C73:E73)</f>
        <v/>
      </c>
      <c r="G73" s="53">
        <f>IFERROR(((C73/2)*G$2)*5,0)</f>
        <v/>
      </c>
      <c r="H73" s="53">
        <f>IFERROR(((D73/2)*H$2)*5,0)</f>
        <v/>
      </c>
      <c r="I73" s="53">
        <f>IFERROR(((E73/2)*I$2)*5,0)</f>
        <v/>
      </c>
      <c r="J73" s="8">
        <f>SUM(G73:I73)</f>
        <v/>
      </c>
      <c r="K73" s="8" t="n"/>
    </row>
    <row r="74" ht="15" customHeight="1" s="47">
      <c r="B74" s="46" t="inlineStr">
        <is>
          <t>~Asian</t>
        </is>
      </c>
      <c r="C74" s="46" t="n">
        <v>29</v>
      </c>
      <c r="D74" s="46" t="n">
        <v>35</v>
      </c>
      <c r="E74" s="46" t="n">
        <v>23</v>
      </c>
      <c r="F74" s="16">
        <f>SUM(C74:E74)</f>
        <v/>
      </c>
      <c r="G74" s="53">
        <f>IFERROR(((C74/2)*G$2)*5,0)</f>
        <v/>
      </c>
      <c r="H74" s="53">
        <f>IFERROR(((D74/2)*H$2)*5,0)</f>
        <v/>
      </c>
      <c r="I74" s="53">
        <f>IFERROR(((E74/2)*I$2)*5,0)</f>
        <v/>
      </c>
      <c r="J74" s="8">
        <f>SUM(G74:I74)</f>
        <v/>
      </c>
      <c r="K74" s="8" t="n"/>
    </row>
    <row r="75" ht="15" customHeight="1" s="47">
      <c r="B75" s="46" t="inlineStr">
        <is>
          <t>~Black</t>
        </is>
      </c>
      <c r="C75" s="46" t="n">
        <v>35</v>
      </c>
      <c r="D75" s="46" t="n">
        <v>179</v>
      </c>
      <c r="E75" s="46" t="n">
        <v>146</v>
      </c>
      <c r="F75" s="16">
        <f>SUM(C75:E75)</f>
        <v/>
      </c>
      <c r="G75" s="53">
        <f>IFERROR(((C75/2)*G$2)*5,0)</f>
        <v/>
      </c>
      <c r="H75" s="53">
        <f>IFERROR(((D75/2)*H$2)*5,0)</f>
        <v/>
      </c>
      <c r="I75" s="53">
        <f>IFERROR(((E75/2)*I$2)*5,0)</f>
        <v/>
      </c>
      <c r="J75" s="8">
        <f>SUM(G75:I75)</f>
        <v/>
      </c>
      <c r="K75" s="8" t="n"/>
    </row>
    <row r="76" ht="15" customHeight="1" s="47">
      <c r="B76" s="46" t="inlineStr">
        <is>
          <t>~Native American</t>
        </is>
      </c>
      <c r="C76" s="46" t="n">
        <v>1</v>
      </c>
      <c r="D76" s="46" t="n">
        <v>1</v>
      </c>
      <c r="E76" s="46" t="n">
        <v>3</v>
      </c>
      <c r="F76" s="16">
        <f>SUM(C76:E76)</f>
        <v/>
      </c>
      <c r="G76" s="53">
        <f>IFERROR(((C76/2)*G$2)*5,0)</f>
        <v/>
      </c>
      <c r="H76" s="53">
        <f>IFERROR(((D76/2)*H$2)*5,0)</f>
        <v/>
      </c>
      <c r="I76" s="53">
        <f>IFERROR(((E76/2)*I$2)*5,0)</f>
        <v/>
      </c>
      <c r="J76" s="8">
        <f>SUM(G76:I76)</f>
        <v/>
      </c>
      <c r="K76" s="8" t="n"/>
    </row>
    <row r="77" ht="15" customHeight="1" s="47">
      <c r="B77" s="46" t="inlineStr">
        <is>
          <t>~HoPI</t>
        </is>
      </c>
      <c r="C77" s="46" t="n">
        <v>1</v>
      </c>
      <c r="D77" s="46" t="n">
        <v>1</v>
      </c>
      <c r="E77" s="46" t="n">
        <v>0</v>
      </c>
      <c r="F77" s="16">
        <f>SUM(C77:E77)</f>
        <v/>
      </c>
      <c r="G77" s="53">
        <f>IFERROR(((C77/2)*G$2)*5,0)</f>
        <v/>
      </c>
      <c r="H77" s="53">
        <f>IFERROR(((D77/2)*H$2)*5,0)</f>
        <v/>
      </c>
      <c r="I77" s="53">
        <f>IFERROR(((E77/2)*I$2)*5,0)</f>
        <v/>
      </c>
      <c r="J77" s="8">
        <f>SUM(G77:I77)</f>
        <v/>
      </c>
      <c r="K77" s="8" t="n"/>
    </row>
    <row r="78" ht="15" customHeight="1" s="47">
      <c r="B78" s="46" t="inlineStr">
        <is>
          <t>~Hispanic</t>
        </is>
      </c>
      <c r="C78" s="46" t="n">
        <v>10</v>
      </c>
      <c r="D78" s="46" t="n">
        <v>33</v>
      </c>
      <c r="E78" s="46" t="n">
        <v>46</v>
      </c>
      <c r="F78" s="16">
        <f>SUM(C78:E78)</f>
        <v/>
      </c>
      <c r="G78" s="53">
        <f>IFERROR(((C78/2)*G$2)*5,0)</f>
        <v/>
      </c>
      <c r="H78" s="53">
        <f>IFERROR(((D78/2)*H$2)*5,0)</f>
        <v/>
      </c>
      <c r="I78" s="53">
        <f>IFERROR(((E78/2)*I$2)*5,0)</f>
        <v/>
      </c>
      <c r="J78" s="8">
        <f>SUM(G78:I78)</f>
        <v/>
      </c>
      <c r="K78" s="8" t="n"/>
    </row>
    <row r="79" ht="15" customHeight="1" s="47">
      <c r="A79" s="46" t="inlineStr">
        <is>
          <t>Florida</t>
        </is>
      </c>
      <c r="B79" s="46" t="inlineStr">
        <is>
          <t>Loans</t>
        </is>
      </c>
      <c r="C79" s="25" t="n">
        <v>3665</v>
      </c>
      <c r="D79" s="25" t="n">
        <v>8855</v>
      </c>
      <c r="E79" s="25" t="n">
        <v>13777</v>
      </c>
      <c r="F79" s="16">
        <f>SUM(C79:E79)</f>
        <v/>
      </c>
      <c r="G79" s="17" t="n"/>
      <c r="H79" s="17" t="n"/>
      <c r="I79" s="17" t="n"/>
    </row>
    <row r="80" ht="15" customHeight="1" s="47">
      <c r="B80" s="46" t="inlineStr">
        <is>
          <t>~LMICT</t>
        </is>
      </c>
      <c r="C80" s="46" t="n">
        <v>684</v>
      </c>
      <c r="D80" s="25" t="n">
        <v>1248</v>
      </c>
      <c r="E80" s="25" t="n">
        <v>2079</v>
      </c>
      <c r="F80" s="16">
        <f>SUM(C80:E80)</f>
        <v/>
      </c>
      <c r="G80" s="53">
        <f>IFERROR(((C80/2)*G$2)*5,0)</f>
        <v/>
      </c>
      <c r="H80" s="53">
        <f>IFERROR(((D80/2)*H$2)*5,0)</f>
        <v/>
      </c>
      <c r="I80" s="53">
        <f>IFERROR(((E80/2)*I$2)*5,0)</f>
        <v/>
      </c>
      <c r="J80" s="8">
        <f>SUM(G80:I80)</f>
        <v/>
      </c>
      <c r="K80" s="8" t="n"/>
      <c r="L80" s="8" t="n"/>
    </row>
    <row r="81" ht="15" customHeight="1" s="47">
      <c r="B81" s="46" t="inlineStr">
        <is>
          <t>~LMIB</t>
        </is>
      </c>
      <c r="C81" s="46" t="n">
        <v>771</v>
      </c>
      <c r="D81" s="25" t="n">
        <v>1893</v>
      </c>
      <c r="E81" s="25" t="n">
        <v>2736</v>
      </c>
      <c r="F81" s="16">
        <f>SUM(C81:E81)</f>
        <v/>
      </c>
      <c r="G81" s="53">
        <f>IFERROR(((C81/2)*G$2)*5,0)</f>
        <v/>
      </c>
      <c r="H81" s="53">
        <f>IFERROR(((D81/2)*H$2)*5,0)</f>
        <v/>
      </c>
      <c r="I81" s="53">
        <f>IFERROR(((E81/2)*I$2)*5,0)</f>
        <v/>
      </c>
      <c r="J81" s="8">
        <f>SUM(G81:I81)</f>
        <v/>
      </c>
      <c r="K81" s="8" t="n"/>
      <c r="L81" s="8" t="n"/>
    </row>
    <row r="82" ht="15" customHeight="1" s="47">
      <c r="B82" s="46" t="inlineStr">
        <is>
          <t>LMIB$</t>
        </is>
      </c>
      <c r="C82" s="51" t="n">
        <v>158215000</v>
      </c>
      <c r="D82" s="51" t="n">
        <v>299375000</v>
      </c>
      <c r="E82" s="51" t="n">
        <v>230700000</v>
      </c>
      <c r="F82" s="16">
        <f>SUM(C82:E82)</f>
        <v/>
      </c>
      <c r="G82" s="54">
        <f>IFERROR(((C82/2)*G$2)*5,0)</f>
        <v/>
      </c>
      <c r="H82" s="54">
        <f>IFERROR(((D82/2)*H$2)*5,0)</f>
        <v/>
      </c>
      <c r="I82" s="54">
        <f>IFERROR(((E82/2)*I$2)*5,0)</f>
        <v/>
      </c>
      <c r="J82" s="55">
        <f>SUM(G82:I82)</f>
        <v/>
      </c>
      <c r="K82" s="56">
        <f>IFERROR((F82/6)*5,0)</f>
        <v/>
      </c>
      <c r="L82" s="54">
        <f>J82-K82</f>
        <v/>
      </c>
    </row>
    <row r="83" ht="15" customHeight="1" s="47">
      <c r="B83" s="46" t="inlineStr">
        <is>
          <t>~MMCT</t>
        </is>
      </c>
      <c r="C83" s="46" t="n">
        <v>760</v>
      </c>
      <c r="D83" s="25" t="n">
        <v>1905</v>
      </c>
      <c r="E83" s="25" t="n">
        <v>3559</v>
      </c>
      <c r="F83" s="16">
        <f>SUM(C83:E83)</f>
        <v/>
      </c>
      <c r="G83" s="53">
        <f>IFERROR(((C83/2)*G$2)*5,0)</f>
        <v/>
      </c>
      <c r="H83" s="53">
        <f>IFERROR(((D83/2)*H$2)*5,0)</f>
        <v/>
      </c>
      <c r="I83" s="53">
        <f>IFERROR(((E83/2)*I$2)*5,0)</f>
        <v/>
      </c>
      <c r="J83" s="8">
        <f>SUM(G83:I83)</f>
        <v/>
      </c>
      <c r="K83" s="8" t="n"/>
    </row>
    <row r="84" ht="15" customHeight="1" s="47">
      <c r="B84" s="46" t="inlineStr">
        <is>
          <t>~MINB</t>
        </is>
      </c>
      <c r="C84" s="46" t="n">
        <v>757</v>
      </c>
      <c r="D84" s="25" t="n">
        <v>1773</v>
      </c>
      <c r="E84" s="25" t="n">
        <v>3404</v>
      </c>
      <c r="F84" s="16">
        <f>SUM(C84:E84)</f>
        <v/>
      </c>
      <c r="G84" s="53">
        <f>IFERROR(((C84/2)*G$2)*5,0)</f>
        <v/>
      </c>
      <c r="H84" s="53">
        <f>IFERROR(((D84/2)*H$2)*5,0)</f>
        <v/>
      </c>
      <c r="I84" s="53">
        <f>IFERROR(((E84/2)*I$2)*5,0)</f>
        <v/>
      </c>
      <c r="J84" s="8">
        <f>SUM(G84:I84)</f>
        <v/>
      </c>
      <c r="K84" s="8" t="n"/>
    </row>
    <row r="85" ht="15" customHeight="1" s="47">
      <c r="B85" s="46" t="inlineStr">
        <is>
          <t>~Asian</t>
        </is>
      </c>
      <c r="C85" s="46" t="n">
        <v>155</v>
      </c>
      <c r="D85" s="46" t="n">
        <v>244</v>
      </c>
      <c r="E85" s="46" t="n">
        <v>431</v>
      </c>
      <c r="F85" s="16">
        <f>SUM(C85:E85)</f>
        <v/>
      </c>
      <c r="G85" s="53">
        <f>IFERROR(((C85/2)*G$2)*5,0)</f>
        <v/>
      </c>
      <c r="H85" s="53">
        <f>IFERROR(((D85/2)*H$2)*5,0)</f>
        <v/>
      </c>
      <c r="I85" s="53">
        <f>IFERROR(((E85/2)*I$2)*5,0)</f>
        <v/>
      </c>
      <c r="J85" s="8">
        <f>SUM(G85:I85)</f>
        <v/>
      </c>
      <c r="K85" s="8" t="n"/>
    </row>
    <row r="86" ht="15" customHeight="1" s="47">
      <c r="B86" s="46" t="inlineStr">
        <is>
          <t>~Black</t>
        </is>
      </c>
      <c r="C86" s="46" t="n">
        <v>137</v>
      </c>
      <c r="D86" s="46" t="n">
        <v>443</v>
      </c>
      <c r="E86" s="46" t="n">
        <v>750</v>
      </c>
      <c r="F86" s="16">
        <f>SUM(C86:E86)</f>
        <v/>
      </c>
      <c r="G86" s="53">
        <f>IFERROR(((C86/2)*G$2)*5,0)</f>
        <v/>
      </c>
      <c r="H86" s="53">
        <f>IFERROR(((D86/2)*H$2)*5,0)</f>
        <v/>
      </c>
      <c r="I86" s="53">
        <f>IFERROR(((E86/2)*I$2)*5,0)</f>
        <v/>
      </c>
      <c r="J86" s="8">
        <f>SUM(G86:I86)</f>
        <v/>
      </c>
      <c r="K86" s="8" t="n"/>
    </row>
    <row r="87" ht="15" customHeight="1" s="47">
      <c r="B87" s="46" t="inlineStr">
        <is>
          <t>~Native American</t>
        </is>
      </c>
      <c r="C87" s="46" t="n">
        <v>4</v>
      </c>
      <c r="D87" s="46" t="n">
        <v>17</v>
      </c>
      <c r="E87" s="46" t="n">
        <v>51</v>
      </c>
      <c r="F87" s="16">
        <f>SUM(C87:E87)</f>
        <v/>
      </c>
      <c r="G87" s="53">
        <f>IFERROR(((C87/2)*G$2)*5,0)</f>
        <v/>
      </c>
      <c r="H87" s="53">
        <f>IFERROR(((D87/2)*H$2)*5,0)</f>
        <v/>
      </c>
      <c r="I87" s="53">
        <f>IFERROR(((E87/2)*I$2)*5,0)</f>
        <v/>
      </c>
      <c r="J87" s="8">
        <f>SUM(G87:I87)</f>
        <v/>
      </c>
      <c r="K87" s="8" t="n"/>
    </row>
    <row r="88" ht="15" customHeight="1" s="47">
      <c r="B88" s="46" t="inlineStr">
        <is>
          <t>~HoPI</t>
        </is>
      </c>
      <c r="C88" s="46" t="n">
        <v>1</v>
      </c>
      <c r="D88" s="46" t="n">
        <v>14</v>
      </c>
      <c r="E88" s="46" t="n">
        <v>24</v>
      </c>
      <c r="F88" s="16">
        <f>SUM(C88:E88)</f>
        <v/>
      </c>
      <c r="G88" s="53">
        <f>IFERROR(((C88/2)*G$2)*5,0)</f>
        <v/>
      </c>
      <c r="H88" s="53">
        <f>IFERROR(((D88/2)*H$2)*5,0)</f>
        <v/>
      </c>
      <c r="I88" s="53">
        <f>IFERROR(((E88/2)*I$2)*5,0)</f>
        <v/>
      </c>
      <c r="J88" s="8">
        <f>SUM(G88:I88)</f>
        <v/>
      </c>
      <c r="K88" s="8" t="n"/>
    </row>
    <row r="89" ht="15" customHeight="1" s="47">
      <c r="B89" s="46" t="inlineStr">
        <is>
          <t>~Hispanic</t>
        </is>
      </c>
      <c r="C89" s="46" t="n">
        <v>460</v>
      </c>
      <c r="D89" s="25" t="n">
        <v>1055</v>
      </c>
      <c r="E89" s="25" t="n">
        <v>2148</v>
      </c>
      <c r="F89" s="16">
        <f>SUM(C89:E89)</f>
        <v/>
      </c>
      <c r="G89" s="53">
        <f>IFERROR(((C89/2)*G$2)*5,0)</f>
        <v/>
      </c>
      <c r="H89" s="53">
        <f>IFERROR(((D89/2)*H$2)*5,0)</f>
        <v/>
      </c>
      <c r="I89" s="53">
        <f>IFERROR(((E89/2)*I$2)*5,0)</f>
        <v/>
      </c>
      <c r="J89" s="8">
        <f>SUM(G89:I89)</f>
        <v/>
      </c>
      <c r="K89" s="8" t="n"/>
    </row>
    <row r="90" ht="15" customHeight="1" s="47">
      <c r="A90" s="46" t="inlineStr">
        <is>
          <t>Georgia</t>
        </is>
      </c>
      <c r="B90" s="46" t="inlineStr">
        <is>
          <t>Loans</t>
        </is>
      </c>
      <c r="C90" s="25" t="n">
        <v>768</v>
      </c>
      <c r="D90" s="25" t="n">
        <v>2760</v>
      </c>
      <c r="E90" s="25" t="n">
        <v>3782</v>
      </c>
      <c r="F90" s="16">
        <f>SUM(C90:E90)</f>
        <v/>
      </c>
      <c r="G90" s="17" t="n"/>
      <c r="H90" s="17" t="n"/>
      <c r="I90" s="17" t="n"/>
    </row>
    <row r="91" ht="15" customHeight="1" s="47">
      <c r="B91" s="46" t="inlineStr">
        <is>
          <t>~LMICT</t>
        </is>
      </c>
      <c r="C91" s="46" t="n">
        <v>163</v>
      </c>
      <c r="D91" s="46" t="n">
        <v>463</v>
      </c>
      <c r="E91" s="46" t="n">
        <v>606</v>
      </c>
      <c r="F91" s="16">
        <f>SUM(C91:E91)</f>
        <v/>
      </c>
      <c r="G91" s="53">
        <f>IFERROR(((C91/2)*G$2)*5,0)</f>
        <v/>
      </c>
      <c r="H91" s="53">
        <f>IFERROR(((D91/2)*H$2)*5,0)</f>
        <v/>
      </c>
      <c r="I91" s="53">
        <f>IFERROR(((E91/2)*I$2)*5,0)</f>
        <v/>
      </c>
      <c r="J91" s="53">
        <f>SUM(G91:I91)</f>
        <v/>
      </c>
      <c r="K91" s="8" t="n"/>
      <c r="L91" s="8" t="n"/>
    </row>
    <row r="92" ht="15" customHeight="1" s="47">
      <c r="B92" s="46" t="inlineStr">
        <is>
          <t>~LMIB</t>
        </is>
      </c>
      <c r="C92" s="46" t="n">
        <v>178</v>
      </c>
      <c r="D92" s="46" t="n">
        <v>726</v>
      </c>
      <c r="E92" s="46" t="n">
        <v>861</v>
      </c>
      <c r="F92" s="16">
        <f>SUM(C92:E92)</f>
        <v/>
      </c>
      <c r="G92" s="53">
        <f>IFERROR(((C92/2)*G$2)*5,0)</f>
        <v/>
      </c>
      <c r="H92" s="53">
        <f>IFERROR(((D92/2)*H$2)*5,0)</f>
        <v/>
      </c>
      <c r="I92" s="53">
        <f>IFERROR(((E92/2)*I$2)*5,0)</f>
        <v/>
      </c>
      <c r="J92" s="53">
        <f>SUM(G92:I92)</f>
        <v/>
      </c>
      <c r="K92" s="8" t="n"/>
      <c r="L92" s="8" t="n"/>
    </row>
    <row r="93" ht="15" customHeight="1" s="47">
      <c r="B93" s="46" t="inlineStr">
        <is>
          <t>LMIB$</t>
        </is>
      </c>
      <c r="C93" s="51" t="n">
        <v>37200000</v>
      </c>
      <c r="D93" s="51" t="n">
        <v>101460000</v>
      </c>
      <c r="E93" s="51" t="n">
        <v>69235000</v>
      </c>
      <c r="F93" s="16">
        <f>SUM(C93:E93)</f>
        <v/>
      </c>
      <c r="G93" s="54">
        <f>IFERROR(((C93/2)*G$2)*5,0)</f>
        <v/>
      </c>
      <c r="H93" s="54">
        <f>IFERROR(((D93/2)*H$2)*5,0)</f>
        <v/>
      </c>
      <c r="I93" s="54">
        <f>IFERROR(((E93/2)*I$2)*5,0)</f>
        <v/>
      </c>
      <c r="J93" s="55">
        <f>SUM(G93:I93)</f>
        <v/>
      </c>
      <c r="K93" s="56">
        <f>IFERROR((F93/6)*5,0)</f>
        <v/>
      </c>
      <c r="L93" s="54">
        <f>J93-K93</f>
        <v/>
      </c>
    </row>
    <row r="94" ht="15" customHeight="1" s="47">
      <c r="B94" s="46" t="inlineStr">
        <is>
          <t>~MMCT</t>
        </is>
      </c>
      <c r="C94" s="46" t="n">
        <v>340</v>
      </c>
      <c r="D94" s="25" t="n">
        <v>1077</v>
      </c>
      <c r="E94" s="25" t="n">
        <v>1602</v>
      </c>
      <c r="F94" s="16">
        <f>SUM(C94:E94)</f>
        <v/>
      </c>
      <c r="G94" s="53">
        <f>IFERROR(((C94/2)*G$2)*5,0)</f>
        <v/>
      </c>
      <c r="H94" s="53">
        <f>IFERROR(((D94/2)*H$2)*5,0)</f>
        <v/>
      </c>
      <c r="I94" s="53">
        <f>IFERROR(((E94/2)*I$2)*5,0)</f>
        <v/>
      </c>
      <c r="J94" s="53">
        <f>SUM(G94:I94)</f>
        <v/>
      </c>
      <c r="K94" s="8" t="n"/>
    </row>
    <row r="95" ht="15" customHeight="1" s="47">
      <c r="B95" s="46" t="inlineStr">
        <is>
          <t>~MINB</t>
        </is>
      </c>
      <c r="C95" s="46" t="n">
        <v>368</v>
      </c>
      <c r="D95" s="46" t="n">
        <v>958</v>
      </c>
      <c r="E95" s="25" t="n">
        <v>1442</v>
      </c>
      <c r="F95" s="16">
        <f>SUM(C95:E95)</f>
        <v/>
      </c>
      <c r="G95" s="53">
        <f>IFERROR(((C95/2)*G$2)*5,0)</f>
        <v/>
      </c>
      <c r="H95" s="53">
        <f>IFERROR(((D95/2)*H$2)*5,0)</f>
        <v/>
      </c>
      <c r="I95" s="53">
        <f>IFERROR(((E95/2)*I$2)*5,0)</f>
        <v/>
      </c>
      <c r="J95" s="53">
        <f>SUM(G95:I95)</f>
        <v/>
      </c>
      <c r="K95" s="8" t="n"/>
    </row>
    <row r="96" ht="15" customHeight="1" s="47">
      <c r="B96" s="46" t="inlineStr">
        <is>
          <t>~Asian</t>
        </is>
      </c>
      <c r="C96" s="46" t="n">
        <v>174</v>
      </c>
      <c r="D96" s="46" t="n">
        <v>255</v>
      </c>
      <c r="E96" s="46" t="n">
        <v>419</v>
      </c>
      <c r="F96" s="16">
        <f>SUM(C96:E96)</f>
        <v/>
      </c>
      <c r="G96" s="53">
        <f>IFERROR(((C96/2)*G$2)*5,0)</f>
        <v/>
      </c>
      <c r="H96" s="53">
        <f>IFERROR(((D96/2)*H$2)*5,0)</f>
        <v/>
      </c>
      <c r="I96" s="53">
        <f>IFERROR(((E96/2)*I$2)*5,0)</f>
        <v/>
      </c>
      <c r="J96" s="53">
        <f>SUM(G96:I96)</f>
        <v/>
      </c>
      <c r="K96" s="8" t="n"/>
    </row>
    <row r="97" ht="15" customHeight="1" s="47">
      <c r="B97" s="46" t="inlineStr">
        <is>
          <t>~Black</t>
        </is>
      </c>
      <c r="C97" s="46" t="n">
        <v>129</v>
      </c>
      <c r="D97" s="46" t="n">
        <v>555</v>
      </c>
      <c r="E97" s="46" t="n">
        <v>772</v>
      </c>
      <c r="F97" s="16">
        <f>SUM(C97:E97)</f>
        <v/>
      </c>
      <c r="G97" s="53">
        <f>IFERROR(((C97/2)*G$2)*5,0)</f>
        <v/>
      </c>
      <c r="H97" s="53">
        <f>IFERROR(((D97/2)*H$2)*5,0)</f>
        <v/>
      </c>
      <c r="I97" s="53">
        <f>IFERROR(((E97/2)*I$2)*5,0)</f>
        <v/>
      </c>
      <c r="J97" s="53">
        <f>SUM(G97:I97)</f>
        <v/>
      </c>
      <c r="K97" s="8" t="n"/>
    </row>
    <row r="98" ht="15" customHeight="1" s="47">
      <c r="B98" s="46" t="inlineStr">
        <is>
          <t>~Native American</t>
        </is>
      </c>
      <c r="C98" s="46" t="n">
        <v>2</v>
      </c>
      <c r="D98" s="46" t="n">
        <v>14</v>
      </c>
      <c r="E98" s="46" t="n">
        <v>8</v>
      </c>
      <c r="F98" s="16">
        <f>SUM(C98:E98)</f>
        <v/>
      </c>
      <c r="G98" s="53">
        <f>IFERROR(((C98/2)*G$2)*5,0)</f>
        <v/>
      </c>
      <c r="H98" s="53">
        <f>IFERROR(((D98/2)*H$2)*5,0)</f>
        <v/>
      </c>
      <c r="I98" s="53">
        <f>IFERROR(((E98/2)*I$2)*5,0)</f>
        <v/>
      </c>
      <c r="J98" s="53">
        <f>SUM(G98:I98)</f>
        <v/>
      </c>
      <c r="K98" s="8" t="n"/>
    </row>
    <row r="99" ht="15" customHeight="1" s="47">
      <c r="B99" s="46" t="inlineStr">
        <is>
          <t>~HoPI</t>
        </is>
      </c>
      <c r="C99" s="46" t="n">
        <v>0</v>
      </c>
      <c r="D99" s="46" t="n">
        <v>5</v>
      </c>
      <c r="E99" s="46" t="n">
        <v>5</v>
      </c>
      <c r="F99" s="16">
        <f>SUM(C99:E99)</f>
        <v/>
      </c>
      <c r="G99" s="53">
        <f>IFERROR(((C99/2)*G$2)*5,0)</f>
        <v/>
      </c>
      <c r="H99" s="53">
        <f>IFERROR(((D99/2)*H$2)*5,0)</f>
        <v/>
      </c>
      <c r="I99" s="53">
        <f>IFERROR(((E99/2)*I$2)*5,0)</f>
        <v/>
      </c>
      <c r="J99" s="53">
        <f>SUM(G99:I99)</f>
        <v/>
      </c>
      <c r="K99" s="8" t="n"/>
    </row>
    <row r="100" ht="15" customHeight="1" s="47">
      <c r="B100" s="46" t="inlineStr">
        <is>
          <t>~Hispanic</t>
        </is>
      </c>
      <c r="C100" s="46" t="n">
        <v>63</v>
      </c>
      <c r="D100" s="46" t="n">
        <v>129</v>
      </c>
      <c r="E100" s="46" t="n">
        <v>238</v>
      </c>
      <c r="F100" s="16">
        <f>SUM(C100:E100)</f>
        <v/>
      </c>
      <c r="G100" s="53">
        <f>IFERROR(((C100/2)*G$2)*5,0)</f>
        <v/>
      </c>
      <c r="H100" s="53">
        <f>IFERROR(((D100/2)*H$2)*5,0)</f>
        <v/>
      </c>
      <c r="I100" s="53">
        <f>IFERROR(((E100/2)*I$2)*5,0)</f>
        <v/>
      </c>
      <c r="J100" s="53">
        <f>SUM(G100:I100)</f>
        <v/>
      </c>
      <c r="K100" s="8" t="n"/>
    </row>
    <row r="101" ht="15" customHeight="1" s="47">
      <c r="A101" s="46" t="inlineStr">
        <is>
          <t>Illinois</t>
        </is>
      </c>
      <c r="B101" s="46" t="inlineStr">
        <is>
          <t>Loans</t>
        </is>
      </c>
      <c r="C101" s="25" t="n">
        <v>1429</v>
      </c>
      <c r="D101" s="25" t="n">
        <v>2327</v>
      </c>
      <c r="E101" s="25" t="n">
        <v>1081</v>
      </c>
      <c r="F101" s="16">
        <f>SUM(C101:E101)</f>
        <v/>
      </c>
      <c r="G101" s="17" t="n"/>
      <c r="H101" s="17" t="n"/>
      <c r="I101" s="17" t="n"/>
    </row>
    <row r="102" ht="15" customHeight="1" s="47">
      <c r="B102" s="46" t="inlineStr">
        <is>
          <t>~LMICT</t>
        </is>
      </c>
      <c r="C102" s="46" t="n">
        <v>893</v>
      </c>
      <c r="D102" s="25" t="n">
        <v>1607</v>
      </c>
      <c r="E102" s="25" t="n">
        <v>1093</v>
      </c>
      <c r="F102" s="16">
        <f>SUM(C102:E102)</f>
        <v/>
      </c>
      <c r="G102" s="53">
        <f>IFERROR(((C102/2)*G$2)*5,0)</f>
        <v/>
      </c>
      <c r="H102" s="53">
        <f>IFERROR(((D102/2)*H$2)*5,0)</f>
        <v/>
      </c>
      <c r="I102" s="53">
        <f>IFERROR(((E102/2)*I$2)*5,0)</f>
        <v/>
      </c>
      <c r="J102" s="53">
        <f>SUM(G102:I102)</f>
        <v/>
      </c>
      <c r="K102" s="8" t="n"/>
      <c r="L102" s="8" t="n"/>
    </row>
    <row r="103" ht="15" customHeight="1" s="47">
      <c r="B103" s="46" t="inlineStr">
        <is>
          <t>~LMIB</t>
        </is>
      </c>
      <c r="C103" s="25" t="n">
        <v>1941</v>
      </c>
      <c r="D103" s="25" t="n">
        <v>3268</v>
      </c>
      <c r="E103" s="25" t="n">
        <v>1889</v>
      </c>
      <c r="F103" s="16">
        <f>SUM(C103:E103)</f>
        <v/>
      </c>
      <c r="G103" s="53">
        <f>IFERROR(((C103/2)*G$2)*5,0)</f>
        <v/>
      </c>
      <c r="H103" s="53">
        <f>IFERROR(((D103/2)*H$2)*5,0)</f>
        <v/>
      </c>
      <c r="I103" s="53">
        <f>IFERROR(((E103/2)*I$2)*5,0)</f>
        <v/>
      </c>
      <c r="J103" s="53">
        <f>SUM(G103:I103)</f>
        <v/>
      </c>
      <c r="K103" s="8" t="n"/>
      <c r="L103" s="8" t="n"/>
    </row>
    <row r="104" ht="15" customHeight="1" s="47">
      <c r="B104" s="46" t="inlineStr">
        <is>
          <t>LMIB$</t>
        </is>
      </c>
      <c r="C104" s="51" t="n">
        <v>306325000</v>
      </c>
      <c r="D104" s="51" t="n">
        <v>408680000</v>
      </c>
      <c r="E104" s="51" t="n">
        <v>143295000</v>
      </c>
      <c r="F104" s="16">
        <f>SUM(C104:E104)</f>
        <v/>
      </c>
      <c r="G104" s="54">
        <f>IFERROR(((C104/2)*G$2)*5,0)</f>
        <v/>
      </c>
      <c r="H104" s="54">
        <f>IFERROR(((D104/2)*H$2)*5,0)</f>
        <v/>
      </c>
      <c r="I104" s="54">
        <f>IFERROR(((E104/2)*I$2)*5,0)</f>
        <v/>
      </c>
      <c r="J104" s="55">
        <f>SUM(G104:I104)</f>
        <v/>
      </c>
      <c r="K104" s="56">
        <f>IFERROR((F104/6)*5,0)</f>
        <v/>
      </c>
      <c r="L104" s="54">
        <f>J104-K104</f>
        <v/>
      </c>
    </row>
    <row r="105" ht="15" customHeight="1" s="47">
      <c r="B105" s="46" t="inlineStr">
        <is>
          <t>~MMCT</t>
        </is>
      </c>
      <c r="C105" s="46" t="n">
        <v>767</v>
      </c>
      <c r="D105" s="25" t="n">
        <v>1829</v>
      </c>
      <c r="E105" s="25" t="n">
        <v>1401</v>
      </c>
      <c r="F105" s="16">
        <f>SUM(C105:E105)</f>
        <v/>
      </c>
      <c r="G105" s="53">
        <f>IFERROR(((C105/2)*G$2)*5,0)</f>
        <v/>
      </c>
      <c r="H105" s="53">
        <f>IFERROR(((D105/2)*H$2)*5,0)</f>
        <v/>
      </c>
      <c r="I105" s="53">
        <f>IFERROR(((E105/2)*I$2)*5,0)</f>
        <v/>
      </c>
      <c r="J105" s="53">
        <f>SUM(G105:I105)</f>
        <v/>
      </c>
      <c r="K105" s="8" t="n"/>
    </row>
    <row r="106" ht="15" customHeight="1" s="47">
      <c r="B106" s="46" t="inlineStr">
        <is>
          <t>~MINB</t>
        </is>
      </c>
      <c r="C106" s="25" t="n">
        <v>1079</v>
      </c>
      <c r="D106" s="25" t="n">
        <v>1878</v>
      </c>
      <c r="E106" s="25" t="n">
        <v>1565</v>
      </c>
      <c r="F106" s="16">
        <f>SUM(C106:E106)</f>
        <v/>
      </c>
      <c r="G106" s="53">
        <f>IFERROR(((C106/2)*G$2)*5,0)</f>
        <v/>
      </c>
      <c r="H106" s="53">
        <f>IFERROR(((D106/2)*H$2)*5,0)</f>
        <v/>
      </c>
      <c r="I106" s="53">
        <f>IFERROR(((E106/2)*I$2)*5,0)</f>
        <v/>
      </c>
      <c r="J106" s="53">
        <f>SUM(G106:I106)</f>
        <v/>
      </c>
      <c r="K106" s="8" t="n"/>
    </row>
    <row r="107" ht="15" customHeight="1" s="47">
      <c r="B107" s="46" t="inlineStr">
        <is>
          <t>~Asian</t>
        </is>
      </c>
      <c r="C107" s="46" t="n">
        <v>275</v>
      </c>
      <c r="D107" s="46" t="n">
        <v>450</v>
      </c>
      <c r="E107" s="46" t="n">
        <v>372</v>
      </c>
      <c r="F107" s="16">
        <f>SUM(C107:E107)</f>
        <v/>
      </c>
      <c r="G107" s="53">
        <f>IFERROR(((C107/2)*G$2)*5,0)</f>
        <v/>
      </c>
      <c r="H107" s="53">
        <f>IFERROR(((D107/2)*H$2)*5,0)</f>
        <v/>
      </c>
      <c r="I107" s="53">
        <f>IFERROR(((E107/2)*I$2)*5,0)</f>
        <v/>
      </c>
      <c r="J107" s="53">
        <f>SUM(G107:I107)</f>
        <v/>
      </c>
      <c r="K107" s="8" t="n"/>
    </row>
    <row r="108" ht="15" customHeight="1" s="47">
      <c r="B108" s="46" t="inlineStr">
        <is>
          <t>~Black</t>
        </is>
      </c>
      <c r="C108" s="46" t="n">
        <v>196</v>
      </c>
      <c r="D108" s="46" t="n">
        <v>338</v>
      </c>
      <c r="E108" s="46" t="n">
        <v>308</v>
      </c>
      <c r="F108" s="16">
        <f>SUM(C108:E108)</f>
        <v/>
      </c>
      <c r="G108" s="53">
        <f>IFERROR(((C108/2)*G$2)*5,0)</f>
        <v/>
      </c>
      <c r="H108" s="53">
        <f>IFERROR(((D108/2)*H$2)*5,0)</f>
        <v/>
      </c>
      <c r="I108" s="53">
        <f>IFERROR(((E108/2)*I$2)*5,0)</f>
        <v/>
      </c>
      <c r="J108" s="53">
        <f>SUM(G108:I108)</f>
        <v/>
      </c>
      <c r="K108" s="8" t="n"/>
    </row>
    <row r="109" ht="15" customHeight="1" s="47">
      <c r="B109" s="46" t="inlineStr">
        <is>
          <t>~Native American</t>
        </is>
      </c>
      <c r="C109" s="46" t="n">
        <v>8</v>
      </c>
      <c r="D109" s="46" t="n">
        <v>15</v>
      </c>
      <c r="E109" s="46" t="n">
        <v>19</v>
      </c>
      <c r="F109" s="16">
        <f>SUM(C109:E109)</f>
        <v/>
      </c>
      <c r="G109" s="53">
        <f>IFERROR(((C109/2)*G$2)*5,0)</f>
        <v/>
      </c>
      <c r="H109" s="53">
        <f>IFERROR(((D109/2)*H$2)*5,0)</f>
        <v/>
      </c>
      <c r="I109" s="53">
        <f>IFERROR(((E109/2)*I$2)*5,0)</f>
        <v/>
      </c>
      <c r="J109" s="53">
        <f>SUM(G109:I109)</f>
        <v/>
      </c>
      <c r="K109" s="8" t="n"/>
    </row>
    <row r="110" ht="15" customHeight="1" s="47">
      <c r="B110" s="46" t="inlineStr">
        <is>
          <t>~HoPI</t>
        </is>
      </c>
      <c r="C110" s="46" t="n">
        <v>0</v>
      </c>
      <c r="D110" s="46" t="n">
        <v>9</v>
      </c>
      <c r="E110" s="46" t="n">
        <v>5</v>
      </c>
      <c r="F110" s="16">
        <f>SUM(C110:E110)</f>
        <v/>
      </c>
      <c r="G110" s="53">
        <f>IFERROR(((C110/2)*G$2)*5,0)</f>
        <v/>
      </c>
      <c r="H110" s="53">
        <f>IFERROR(((D110/2)*H$2)*5,0)</f>
        <v/>
      </c>
      <c r="I110" s="53">
        <f>IFERROR(((E110/2)*I$2)*5,0)</f>
        <v/>
      </c>
      <c r="J110" s="53">
        <f>SUM(G110:I110)</f>
        <v/>
      </c>
      <c r="K110" s="8" t="n"/>
    </row>
    <row r="111" ht="15" customHeight="1" s="47">
      <c r="B111" s="46" t="inlineStr">
        <is>
          <t>~Hispanic</t>
        </is>
      </c>
      <c r="C111" s="46" t="n">
        <v>600</v>
      </c>
      <c r="D111" s="25" t="n">
        <v>1066</v>
      </c>
      <c r="E111" s="46" t="n">
        <v>861</v>
      </c>
      <c r="F111" s="16">
        <f>SUM(C111:E111)</f>
        <v/>
      </c>
      <c r="G111" s="53">
        <f>IFERROR(((C111/2)*G$2)*5,0)</f>
        <v/>
      </c>
      <c r="H111" s="53">
        <f>IFERROR(((D111/2)*H$2)*5,0)</f>
        <v/>
      </c>
      <c r="I111" s="53">
        <f>IFERROR(((E111/2)*I$2)*5,0)</f>
        <v/>
      </c>
      <c r="J111" s="53">
        <f>SUM(G111:I111)</f>
        <v/>
      </c>
      <c r="K111" s="8" t="n"/>
    </row>
    <row r="112" ht="15" customHeight="1" s="47">
      <c r="A112" s="46" t="inlineStr">
        <is>
          <t>Indiana</t>
        </is>
      </c>
      <c r="B112" s="46" t="inlineStr">
        <is>
          <t>Loans</t>
        </is>
      </c>
      <c r="C112" s="25" t="n">
        <v>2022</v>
      </c>
      <c r="D112" s="25" t="n">
        <v>5902</v>
      </c>
      <c r="E112" s="25" t="n">
        <v>5345</v>
      </c>
      <c r="F112" s="16">
        <f>SUM(C112:E112)</f>
        <v/>
      </c>
      <c r="G112" s="17" t="n"/>
      <c r="H112" s="17" t="n"/>
      <c r="I112" s="17" t="n"/>
    </row>
    <row r="113" ht="15" customHeight="1" s="47">
      <c r="B113" s="46" t="inlineStr">
        <is>
          <t>~LMICT</t>
        </is>
      </c>
      <c r="C113" s="46" t="n">
        <v>553</v>
      </c>
      <c r="D113" s="25" t="n">
        <v>1139</v>
      </c>
      <c r="E113" s="25" t="n">
        <v>1098</v>
      </c>
      <c r="F113" s="16">
        <f>SUM(C113:E113)</f>
        <v/>
      </c>
      <c r="G113" s="53">
        <f>IFERROR(((C113/2)*G$2)*5,0)</f>
        <v/>
      </c>
      <c r="H113" s="53">
        <f>IFERROR(((D113/2)*H$2)*5,0)</f>
        <v/>
      </c>
      <c r="I113" s="53">
        <f>IFERROR(((E113/2)*I$2)*5,0)</f>
        <v/>
      </c>
      <c r="J113" s="8">
        <f>SUM(G113:I113)</f>
        <v/>
      </c>
      <c r="K113" s="8" t="n"/>
      <c r="L113" s="8" t="n"/>
    </row>
    <row r="114" ht="15" customHeight="1" s="47">
      <c r="B114" s="46" t="inlineStr">
        <is>
          <t>~LMIB</t>
        </is>
      </c>
      <c r="C114" s="25" t="n">
        <v>1190</v>
      </c>
      <c r="D114" s="25" t="n">
        <v>2847</v>
      </c>
      <c r="E114" s="25" t="n">
        <v>2169</v>
      </c>
      <c r="F114" s="16">
        <f>SUM(C114:E114)</f>
        <v/>
      </c>
      <c r="G114" s="53">
        <f>IFERROR(((C114/2)*G$2)*5,0)</f>
        <v/>
      </c>
      <c r="H114" s="53">
        <f>IFERROR(((D114/2)*H$2)*5,0)</f>
        <v/>
      </c>
      <c r="I114" s="53">
        <f>IFERROR(((E114/2)*I$2)*5,0)</f>
        <v/>
      </c>
      <c r="J114" s="8">
        <f>SUM(G114:I114)</f>
        <v/>
      </c>
      <c r="K114" s="8" t="n"/>
      <c r="L114" s="8" t="n"/>
    </row>
    <row r="115" ht="15" customHeight="1" s="47">
      <c r="B115" s="46" t="inlineStr">
        <is>
          <t>LMIB$</t>
        </is>
      </c>
      <c r="C115" s="51" t="n">
        <v>166940000</v>
      </c>
      <c r="D115" s="51" t="n">
        <v>278915000</v>
      </c>
      <c r="E115" s="51" t="n">
        <v>138215000</v>
      </c>
      <c r="F115" s="16">
        <f>SUM(C115:E115)</f>
        <v/>
      </c>
      <c r="G115" s="54">
        <f>IFERROR(((C115/2)*G$2)*5,0)</f>
        <v/>
      </c>
      <c r="H115" s="54">
        <f>IFERROR(((D115/2)*H$2)*5,0)</f>
        <v/>
      </c>
      <c r="I115" s="54">
        <f>IFERROR(((E115/2)*I$2)*5,0)</f>
        <v/>
      </c>
      <c r="J115" s="55">
        <f>SUM(G115:I115)</f>
        <v/>
      </c>
      <c r="K115" s="56">
        <f>IFERROR((F115/6)*5,0)</f>
        <v/>
      </c>
      <c r="L115" s="54">
        <f>J115-K115</f>
        <v/>
      </c>
    </row>
    <row r="116" ht="15" customHeight="1" s="47">
      <c r="B116" s="46" t="inlineStr">
        <is>
          <t>~MMCT</t>
        </is>
      </c>
      <c r="C116" s="46" t="n">
        <v>138</v>
      </c>
      <c r="D116" s="46" t="n">
        <v>387</v>
      </c>
      <c r="E116" s="46" t="n">
        <v>421</v>
      </c>
      <c r="F116" s="16">
        <f>SUM(C116:E116)</f>
        <v/>
      </c>
      <c r="G116" s="53">
        <f>IFERROR(((C116/2)*G$2)*5,0)</f>
        <v/>
      </c>
      <c r="H116" s="53">
        <f>IFERROR(((D116/2)*H$2)*5,0)</f>
        <v/>
      </c>
      <c r="I116" s="53">
        <f>IFERROR(((E116/2)*I$2)*5,0)</f>
        <v/>
      </c>
      <c r="J116" s="8">
        <f>SUM(G116:I116)</f>
        <v/>
      </c>
      <c r="K116" s="8" t="n"/>
    </row>
    <row r="117" ht="15" customHeight="1" s="47">
      <c r="B117" s="46" t="inlineStr">
        <is>
          <t>~MINB</t>
        </is>
      </c>
      <c r="C117" s="46" t="n">
        <v>380</v>
      </c>
      <c r="D117" s="46" t="n">
        <v>623</v>
      </c>
      <c r="E117" s="46" t="n">
        <v>657</v>
      </c>
      <c r="F117" s="16">
        <f>SUM(C117:E117)</f>
        <v/>
      </c>
      <c r="G117" s="53">
        <f>IFERROR(((C117/2)*G$2)*5,0)</f>
        <v/>
      </c>
      <c r="H117" s="53">
        <f>IFERROR(((D117/2)*H$2)*5,0)</f>
        <v/>
      </c>
      <c r="I117" s="53">
        <f>IFERROR(((E117/2)*I$2)*5,0)</f>
        <v/>
      </c>
      <c r="J117" s="8">
        <f>SUM(G117:I117)</f>
        <v/>
      </c>
      <c r="K117" s="8" t="n"/>
    </row>
    <row r="118" ht="15" customHeight="1" s="47">
      <c r="B118" s="46" t="inlineStr">
        <is>
          <t>~Asian</t>
        </is>
      </c>
      <c r="C118" s="46" t="n">
        <v>85</v>
      </c>
      <c r="D118" s="46" t="n">
        <v>107</v>
      </c>
      <c r="E118" s="46" t="n">
        <v>107</v>
      </c>
      <c r="F118" s="16">
        <f>SUM(C118:E118)</f>
        <v/>
      </c>
      <c r="G118" s="53">
        <f>IFERROR(((C118/2)*G$2)*5,0)</f>
        <v/>
      </c>
      <c r="H118" s="53">
        <f>IFERROR(((D118/2)*H$2)*5,0)</f>
        <v/>
      </c>
      <c r="I118" s="53">
        <f>IFERROR(((E118/2)*I$2)*5,0)</f>
        <v/>
      </c>
      <c r="J118" s="8">
        <f>SUM(G118:I118)</f>
        <v/>
      </c>
      <c r="K118" s="8" t="n"/>
    </row>
    <row r="119" ht="15" customHeight="1" s="47">
      <c r="B119" s="46" t="inlineStr">
        <is>
          <t>~Black</t>
        </is>
      </c>
      <c r="C119" s="46" t="n">
        <v>101</v>
      </c>
      <c r="D119" s="46" t="n">
        <v>275</v>
      </c>
      <c r="E119" s="46" t="n">
        <v>255</v>
      </c>
      <c r="F119" s="16">
        <f>SUM(C119:E119)</f>
        <v/>
      </c>
      <c r="G119" s="53">
        <f>IFERROR(((C119/2)*G$2)*5,0)</f>
        <v/>
      </c>
      <c r="H119" s="53">
        <f>IFERROR(((D119/2)*H$2)*5,0)</f>
        <v/>
      </c>
      <c r="I119" s="53">
        <f>IFERROR(((E119/2)*I$2)*5,0)</f>
        <v/>
      </c>
      <c r="J119" s="8">
        <f>SUM(G119:I119)</f>
        <v/>
      </c>
      <c r="K119" s="8" t="n"/>
    </row>
    <row r="120" ht="15" customHeight="1" s="47">
      <c r="B120" s="46" t="inlineStr">
        <is>
          <t>~Native American</t>
        </is>
      </c>
      <c r="C120" s="46" t="n">
        <v>7</v>
      </c>
      <c r="D120" s="46" t="n">
        <v>20</v>
      </c>
      <c r="E120" s="46" t="n">
        <v>29</v>
      </c>
      <c r="F120" s="16">
        <f>SUM(C120:E120)</f>
        <v/>
      </c>
      <c r="G120" s="53">
        <f>IFERROR(((C120/2)*G$2)*5,0)</f>
        <v/>
      </c>
      <c r="H120" s="53">
        <f>IFERROR(((D120/2)*H$2)*5,0)</f>
        <v/>
      </c>
      <c r="I120" s="53">
        <f>IFERROR(((E120/2)*I$2)*5,0)</f>
        <v/>
      </c>
      <c r="J120" s="8">
        <f>SUM(G120:I120)</f>
        <v/>
      </c>
      <c r="K120" s="8" t="n"/>
    </row>
    <row r="121" ht="15" customHeight="1" s="47">
      <c r="B121" s="46" t="inlineStr">
        <is>
          <t>~HoPI</t>
        </is>
      </c>
      <c r="C121" s="46" t="n">
        <v>3</v>
      </c>
      <c r="D121" s="46" t="n">
        <v>5</v>
      </c>
      <c r="E121" s="46" t="n">
        <v>11</v>
      </c>
      <c r="F121" s="16">
        <f>SUM(C121:E121)</f>
        <v/>
      </c>
      <c r="G121" s="53">
        <f>IFERROR(((C121/2)*G$2)*5,0)</f>
        <v/>
      </c>
      <c r="H121" s="53">
        <f>IFERROR(((D121/2)*H$2)*5,0)</f>
        <v/>
      </c>
      <c r="I121" s="53">
        <f>IFERROR(((E121/2)*I$2)*5,0)</f>
        <v/>
      </c>
      <c r="J121" s="8">
        <f>SUM(G121:I121)</f>
        <v/>
      </c>
      <c r="K121" s="8" t="n"/>
    </row>
    <row r="122" ht="15" customHeight="1" s="47">
      <c r="B122" s="46" t="inlineStr">
        <is>
          <t>~Hispanic</t>
        </is>
      </c>
      <c r="C122" s="46" t="n">
        <v>184</v>
      </c>
      <c r="D122" s="46" t="n">
        <v>216</v>
      </c>
      <c r="E122" s="46" t="n">
        <v>255</v>
      </c>
      <c r="F122" s="16">
        <f>SUM(C122:E122)</f>
        <v/>
      </c>
      <c r="G122" s="53">
        <f>IFERROR(((C122/2)*G$2)*5,0)</f>
        <v/>
      </c>
      <c r="H122" s="53">
        <f>IFERROR(((D122/2)*H$2)*5,0)</f>
        <v/>
      </c>
      <c r="I122" s="53">
        <f>IFERROR(((E122/2)*I$2)*5,0)</f>
        <v/>
      </c>
      <c r="J122" s="8">
        <f>SUM(G122:I122)</f>
        <v/>
      </c>
      <c r="K122" s="8" t="n"/>
    </row>
    <row r="123" ht="15" customHeight="1" s="47">
      <c r="A123" s="46" t="inlineStr">
        <is>
          <t>Kentucky</t>
        </is>
      </c>
      <c r="B123" s="46" t="inlineStr">
        <is>
          <t>Loans</t>
        </is>
      </c>
      <c r="C123" s="25" t="n">
        <v>1953</v>
      </c>
      <c r="D123" s="25" t="n">
        <v>5886</v>
      </c>
      <c r="E123" s="25" t="n">
        <v>4534</v>
      </c>
      <c r="F123" s="16">
        <f>SUM(C123:E123)</f>
        <v/>
      </c>
      <c r="G123" s="17" t="n"/>
      <c r="H123" s="17" t="n"/>
      <c r="I123" s="17" t="n"/>
    </row>
    <row r="124" ht="15" customHeight="1" s="47">
      <c r="B124" s="46" t="inlineStr">
        <is>
          <t>~LMICT</t>
        </is>
      </c>
      <c r="C124" s="46" t="n">
        <v>379</v>
      </c>
      <c r="D124" s="46" t="n">
        <v>878</v>
      </c>
      <c r="E124" s="46" t="n">
        <v>644</v>
      </c>
      <c r="F124" s="16">
        <f>SUM(C124:E124)</f>
        <v/>
      </c>
      <c r="G124" s="53">
        <f>IFERROR(((C124/2)*G$2)*5,0)</f>
        <v/>
      </c>
      <c r="H124" s="53">
        <f>IFERROR(((D124/2)*H$2)*5,0)</f>
        <v/>
      </c>
      <c r="I124" s="53">
        <f>IFERROR(((E124/2)*I$2)*5,0)</f>
        <v/>
      </c>
      <c r="J124" s="8">
        <f>SUM(G124:I124)</f>
        <v/>
      </c>
      <c r="K124" s="8" t="n"/>
      <c r="L124" s="8" t="n"/>
    </row>
    <row r="125" ht="15" customHeight="1" s="47">
      <c r="B125" s="46" t="inlineStr">
        <is>
          <t>~LMIB</t>
        </is>
      </c>
      <c r="C125" s="46" t="n">
        <v>876</v>
      </c>
      <c r="D125" s="25" t="n">
        <v>2044</v>
      </c>
      <c r="E125" s="25" t="n">
        <v>1361</v>
      </c>
      <c r="F125" s="16">
        <f>SUM(C125:E125)</f>
        <v/>
      </c>
      <c r="G125" s="53">
        <f>IFERROR(((C125/2)*G$2)*5,0)</f>
        <v/>
      </c>
      <c r="H125" s="53">
        <f>IFERROR(((D125/2)*H$2)*5,0)</f>
        <v/>
      </c>
      <c r="I125" s="53">
        <f>IFERROR(((E125/2)*I$2)*5,0)</f>
        <v/>
      </c>
      <c r="J125" s="8">
        <f>SUM(G125:I125)</f>
        <v/>
      </c>
      <c r="K125" s="8" t="n"/>
      <c r="L125" s="8" t="n"/>
    </row>
    <row r="126" ht="15" customHeight="1" s="47">
      <c r="B126" s="46" t="inlineStr">
        <is>
          <t>LMIB$</t>
        </is>
      </c>
      <c r="C126" s="51" t="n">
        <v>136000000</v>
      </c>
      <c r="D126" s="51" t="n">
        <v>214990000</v>
      </c>
      <c r="E126" s="51" t="n">
        <v>85805000</v>
      </c>
      <c r="F126" s="16">
        <f>SUM(C126:E126)</f>
        <v/>
      </c>
      <c r="G126" s="54">
        <f>IFERROR(((C126/2)*G$2)*5,0)</f>
        <v/>
      </c>
      <c r="H126" s="54">
        <f>IFERROR(((D126/2)*H$2)*5,0)</f>
        <v/>
      </c>
      <c r="I126" s="54">
        <f>IFERROR(((E126/2)*I$2)*5,0)</f>
        <v/>
      </c>
      <c r="J126" s="55">
        <f>SUM(G126:I126)</f>
        <v/>
      </c>
      <c r="K126" s="56">
        <f>IFERROR((F126/6)*5,0)</f>
        <v/>
      </c>
      <c r="L126" s="54">
        <f>J126-K126</f>
        <v/>
      </c>
    </row>
    <row r="127" ht="15" customHeight="1" s="47">
      <c r="B127" s="46" t="inlineStr">
        <is>
          <t>~MMCT</t>
        </is>
      </c>
      <c r="C127" s="46" t="n">
        <v>86</v>
      </c>
      <c r="D127" s="46" t="n">
        <v>241</v>
      </c>
      <c r="E127" s="46" t="n">
        <v>199</v>
      </c>
      <c r="F127" s="16">
        <f>SUM(C127:E127)</f>
        <v/>
      </c>
      <c r="G127" s="53">
        <f>IFERROR(((C127/2)*G$2)*5,0)</f>
        <v/>
      </c>
      <c r="H127" s="53">
        <f>IFERROR(((D127/2)*H$2)*5,0)</f>
        <v/>
      </c>
      <c r="I127" s="53">
        <f>IFERROR(((E127/2)*I$2)*5,0)</f>
        <v/>
      </c>
      <c r="J127" s="8">
        <f>SUM(G127:I127)</f>
        <v/>
      </c>
      <c r="K127" s="8" t="n"/>
    </row>
    <row r="128" ht="15" customHeight="1" s="47">
      <c r="B128" s="46" t="inlineStr">
        <is>
          <t>~MINB</t>
        </is>
      </c>
      <c r="C128" s="46" t="n">
        <v>294</v>
      </c>
      <c r="D128" s="46" t="n">
        <v>522</v>
      </c>
      <c r="E128" s="46" t="n">
        <v>453</v>
      </c>
      <c r="F128" s="16">
        <f>SUM(C128:E128)</f>
        <v/>
      </c>
      <c r="G128" s="53">
        <f>IFERROR(((C128/2)*G$2)*5,0)</f>
        <v/>
      </c>
      <c r="H128" s="53">
        <f>IFERROR(((D128/2)*H$2)*5,0)</f>
        <v/>
      </c>
      <c r="I128" s="53">
        <f>IFERROR(((E128/2)*I$2)*5,0)</f>
        <v/>
      </c>
      <c r="J128" s="8">
        <f>SUM(G128:I128)</f>
        <v/>
      </c>
      <c r="K128" s="8" t="n"/>
    </row>
    <row r="129" ht="15" customHeight="1" s="47">
      <c r="B129" s="46" t="inlineStr">
        <is>
          <t>~Asian</t>
        </is>
      </c>
      <c r="C129" s="46" t="n">
        <v>93</v>
      </c>
      <c r="D129" s="46" t="n">
        <v>156</v>
      </c>
      <c r="E129" s="46" t="n">
        <v>90</v>
      </c>
      <c r="F129" s="16">
        <f>SUM(C129:E129)</f>
        <v/>
      </c>
      <c r="G129" s="53">
        <f>IFERROR(((C129/2)*G$2)*5,0)</f>
        <v/>
      </c>
      <c r="H129" s="53">
        <f>IFERROR(((D129/2)*H$2)*5,0)</f>
        <v/>
      </c>
      <c r="I129" s="53">
        <f>IFERROR(((E129/2)*I$2)*5,0)</f>
        <v/>
      </c>
      <c r="J129" s="8">
        <f>SUM(G129:I129)</f>
        <v/>
      </c>
      <c r="K129" s="8" t="n"/>
    </row>
    <row r="130" ht="15" customHeight="1" s="47">
      <c r="B130" s="46" t="inlineStr">
        <is>
          <t>~Black</t>
        </is>
      </c>
      <c r="C130" s="46" t="n">
        <v>134</v>
      </c>
      <c r="D130" s="46" t="n">
        <v>293</v>
      </c>
      <c r="E130" s="46" t="n">
        <v>240</v>
      </c>
      <c r="F130" s="16">
        <f>SUM(C130:E130)</f>
        <v/>
      </c>
      <c r="G130" s="53">
        <f>IFERROR(((C130/2)*G$2)*5,0)</f>
        <v/>
      </c>
      <c r="H130" s="53">
        <f>IFERROR(((D130/2)*H$2)*5,0)</f>
        <v/>
      </c>
      <c r="I130" s="53">
        <f>IFERROR(((E130/2)*I$2)*5,0)</f>
        <v/>
      </c>
      <c r="J130" s="8">
        <f>SUM(G130:I130)</f>
        <v/>
      </c>
      <c r="K130" s="8" t="n"/>
    </row>
    <row r="131" ht="15" customHeight="1" s="47">
      <c r="B131" s="46" t="inlineStr">
        <is>
          <t>~Native American</t>
        </is>
      </c>
      <c r="C131" s="46" t="n">
        <v>2</v>
      </c>
      <c r="D131" s="46" t="n">
        <v>11</v>
      </c>
      <c r="E131" s="46" t="n">
        <v>8</v>
      </c>
      <c r="F131" s="16">
        <f>SUM(C131:E131)</f>
        <v/>
      </c>
      <c r="G131" s="53">
        <f>IFERROR(((C131/2)*G$2)*5,0)</f>
        <v/>
      </c>
      <c r="H131" s="53">
        <f>IFERROR(((D131/2)*H$2)*5,0)</f>
        <v/>
      </c>
      <c r="I131" s="53">
        <f>IFERROR(((E131/2)*I$2)*5,0)</f>
        <v/>
      </c>
      <c r="J131" s="8">
        <f>SUM(G131:I131)</f>
        <v/>
      </c>
      <c r="K131" s="8" t="n"/>
    </row>
    <row r="132" ht="15" customHeight="1" s="47">
      <c r="B132" s="46" t="inlineStr">
        <is>
          <t>~HoPI</t>
        </is>
      </c>
      <c r="C132" s="46" t="n">
        <v>1</v>
      </c>
      <c r="D132" s="46" t="n">
        <v>4</v>
      </c>
      <c r="E132" s="46" t="n">
        <v>5</v>
      </c>
      <c r="F132" s="16">
        <f>SUM(C132:E132)</f>
        <v/>
      </c>
      <c r="G132" s="53">
        <f>IFERROR(((C132/2)*G$2)*5,0)</f>
        <v/>
      </c>
      <c r="H132" s="53">
        <f>IFERROR(((D132/2)*H$2)*5,0)</f>
        <v/>
      </c>
      <c r="I132" s="53">
        <f>IFERROR(((E132/2)*I$2)*5,0)</f>
        <v/>
      </c>
      <c r="J132" s="8">
        <f>SUM(G132:I132)</f>
        <v/>
      </c>
      <c r="K132" s="8" t="n"/>
    </row>
    <row r="133" ht="15" customHeight="1" s="47">
      <c r="B133" s="46" t="inlineStr">
        <is>
          <t>~Hispanic</t>
        </is>
      </c>
      <c r="C133" s="46" t="n">
        <v>64</v>
      </c>
      <c r="D133" s="46" t="n">
        <v>58</v>
      </c>
      <c r="E133" s="46" t="n">
        <v>110</v>
      </c>
      <c r="F133" s="16">
        <f>SUM(C133:E133)</f>
        <v/>
      </c>
      <c r="G133" s="53">
        <f>IFERROR(((C133/2)*G$2)*5,0)</f>
        <v/>
      </c>
      <c r="H133" s="53">
        <f>IFERROR(((D133/2)*H$2)*5,0)</f>
        <v/>
      </c>
      <c r="I133" s="53">
        <f>IFERROR(((E133/2)*I$2)*5,0)</f>
        <v/>
      </c>
      <c r="J133" s="8">
        <f>SUM(G133:I133)</f>
        <v/>
      </c>
      <c r="K133" s="8" t="n"/>
    </row>
    <row r="134" ht="15" customHeight="1" s="47">
      <c r="A134" s="46" t="inlineStr">
        <is>
          <t>Maryland</t>
        </is>
      </c>
      <c r="B134" s="46" t="inlineStr">
        <is>
          <t>Loans</t>
        </is>
      </c>
      <c r="C134" s="25" t="n">
        <v>1134</v>
      </c>
      <c r="D134" s="25" t="n">
        <v>4377</v>
      </c>
      <c r="E134" s="25" t="n">
        <v>4678</v>
      </c>
      <c r="F134" s="16">
        <f>SUM(C134:E134)</f>
        <v/>
      </c>
      <c r="G134" s="17" t="n"/>
      <c r="H134" s="17" t="n"/>
      <c r="I134" s="17" t="n"/>
    </row>
    <row r="135" ht="15" customHeight="1" s="47">
      <c r="B135" s="46" t="inlineStr">
        <is>
          <t>~LMICT</t>
        </is>
      </c>
      <c r="C135" s="46" t="n">
        <v>565</v>
      </c>
      <c r="D135" s="25" t="n">
        <v>1195</v>
      </c>
      <c r="E135" s="25" t="n">
        <v>1053</v>
      </c>
      <c r="F135" s="16">
        <f>SUM(C135:E135)</f>
        <v/>
      </c>
      <c r="G135" s="53">
        <f>IFERROR(((C135/2)*G$2)*5,0)</f>
        <v/>
      </c>
      <c r="H135" s="53">
        <f>IFERROR(((D135/2)*H$2)*5,0)</f>
        <v/>
      </c>
      <c r="I135" s="53">
        <f>IFERROR(((E135/2)*I$2)*5,0)</f>
        <v/>
      </c>
      <c r="J135" s="53">
        <f>SUM(G135:I135)</f>
        <v/>
      </c>
      <c r="K135" s="8" t="n"/>
      <c r="L135" s="8" t="n"/>
    </row>
    <row r="136" ht="15" customHeight="1" s="47">
      <c r="B136" s="46" t="inlineStr">
        <is>
          <t>~LMIB</t>
        </is>
      </c>
      <c r="C136" s="46" t="n">
        <v>872</v>
      </c>
      <c r="D136" s="25" t="n">
        <v>2671</v>
      </c>
      <c r="E136" s="25" t="n">
        <v>2343</v>
      </c>
      <c r="F136" s="16">
        <f>SUM(C136:E136)</f>
        <v/>
      </c>
      <c r="G136" s="53">
        <f>IFERROR(((C136/2)*G$2)*5,0)</f>
        <v/>
      </c>
      <c r="H136" s="53">
        <f>IFERROR(((D136/2)*H$2)*5,0)</f>
        <v/>
      </c>
      <c r="I136" s="53">
        <f>IFERROR(((E136/2)*I$2)*5,0)</f>
        <v/>
      </c>
      <c r="J136" s="53">
        <f>SUM(G136:I136)</f>
        <v/>
      </c>
      <c r="K136" s="8" t="n"/>
      <c r="L136" s="8" t="n"/>
    </row>
    <row r="137" ht="15" customHeight="1" s="47">
      <c r="B137" s="46" t="inlineStr">
        <is>
          <t>LMIB$</t>
        </is>
      </c>
      <c r="C137" s="51" t="n">
        <v>186710000</v>
      </c>
      <c r="D137" s="51" t="n">
        <v>433625000</v>
      </c>
      <c r="E137" s="51" t="n">
        <v>191725000</v>
      </c>
      <c r="F137" s="16">
        <f>SUM(C137:E137)</f>
        <v/>
      </c>
      <c r="G137" s="54">
        <f>IFERROR(((C137/2)*G$2)*5,0)</f>
        <v/>
      </c>
      <c r="H137" s="54">
        <f>IFERROR(((D137/2)*H$2)*5,0)</f>
        <v/>
      </c>
      <c r="I137" s="54">
        <f>IFERROR(((E137/2)*I$2)*5,0)</f>
        <v/>
      </c>
      <c r="J137" s="55">
        <f>SUM(G137:I137)</f>
        <v/>
      </c>
      <c r="K137" s="56">
        <f>IFERROR((F137/6)*5,0)</f>
        <v/>
      </c>
      <c r="L137" s="54">
        <f>J137-K137</f>
        <v/>
      </c>
    </row>
    <row r="138" ht="15" customHeight="1" s="47">
      <c r="B138" s="46" t="inlineStr">
        <is>
          <t>~MMCT</t>
        </is>
      </c>
      <c r="C138" s="46" t="n">
        <v>685</v>
      </c>
      <c r="D138" s="25" t="n">
        <v>1753</v>
      </c>
      <c r="E138" s="25" t="n">
        <v>1720</v>
      </c>
      <c r="F138" s="16">
        <f>SUM(C138:E138)</f>
        <v/>
      </c>
      <c r="G138" s="53">
        <f>IFERROR(((C138/2)*G$2)*5,0)</f>
        <v/>
      </c>
      <c r="H138" s="53">
        <f>IFERROR(((D138/2)*H$2)*5,0)</f>
        <v/>
      </c>
      <c r="I138" s="53">
        <f>IFERROR(((E138/2)*I$2)*5,0)</f>
        <v/>
      </c>
      <c r="J138" s="53">
        <f>SUM(G138:I138)</f>
        <v/>
      </c>
      <c r="K138" s="8" t="n"/>
    </row>
    <row r="139" ht="15" customHeight="1" s="47">
      <c r="B139" s="46" t="inlineStr">
        <is>
          <t>~MINB</t>
        </is>
      </c>
      <c r="C139" s="46" t="n">
        <v>521</v>
      </c>
      <c r="D139" s="25" t="n">
        <v>1253</v>
      </c>
      <c r="E139" s="25" t="n">
        <v>1471</v>
      </c>
      <c r="F139" s="16">
        <f>SUM(C139:E139)</f>
        <v/>
      </c>
      <c r="G139" s="53">
        <f>IFERROR(((C139/2)*G$2)*5,0)</f>
        <v/>
      </c>
      <c r="H139" s="53">
        <f>IFERROR(((D139/2)*H$2)*5,0)</f>
        <v/>
      </c>
      <c r="I139" s="53">
        <f>IFERROR(((E139/2)*I$2)*5,0)</f>
        <v/>
      </c>
      <c r="J139" s="53">
        <f>SUM(G139:I139)</f>
        <v/>
      </c>
      <c r="K139" s="8" t="n"/>
    </row>
    <row r="140" ht="15" customHeight="1" s="47">
      <c r="B140" s="46" t="inlineStr">
        <is>
          <t>~Asian</t>
        </is>
      </c>
      <c r="C140" s="46" t="n">
        <v>159</v>
      </c>
      <c r="D140" s="46" t="n">
        <v>258</v>
      </c>
      <c r="E140" s="46" t="n">
        <v>344</v>
      </c>
      <c r="F140" s="16">
        <f>SUM(C140:E140)</f>
        <v/>
      </c>
      <c r="G140" s="53">
        <f>IFERROR(((C140/2)*G$2)*5,0)</f>
        <v/>
      </c>
      <c r="H140" s="53">
        <f>IFERROR(((D140/2)*H$2)*5,0)</f>
        <v/>
      </c>
      <c r="I140" s="53">
        <f>IFERROR(((E140/2)*I$2)*5,0)</f>
        <v/>
      </c>
      <c r="J140" s="53">
        <f>SUM(G140:I140)</f>
        <v/>
      </c>
      <c r="K140" s="8" t="n"/>
    </row>
    <row r="141" ht="15" customHeight="1" s="47">
      <c r="B141" s="46" t="inlineStr">
        <is>
          <t>~Black</t>
        </is>
      </c>
      <c r="C141" s="46" t="n">
        <v>254</v>
      </c>
      <c r="D141" s="46" t="n">
        <v>744</v>
      </c>
      <c r="E141" s="46" t="n">
        <v>780</v>
      </c>
      <c r="F141" s="16">
        <f>SUM(C141:E141)</f>
        <v/>
      </c>
      <c r="G141" s="53">
        <f>IFERROR(((C141/2)*G$2)*5,0)</f>
        <v/>
      </c>
      <c r="H141" s="53">
        <f>IFERROR(((D141/2)*H$2)*5,0)</f>
        <v/>
      </c>
      <c r="I141" s="53">
        <f>IFERROR(((E141/2)*I$2)*5,0)</f>
        <v/>
      </c>
      <c r="J141" s="53">
        <f>SUM(G141:I141)</f>
        <v/>
      </c>
      <c r="K141" s="8" t="n"/>
    </row>
    <row r="142" ht="15" customHeight="1" s="47">
      <c r="B142" s="46" t="inlineStr">
        <is>
          <t>~Native American</t>
        </is>
      </c>
      <c r="C142" s="46" t="n">
        <v>7</v>
      </c>
      <c r="D142" s="46" t="n">
        <v>15</v>
      </c>
      <c r="E142" s="46" t="n">
        <v>33</v>
      </c>
      <c r="F142" s="16">
        <f>SUM(C142:E142)</f>
        <v/>
      </c>
      <c r="G142" s="53">
        <f>IFERROR(((C142/2)*G$2)*5,0)</f>
        <v/>
      </c>
      <c r="H142" s="53">
        <f>IFERROR(((D142/2)*H$2)*5,0)</f>
        <v/>
      </c>
      <c r="I142" s="53">
        <f>IFERROR(((E142/2)*I$2)*5,0)</f>
        <v/>
      </c>
      <c r="J142" s="53">
        <f>SUM(G142:I142)</f>
        <v/>
      </c>
      <c r="K142" s="8" t="n"/>
    </row>
    <row r="143" ht="15" customHeight="1" s="47">
      <c r="B143" s="46" t="inlineStr">
        <is>
          <t>~HoPI</t>
        </is>
      </c>
      <c r="C143" s="46" t="n">
        <v>2</v>
      </c>
      <c r="D143" s="46" t="n">
        <v>12</v>
      </c>
      <c r="E143" s="46" t="n">
        <v>12</v>
      </c>
      <c r="F143" s="16">
        <f>SUM(C143:E143)</f>
        <v/>
      </c>
      <c r="G143" s="53">
        <f>IFERROR(((C143/2)*G$2)*5,0)</f>
        <v/>
      </c>
      <c r="H143" s="53">
        <f>IFERROR(((D143/2)*H$2)*5,0)</f>
        <v/>
      </c>
      <c r="I143" s="53">
        <f>IFERROR(((E143/2)*I$2)*5,0)</f>
        <v/>
      </c>
      <c r="J143" s="53">
        <f>SUM(G143:I143)</f>
        <v/>
      </c>
      <c r="K143" s="8" t="n"/>
    </row>
    <row r="144" ht="15" customHeight="1" s="47">
      <c r="B144" s="46" t="inlineStr">
        <is>
          <t>~Hispanic</t>
        </is>
      </c>
      <c r="C144" s="46" t="n">
        <v>99</v>
      </c>
      <c r="D144" s="46" t="n">
        <v>224</v>
      </c>
      <c r="E144" s="46" t="n">
        <v>302</v>
      </c>
      <c r="F144" s="16">
        <f>SUM(C144:E144)</f>
        <v/>
      </c>
      <c r="G144" s="53">
        <f>IFERROR(((C144/2)*G$2)*5,0)</f>
        <v/>
      </c>
      <c r="H144" s="53">
        <f>IFERROR(((D144/2)*H$2)*5,0)</f>
        <v/>
      </c>
      <c r="I144" s="53">
        <f>IFERROR(((E144/2)*I$2)*5,0)</f>
        <v/>
      </c>
      <c r="J144" s="53">
        <f>SUM(G144:I144)</f>
        <v/>
      </c>
      <c r="K144" s="8" t="n"/>
    </row>
    <row r="145" ht="15" customHeight="1" s="47">
      <c r="A145" s="46" t="inlineStr">
        <is>
          <t>Massachusetts</t>
        </is>
      </c>
      <c r="B145" s="46" t="inlineStr">
        <is>
          <t>Loans</t>
        </is>
      </c>
      <c r="C145" s="46" t="n">
        <v>226</v>
      </c>
      <c r="D145" s="46" t="n">
        <v>399</v>
      </c>
      <c r="E145" s="46" t="n">
        <v>337</v>
      </c>
      <c r="F145" s="16">
        <f>SUM(C145:E145)</f>
        <v/>
      </c>
      <c r="G145" s="17" t="n"/>
      <c r="H145" s="17" t="n"/>
      <c r="I145" s="17" t="n"/>
    </row>
    <row r="146" ht="15" customHeight="1" s="47">
      <c r="B146" s="46" t="inlineStr">
        <is>
          <t>~LMICT</t>
        </is>
      </c>
      <c r="C146" s="46" t="n">
        <v>27</v>
      </c>
      <c r="D146" s="46" t="n">
        <v>90</v>
      </c>
      <c r="E146" s="46" t="n">
        <v>91</v>
      </c>
      <c r="F146" s="16">
        <f>SUM(C146:E146)</f>
        <v/>
      </c>
      <c r="G146" s="53">
        <f>IFERROR(((C146/2)*G$2)*5,0)</f>
        <v/>
      </c>
      <c r="H146" s="53">
        <f>IFERROR(((D146/2)*H$2)*5,0)</f>
        <v/>
      </c>
      <c r="I146" s="53">
        <f>IFERROR(((E146/2)*I$2)*5,0)</f>
        <v/>
      </c>
      <c r="J146" s="53">
        <f>SUM(G146:I146)</f>
        <v/>
      </c>
      <c r="K146" s="8" t="n"/>
      <c r="L146" s="8" t="n"/>
    </row>
    <row r="147" ht="15" customHeight="1" s="47">
      <c r="B147" s="46" t="inlineStr">
        <is>
          <t>~LMIB</t>
        </is>
      </c>
      <c r="C147" s="46" t="n">
        <v>28</v>
      </c>
      <c r="D147" s="46" t="n">
        <v>137</v>
      </c>
      <c r="E147" s="46" t="n">
        <v>128</v>
      </c>
      <c r="F147" s="16">
        <f>SUM(C147:E147)</f>
        <v/>
      </c>
      <c r="G147" s="53">
        <f>IFERROR(((C147/2)*G$2)*5,0)</f>
        <v/>
      </c>
      <c r="H147" s="53">
        <f>IFERROR(((D147/2)*H$2)*5,0)</f>
        <v/>
      </c>
      <c r="I147" s="53">
        <f>IFERROR(((E147/2)*I$2)*5,0)</f>
        <v/>
      </c>
      <c r="J147" s="53">
        <f>SUM(G147:I147)</f>
        <v/>
      </c>
      <c r="K147" s="8" t="n"/>
      <c r="L147" s="8" t="n"/>
    </row>
    <row r="148" ht="15" customHeight="1" s="47">
      <c r="B148" s="46" t="inlineStr">
        <is>
          <t>LMIB$</t>
        </is>
      </c>
      <c r="C148" s="51" t="n">
        <v>8860000</v>
      </c>
      <c r="D148" s="51" t="n">
        <v>29685000</v>
      </c>
      <c r="E148" s="51" t="n">
        <v>14320000</v>
      </c>
      <c r="F148" s="16">
        <f>SUM(C148:E148)</f>
        <v/>
      </c>
      <c r="G148" s="54">
        <f>IFERROR(((C148/2)*G$2)*5,0)</f>
        <v/>
      </c>
      <c r="H148" s="54">
        <f>IFERROR(((D148/2)*H$2)*5,0)</f>
        <v/>
      </c>
      <c r="I148" s="54">
        <f>IFERROR(((E148/2)*I$2)*5,0)</f>
        <v/>
      </c>
      <c r="J148" s="55">
        <f>SUM(G148:I148)</f>
        <v/>
      </c>
      <c r="K148" s="56">
        <f>IFERROR((F148/6)*5,0)</f>
        <v/>
      </c>
      <c r="L148" s="54">
        <f>J148-K148</f>
        <v/>
      </c>
    </row>
    <row r="149" ht="15" customHeight="1" s="47">
      <c r="B149" s="46" t="inlineStr">
        <is>
          <t>~MMCT</t>
        </is>
      </c>
      <c r="C149" s="46" t="n">
        <v>17</v>
      </c>
      <c r="D149" s="46" t="n">
        <v>48</v>
      </c>
      <c r="E149" s="46" t="n">
        <v>51</v>
      </c>
      <c r="F149" s="16">
        <f>SUM(C149:E149)</f>
        <v/>
      </c>
      <c r="G149" s="53">
        <f>IFERROR(((C149/2)*G$2)*5,0)</f>
        <v/>
      </c>
      <c r="H149" s="53">
        <f>IFERROR(((D149/2)*H$2)*5,0)</f>
        <v/>
      </c>
      <c r="I149" s="53">
        <f>IFERROR(((E149/2)*I$2)*5,0)</f>
        <v/>
      </c>
      <c r="J149" s="53">
        <f>SUM(G149:I149)</f>
        <v/>
      </c>
      <c r="K149" s="8" t="n"/>
    </row>
    <row r="150" ht="15" customHeight="1" s="47">
      <c r="B150" s="46" t="inlineStr">
        <is>
          <t>~MINB</t>
        </is>
      </c>
      <c r="C150" s="46" t="n">
        <v>84</v>
      </c>
      <c r="D150" s="46" t="n">
        <v>91</v>
      </c>
      <c r="E150" s="46" t="n">
        <v>86</v>
      </c>
      <c r="F150" s="16">
        <f>SUM(C150:E150)</f>
        <v/>
      </c>
      <c r="G150" s="53">
        <f>IFERROR(((C150/2)*G$2)*5,0)</f>
        <v/>
      </c>
      <c r="H150" s="53">
        <f>IFERROR(((D150/2)*H$2)*5,0)</f>
        <v/>
      </c>
      <c r="I150" s="53">
        <f>IFERROR(((E150/2)*I$2)*5,0)</f>
        <v/>
      </c>
      <c r="J150" s="53">
        <f>SUM(G150:I150)</f>
        <v/>
      </c>
      <c r="K150" s="8" t="n"/>
    </row>
    <row r="151" ht="15" customHeight="1" s="47">
      <c r="B151" s="46" t="inlineStr">
        <is>
          <t>~Asian</t>
        </is>
      </c>
      <c r="C151" s="46" t="n">
        <v>61</v>
      </c>
      <c r="D151" s="46" t="n">
        <v>46</v>
      </c>
      <c r="E151" s="46" t="n">
        <v>25</v>
      </c>
      <c r="F151" s="16">
        <f>SUM(C151:E151)</f>
        <v/>
      </c>
      <c r="G151" s="53">
        <f>IFERROR(((C151/2)*G$2)*5,0)</f>
        <v/>
      </c>
      <c r="H151" s="53">
        <f>IFERROR(((D151/2)*H$2)*5,0)</f>
        <v/>
      </c>
      <c r="I151" s="53">
        <f>IFERROR(((E151/2)*I$2)*5,0)</f>
        <v/>
      </c>
      <c r="J151" s="53">
        <f>SUM(G151:I151)</f>
        <v/>
      </c>
      <c r="K151" s="8" t="n"/>
    </row>
    <row r="152" ht="15" customHeight="1" s="47">
      <c r="B152" s="46" t="inlineStr">
        <is>
          <t>~Black</t>
        </is>
      </c>
      <c r="C152" s="46" t="n">
        <v>6</v>
      </c>
      <c r="D152" s="46" t="n">
        <v>32</v>
      </c>
      <c r="E152" s="46" t="n">
        <v>32</v>
      </c>
      <c r="F152" s="16">
        <f>SUM(C152:E152)</f>
        <v/>
      </c>
      <c r="G152" s="53">
        <f>IFERROR(((C152/2)*G$2)*5,0)</f>
        <v/>
      </c>
      <c r="H152" s="53">
        <f>IFERROR(((D152/2)*H$2)*5,0)</f>
        <v/>
      </c>
      <c r="I152" s="53">
        <f>IFERROR(((E152/2)*I$2)*5,0)</f>
        <v/>
      </c>
      <c r="J152" s="53">
        <f>SUM(G152:I152)</f>
        <v/>
      </c>
      <c r="K152" s="8" t="n"/>
    </row>
    <row r="153" ht="15" customHeight="1" s="47">
      <c r="B153" s="46" t="inlineStr">
        <is>
          <t>~Native American</t>
        </is>
      </c>
      <c r="C153" s="46" t="n">
        <v>0</v>
      </c>
      <c r="D153" s="46" t="n">
        <v>2</v>
      </c>
      <c r="E153" s="46" t="n">
        <v>0</v>
      </c>
      <c r="F153" s="16">
        <f>SUM(C153:E153)</f>
        <v/>
      </c>
      <c r="G153" s="53">
        <f>IFERROR(((C153/2)*G$2)*5,0)</f>
        <v/>
      </c>
      <c r="H153" s="53">
        <f>IFERROR(((D153/2)*H$2)*5,0)</f>
        <v/>
      </c>
      <c r="I153" s="53">
        <f>IFERROR(((E153/2)*I$2)*5,0)</f>
        <v/>
      </c>
      <c r="J153" s="53">
        <f>SUM(G153:I153)</f>
        <v/>
      </c>
      <c r="K153" s="8" t="n"/>
    </row>
    <row r="154" ht="15" customHeight="1" s="47">
      <c r="B154" s="46" t="inlineStr">
        <is>
          <t>~HoPI</t>
        </is>
      </c>
      <c r="C154" s="46" t="n">
        <v>1</v>
      </c>
      <c r="D154" s="46" t="n">
        <v>0</v>
      </c>
      <c r="E154" s="46" t="n">
        <v>0</v>
      </c>
      <c r="F154" s="16">
        <f>SUM(C154:E154)</f>
        <v/>
      </c>
      <c r="G154" s="53">
        <f>IFERROR(((C154/2)*G$2)*5,0)</f>
        <v/>
      </c>
      <c r="H154" s="53">
        <f>IFERROR(((D154/2)*H$2)*5,0)</f>
        <v/>
      </c>
      <c r="I154" s="53">
        <f>IFERROR(((E154/2)*I$2)*5,0)</f>
        <v/>
      </c>
      <c r="J154" s="53">
        <f>SUM(G154:I154)</f>
        <v/>
      </c>
      <c r="K154" s="8" t="n"/>
    </row>
    <row r="155" ht="15" customHeight="1" s="47">
      <c r="B155" s="46" t="inlineStr">
        <is>
          <t>~Hispanic</t>
        </is>
      </c>
      <c r="C155" s="46" t="n">
        <v>16</v>
      </c>
      <c r="D155" s="46" t="n">
        <v>11</v>
      </c>
      <c r="E155" s="46" t="n">
        <v>29</v>
      </c>
      <c r="F155" s="16">
        <f>SUM(C155:E155)</f>
        <v/>
      </c>
      <c r="G155" s="53">
        <f>IFERROR(((C155/2)*G$2)*5,0)</f>
        <v/>
      </c>
      <c r="H155" s="53">
        <f>IFERROR(((D155/2)*H$2)*5,0)</f>
        <v/>
      </c>
      <c r="I155" s="53">
        <f>IFERROR(((E155/2)*I$2)*5,0)</f>
        <v/>
      </c>
      <c r="J155" s="53">
        <f>SUM(G155:I155)</f>
        <v/>
      </c>
      <c r="K155" s="8" t="n"/>
    </row>
    <row r="156" ht="15" customHeight="1" s="47">
      <c r="A156" s="46" t="inlineStr">
        <is>
          <t>Michigan</t>
        </is>
      </c>
      <c r="B156" s="46" t="inlineStr">
        <is>
          <t>Loans</t>
        </is>
      </c>
      <c r="C156" s="25" t="n">
        <v>2712</v>
      </c>
      <c r="D156" s="25" t="n">
        <v>9662</v>
      </c>
      <c r="E156" s="25" t="n">
        <v>6421</v>
      </c>
      <c r="F156" s="16">
        <f>SUM(C156:E156)</f>
        <v/>
      </c>
      <c r="G156" s="17" t="n"/>
      <c r="H156" s="17" t="n"/>
      <c r="I156" s="17" t="n"/>
    </row>
    <row r="157" ht="15" customHeight="1" s="47">
      <c r="B157" s="46" t="inlineStr">
        <is>
          <t>~LMICT</t>
        </is>
      </c>
      <c r="C157" s="46" t="n">
        <v>615</v>
      </c>
      <c r="D157" s="25" t="n">
        <v>1279</v>
      </c>
      <c r="E157" s="46" t="n">
        <v>944</v>
      </c>
      <c r="F157" s="16">
        <f>SUM(C157:E157)</f>
        <v/>
      </c>
      <c r="G157" s="53">
        <f>IFERROR(((C157/2)*G$2)*5,0)</f>
        <v/>
      </c>
      <c r="H157" s="53">
        <f>IFERROR(((D157/2)*H$2)*5,0)</f>
        <v/>
      </c>
      <c r="I157" s="53">
        <f>IFERROR(((E157/2)*I$2)*5,0)</f>
        <v/>
      </c>
      <c r="J157" s="8">
        <f>SUM(G157:I157)</f>
        <v/>
      </c>
      <c r="K157" s="8" t="n"/>
      <c r="L157" s="8" t="n"/>
    </row>
    <row r="158" ht="15" customHeight="1" s="47">
      <c r="B158" s="46" t="inlineStr">
        <is>
          <t>~LMIB</t>
        </is>
      </c>
      <c r="C158" s="25" t="n">
        <v>1120</v>
      </c>
      <c r="D158" s="25" t="n">
        <v>3157</v>
      </c>
      <c r="E158" s="25" t="n">
        <v>2028</v>
      </c>
      <c r="F158" s="16">
        <f>SUM(C158:E158)</f>
        <v/>
      </c>
      <c r="G158" s="53">
        <f>IFERROR(((C158/2)*G$2)*5,0)</f>
        <v/>
      </c>
      <c r="H158" s="53">
        <f>IFERROR(((D158/2)*H$2)*5,0)</f>
        <v/>
      </c>
      <c r="I158" s="53">
        <f>IFERROR(((E158/2)*I$2)*5,0)</f>
        <v/>
      </c>
      <c r="J158" s="8">
        <f>SUM(G158:I158)</f>
        <v/>
      </c>
      <c r="K158" s="8" t="n"/>
      <c r="L158" s="8" t="n"/>
    </row>
    <row r="159" ht="15" customHeight="1" s="47">
      <c r="B159" s="46" t="inlineStr">
        <is>
          <t>LMIB$</t>
        </is>
      </c>
      <c r="C159" s="51" t="n">
        <v>169650000</v>
      </c>
      <c r="D159" s="51" t="n">
        <v>361535000</v>
      </c>
      <c r="E159" s="51" t="n">
        <v>147110000</v>
      </c>
      <c r="F159" s="16">
        <f>SUM(C159:E159)</f>
        <v/>
      </c>
      <c r="G159" s="54">
        <f>IFERROR(((C159/2)*G$2)*5,0)</f>
        <v/>
      </c>
      <c r="H159" s="54">
        <f>IFERROR(((D159/2)*H$2)*5,0)</f>
        <v/>
      </c>
      <c r="I159" s="54">
        <f>IFERROR(((E159/2)*I$2)*5,0)</f>
        <v/>
      </c>
      <c r="J159" s="55">
        <f>SUM(G159:I159)</f>
        <v/>
      </c>
      <c r="K159" s="56">
        <f>IFERROR((F159/6)*5,0)</f>
        <v/>
      </c>
      <c r="L159" s="54">
        <f>J159-K159</f>
        <v/>
      </c>
    </row>
    <row r="160" ht="15" customHeight="1" s="47">
      <c r="B160" s="46" t="inlineStr">
        <is>
          <t>~MMCT</t>
        </is>
      </c>
      <c r="C160" s="46" t="n">
        <v>234</v>
      </c>
      <c r="D160" s="46" t="n">
        <v>340</v>
      </c>
      <c r="E160" s="46" t="n">
        <v>305</v>
      </c>
      <c r="F160" s="16">
        <f>SUM(C160:E160)</f>
        <v/>
      </c>
      <c r="G160" s="53">
        <f>IFERROR(((C160/2)*G$2)*5,0)</f>
        <v/>
      </c>
      <c r="H160" s="53">
        <f>IFERROR(((D160/2)*H$2)*5,0)</f>
        <v/>
      </c>
      <c r="I160" s="53">
        <f>IFERROR(((E160/2)*I$2)*5,0)</f>
        <v/>
      </c>
      <c r="J160" s="8">
        <f>SUM(G160:I160)</f>
        <v/>
      </c>
      <c r="K160" s="8" t="n"/>
    </row>
    <row r="161" ht="15" customHeight="1" s="47">
      <c r="B161" s="46" t="inlineStr">
        <is>
          <t>~MINB</t>
        </is>
      </c>
      <c r="C161" s="46" t="n">
        <v>354</v>
      </c>
      <c r="D161" s="46" t="n">
        <v>603</v>
      </c>
      <c r="E161" s="46" t="n">
        <v>540</v>
      </c>
      <c r="F161" s="16">
        <f>SUM(C161:E161)</f>
        <v/>
      </c>
      <c r="G161" s="53">
        <f>IFERROR(((C161/2)*G$2)*5,0)</f>
        <v/>
      </c>
      <c r="H161" s="53">
        <f>IFERROR(((D161/2)*H$2)*5,0)</f>
        <v/>
      </c>
      <c r="I161" s="53">
        <f>IFERROR(((E161/2)*I$2)*5,0)</f>
        <v/>
      </c>
      <c r="J161" s="8">
        <f>SUM(G161:I161)</f>
        <v/>
      </c>
      <c r="K161" s="8" t="n"/>
    </row>
    <row r="162" ht="15" customHeight="1" s="47">
      <c r="B162" s="46" t="inlineStr">
        <is>
          <t>~Asian</t>
        </is>
      </c>
      <c r="C162" s="46" t="n">
        <v>115</v>
      </c>
      <c r="D162" s="46" t="n">
        <v>185</v>
      </c>
      <c r="E162" s="46" t="n">
        <v>133</v>
      </c>
      <c r="F162" s="16">
        <f>SUM(C162:E162)</f>
        <v/>
      </c>
      <c r="G162" s="53">
        <f>IFERROR(((C162/2)*G$2)*5,0)</f>
        <v/>
      </c>
      <c r="H162" s="53">
        <f>IFERROR(((D162/2)*H$2)*5,0)</f>
        <v/>
      </c>
      <c r="I162" s="53">
        <f>IFERROR(((E162/2)*I$2)*5,0)</f>
        <v/>
      </c>
      <c r="J162" s="8">
        <f>SUM(G162:I162)</f>
        <v/>
      </c>
      <c r="K162" s="8" t="n"/>
    </row>
    <row r="163" ht="15" customHeight="1" s="47">
      <c r="B163" s="46" t="inlineStr">
        <is>
          <t>~Black</t>
        </is>
      </c>
      <c r="C163" s="46" t="n">
        <v>123</v>
      </c>
      <c r="D163" s="46" t="n">
        <v>230</v>
      </c>
      <c r="E163" s="46" t="n">
        <v>222</v>
      </c>
      <c r="F163" s="16">
        <f>SUM(C163:E163)</f>
        <v/>
      </c>
      <c r="G163" s="53">
        <f>IFERROR(((C163/2)*G$2)*5,0)</f>
        <v/>
      </c>
      <c r="H163" s="53">
        <f>IFERROR(((D163/2)*H$2)*5,0)</f>
        <v/>
      </c>
      <c r="I163" s="53">
        <f>IFERROR(((E163/2)*I$2)*5,0)</f>
        <v/>
      </c>
      <c r="J163" s="8">
        <f>SUM(G163:I163)</f>
        <v/>
      </c>
      <c r="K163" s="8" t="n"/>
    </row>
    <row r="164" ht="15" customHeight="1" s="47">
      <c r="B164" s="46" t="inlineStr">
        <is>
          <t>~Native American</t>
        </is>
      </c>
      <c r="C164" s="46" t="n">
        <v>19</v>
      </c>
      <c r="D164" s="46" t="n">
        <v>27</v>
      </c>
      <c r="E164" s="46" t="n">
        <v>38</v>
      </c>
      <c r="F164" s="16">
        <f>SUM(C164:E164)</f>
        <v/>
      </c>
      <c r="G164" s="53">
        <f>IFERROR(((C164/2)*G$2)*5,0)</f>
        <v/>
      </c>
      <c r="H164" s="53">
        <f>IFERROR(((D164/2)*H$2)*5,0)</f>
        <v/>
      </c>
      <c r="I164" s="53">
        <f>IFERROR(((E164/2)*I$2)*5,0)</f>
        <v/>
      </c>
      <c r="J164" s="8">
        <f>SUM(G164:I164)</f>
        <v/>
      </c>
      <c r="K164" s="8" t="n"/>
    </row>
    <row r="165" ht="15" customHeight="1" s="47">
      <c r="B165" s="46" t="inlineStr">
        <is>
          <t>~HoPI</t>
        </is>
      </c>
      <c r="C165" s="46" t="n">
        <v>3</v>
      </c>
      <c r="D165" s="46" t="n">
        <v>4</v>
      </c>
      <c r="E165" s="46" t="n">
        <v>5</v>
      </c>
      <c r="F165" s="16">
        <f>SUM(C165:E165)</f>
        <v/>
      </c>
      <c r="G165" s="53">
        <f>IFERROR(((C165/2)*G$2)*5,0)</f>
        <v/>
      </c>
      <c r="H165" s="53">
        <f>IFERROR(((D165/2)*H$2)*5,0)</f>
        <v/>
      </c>
      <c r="I165" s="53">
        <f>IFERROR(((E165/2)*I$2)*5,0)</f>
        <v/>
      </c>
      <c r="J165" s="8">
        <f>SUM(G165:I165)</f>
        <v/>
      </c>
      <c r="K165" s="8" t="n"/>
    </row>
    <row r="166" ht="15" customHeight="1" s="47">
      <c r="B166" s="46" t="inlineStr">
        <is>
          <t>~Hispanic</t>
        </is>
      </c>
      <c r="C166" s="46" t="n">
        <v>94</v>
      </c>
      <c r="D166" s="46" t="n">
        <v>157</v>
      </c>
      <c r="E166" s="46" t="n">
        <v>142</v>
      </c>
      <c r="F166" s="16">
        <f>SUM(C166:E166)</f>
        <v/>
      </c>
      <c r="G166" s="53">
        <f>IFERROR(((C166/2)*G$2)*5,0)</f>
        <v/>
      </c>
      <c r="H166" s="53">
        <f>IFERROR(((D166/2)*H$2)*5,0)</f>
        <v/>
      </c>
      <c r="I166" s="53">
        <f>IFERROR(((E166/2)*I$2)*5,0)</f>
        <v/>
      </c>
      <c r="J166" s="8">
        <f>SUM(G166:I166)</f>
        <v/>
      </c>
      <c r="K166" s="8" t="n"/>
    </row>
    <row r="167" ht="15" customHeight="1" s="47">
      <c r="A167" s="46" t="inlineStr">
        <is>
          <t>Missouri</t>
        </is>
      </c>
      <c r="B167" s="46" t="inlineStr">
        <is>
          <t>Loans</t>
        </is>
      </c>
      <c r="C167" s="46" t="n">
        <v>403</v>
      </c>
      <c r="D167" s="25" t="n">
        <v>1003</v>
      </c>
      <c r="E167" s="25" t="n">
        <v>1167</v>
      </c>
      <c r="F167" s="16">
        <f>SUM(C167:E167)</f>
        <v/>
      </c>
    </row>
    <row r="168" ht="15" customHeight="1" s="47">
      <c r="B168" s="46" t="inlineStr">
        <is>
          <t>~LMICT</t>
        </is>
      </c>
      <c r="C168" s="46" t="n">
        <v>84</v>
      </c>
      <c r="D168" s="46" t="n">
        <v>178</v>
      </c>
      <c r="E168" s="46" t="n">
        <v>181</v>
      </c>
      <c r="F168" s="16">
        <f>SUM(C168:E168)</f>
        <v/>
      </c>
    </row>
    <row r="169" ht="15" customHeight="1" s="47">
      <c r="B169" s="46" t="inlineStr">
        <is>
          <t>~LMIB</t>
        </is>
      </c>
      <c r="C169" s="46" t="n">
        <v>169</v>
      </c>
      <c r="D169" s="46" t="n">
        <v>370</v>
      </c>
      <c r="E169" s="46" t="n">
        <v>358</v>
      </c>
      <c r="F169" s="16">
        <f>SUM(C169:E169)</f>
        <v/>
      </c>
    </row>
    <row r="170" ht="15" customHeight="1" s="47">
      <c r="B170" s="46" t="inlineStr">
        <is>
          <t>LMIB$</t>
        </is>
      </c>
      <c r="C170" s="51" t="n">
        <v>25005000</v>
      </c>
      <c r="D170" s="51" t="n">
        <v>42740000</v>
      </c>
      <c r="E170" s="51" t="n">
        <v>23630000</v>
      </c>
      <c r="F170" s="16">
        <f>SUM(C170:E170)</f>
        <v/>
      </c>
    </row>
    <row r="171" ht="15" customHeight="1" s="47">
      <c r="B171" s="46" t="inlineStr">
        <is>
          <t>~MMCT</t>
        </is>
      </c>
      <c r="C171" s="46" t="n">
        <v>48</v>
      </c>
      <c r="D171" s="46" t="n">
        <v>66</v>
      </c>
      <c r="E171" s="46" t="n">
        <v>72</v>
      </c>
      <c r="F171" s="16">
        <f>SUM(C171:E171)</f>
        <v/>
      </c>
    </row>
    <row r="172" ht="15" customHeight="1" s="47">
      <c r="B172" s="46" t="inlineStr">
        <is>
          <t>~MINB</t>
        </is>
      </c>
      <c r="C172" s="46" t="n">
        <v>83</v>
      </c>
      <c r="D172" s="46" t="n">
        <v>105</v>
      </c>
      <c r="E172" s="46" t="n">
        <v>151</v>
      </c>
      <c r="F172" s="16">
        <f>SUM(C172:E172)</f>
        <v/>
      </c>
    </row>
    <row r="173" ht="15" customHeight="1" s="47">
      <c r="B173" s="46" t="inlineStr">
        <is>
          <t>~Asian</t>
        </is>
      </c>
      <c r="C173" s="46" t="n">
        <v>30</v>
      </c>
      <c r="D173" s="46" t="n">
        <v>29</v>
      </c>
      <c r="E173" s="46" t="n">
        <v>37</v>
      </c>
      <c r="F173" s="16">
        <f>SUM(C173:E173)</f>
        <v/>
      </c>
    </row>
    <row r="174" ht="15" customHeight="1" s="47">
      <c r="B174" s="46" t="inlineStr">
        <is>
          <t>~Black</t>
        </is>
      </c>
      <c r="C174" s="46" t="n">
        <v>36</v>
      </c>
      <c r="D174" s="46" t="n">
        <v>42</v>
      </c>
      <c r="E174" s="46" t="n">
        <v>75</v>
      </c>
      <c r="F174" s="16">
        <f>SUM(C174:E174)</f>
        <v/>
      </c>
    </row>
    <row r="175" ht="15" customHeight="1" s="47">
      <c r="B175" s="46" t="inlineStr">
        <is>
          <t>~Native American</t>
        </is>
      </c>
      <c r="C175" s="46" t="n">
        <v>0</v>
      </c>
      <c r="D175" s="46" t="n">
        <v>7</v>
      </c>
      <c r="E175" s="46" t="n">
        <v>8</v>
      </c>
      <c r="F175" s="16">
        <f>SUM(C175:E175)</f>
        <v/>
      </c>
    </row>
    <row r="176" ht="15" customHeight="1" s="47">
      <c r="B176" s="46" t="inlineStr">
        <is>
          <t>~HoPI</t>
        </is>
      </c>
      <c r="C176" s="46" t="n">
        <v>1</v>
      </c>
      <c r="D176" s="46" t="n">
        <v>0</v>
      </c>
      <c r="E176" s="46" t="n">
        <v>3</v>
      </c>
      <c r="F176" s="16">
        <f>SUM(C176:E176)</f>
        <v/>
      </c>
    </row>
    <row r="177" ht="15" customHeight="1" s="47">
      <c r="B177" s="46" t="inlineStr">
        <is>
          <t>~Hispanic</t>
        </is>
      </c>
      <c r="C177" s="46" t="n">
        <v>16</v>
      </c>
      <c r="D177" s="46" t="n">
        <v>27</v>
      </c>
      <c r="E177" s="46" t="n">
        <v>28</v>
      </c>
      <c r="F177" s="16">
        <f>SUM(C177:E177)</f>
        <v/>
      </c>
    </row>
    <row r="178" ht="15" customHeight="1" s="47">
      <c r="A178" s="46" t="inlineStr">
        <is>
          <t>New Jersey</t>
        </is>
      </c>
      <c r="B178" s="46" t="inlineStr">
        <is>
          <t>Loans</t>
        </is>
      </c>
      <c r="C178" s="25" t="n">
        <v>3970</v>
      </c>
      <c r="D178" s="25" t="n">
        <v>14233</v>
      </c>
      <c r="E178" s="25" t="n">
        <v>16123</v>
      </c>
      <c r="F178" s="16">
        <f>SUM(C178:E178)</f>
        <v/>
      </c>
    </row>
    <row r="179" ht="15" customHeight="1" s="47">
      <c r="B179" s="46" t="inlineStr">
        <is>
          <t>~LMICT</t>
        </is>
      </c>
      <c r="C179" s="46" t="n">
        <v>509</v>
      </c>
      <c r="D179" s="25" t="n">
        <v>1471</v>
      </c>
      <c r="E179" s="25" t="n">
        <v>1876</v>
      </c>
      <c r="F179" s="16">
        <f>SUM(C179:E179)</f>
        <v/>
      </c>
    </row>
    <row r="180" ht="15" customHeight="1" s="47">
      <c r="B180" s="46" t="inlineStr">
        <is>
          <t>~LMIB</t>
        </is>
      </c>
      <c r="C180" s="46" t="n">
        <v>937</v>
      </c>
      <c r="D180" s="25" t="n">
        <v>3270</v>
      </c>
      <c r="E180" s="25" t="n">
        <v>3313</v>
      </c>
      <c r="F180" s="16">
        <f>SUM(C180:E180)</f>
        <v/>
      </c>
    </row>
    <row r="181" ht="15" customHeight="1" s="47">
      <c r="B181" s="46" t="inlineStr">
        <is>
          <t>LMIB$</t>
        </is>
      </c>
      <c r="C181" s="51" t="n">
        <v>202045000</v>
      </c>
      <c r="D181" s="51" t="n">
        <v>502800000</v>
      </c>
      <c r="E181" s="51" t="n">
        <v>296175000</v>
      </c>
      <c r="F181" s="16">
        <f>SUM(C181:E181)</f>
        <v/>
      </c>
    </row>
    <row r="182" ht="15" customHeight="1" s="47">
      <c r="B182" s="46" t="inlineStr">
        <is>
          <t>~MMCT</t>
        </is>
      </c>
      <c r="C182" s="46" t="n">
        <v>837</v>
      </c>
      <c r="D182" s="25" t="n">
        <v>2252</v>
      </c>
      <c r="E182" s="25" t="n">
        <v>2715</v>
      </c>
      <c r="F182" s="16">
        <f>SUM(C182:E182)</f>
        <v/>
      </c>
    </row>
    <row r="183" ht="15" customHeight="1" s="47">
      <c r="B183" s="46" t="inlineStr">
        <is>
          <t>~MINB</t>
        </is>
      </c>
      <c r="C183" s="25" t="n">
        <v>1386</v>
      </c>
      <c r="D183" s="25" t="n">
        <v>2770</v>
      </c>
      <c r="E183" s="25" t="n">
        <v>3749</v>
      </c>
      <c r="F183" s="16">
        <f>SUM(C183:E183)</f>
        <v/>
      </c>
    </row>
    <row r="184" ht="15" customHeight="1" s="47">
      <c r="B184" s="46" t="inlineStr">
        <is>
          <t>~Asian</t>
        </is>
      </c>
      <c r="C184" s="46" t="n">
        <v>888</v>
      </c>
      <c r="D184" s="25" t="n">
        <v>1406</v>
      </c>
      <c r="E184" s="25" t="n">
        <v>1712</v>
      </c>
      <c r="F184" s="16">
        <f>SUM(C184:E184)</f>
        <v/>
      </c>
    </row>
    <row r="185" ht="15" customHeight="1" s="47">
      <c r="B185" s="46" t="inlineStr">
        <is>
          <t>~Black</t>
        </is>
      </c>
      <c r="C185" s="46" t="n">
        <v>168</v>
      </c>
      <c r="D185" s="46" t="n">
        <v>541</v>
      </c>
      <c r="E185" s="46" t="n">
        <v>614</v>
      </c>
      <c r="F185" s="16">
        <f>SUM(C185:E185)</f>
        <v/>
      </c>
    </row>
    <row r="186" ht="15" customHeight="1" s="47">
      <c r="B186" s="46" t="inlineStr">
        <is>
          <t>~Native American</t>
        </is>
      </c>
      <c r="C186" s="46" t="n">
        <v>6</v>
      </c>
      <c r="D186" s="46" t="n">
        <v>29</v>
      </c>
      <c r="E186" s="46" t="n">
        <v>37</v>
      </c>
      <c r="F186" s="16">
        <f>SUM(C186:E186)</f>
        <v/>
      </c>
    </row>
    <row r="187" ht="15" customHeight="1" s="47">
      <c r="B187" s="46" t="inlineStr">
        <is>
          <t>~HoPI</t>
        </is>
      </c>
      <c r="C187" s="46" t="n">
        <v>2</v>
      </c>
      <c r="D187" s="46" t="n">
        <v>16</v>
      </c>
      <c r="E187" s="46" t="n">
        <v>21</v>
      </c>
      <c r="F187" s="16">
        <f>SUM(C187:E187)</f>
        <v/>
      </c>
    </row>
    <row r="188" ht="15" customHeight="1" s="47">
      <c r="B188" s="46" t="inlineStr">
        <is>
          <t>~Hispanic</t>
        </is>
      </c>
      <c r="C188" s="46" t="n">
        <v>322</v>
      </c>
      <c r="D188" s="46" t="n">
        <v>778</v>
      </c>
      <c r="E188" s="25" t="n">
        <v>1365</v>
      </c>
      <c r="F188" s="16">
        <f>SUM(C188:E188)</f>
        <v/>
      </c>
    </row>
    <row r="189" ht="15" customHeight="1" s="47">
      <c r="A189" s="46" t="inlineStr">
        <is>
          <t>New York</t>
        </is>
      </c>
      <c r="B189" s="46" t="inlineStr">
        <is>
          <t>Loans</t>
        </is>
      </c>
      <c r="C189" s="25" t="n">
        <v>1379</v>
      </c>
      <c r="D189" s="25" t="n">
        <v>1868</v>
      </c>
      <c r="E189" s="25" t="n">
        <v>2020</v>
      </c>
      <c r="F189" s="16">
        <f>SUM(C189:E189)</f>
        <v/>
      </c>
    </row>
    <row r="190" ht="15" customHeight="1" s="47">
      <c r="B190" s="46" t="inlineStr">
        <is>
          <t>~LMICT</t>
        </is>
      </c>
      <c r="C190" s="46" t="n">
        <v>141</v>
      </c>
      <c r="D190" s="46" t="n">
        <v>169</v>
      </c>
      <c r="E190" s="46" t="n">
        <v>260</v>
      </c>
      <c r="F190" s="16">
        <f>SUM(C190:E190)</f>
        <v/>
      </c>
    </row>
    <row r="191" ht="15" customHeight="1" s="47">
      <c r="B191" s="46" t="inlineStr">
        <is>
          <t>~LMIB</t>
        </is>
      </c>
      <c r="C191" s="46" t="n">
        <v>159</v>
      </c>
      <c r="D191" s="46" t="n">
        <v>173</v>
      </c>
      <c r="E191" s="46" t="n">
        <v>157</v>
      </c>
      <c r="F191" s="16">
        <f>SUM(C191:E191)</f>
        <v/>
      </c>
    </row>
    <row r="192" ht="15" customHeight="1" s="47">
      <c r="B192" s="46" t="inlineStr">
        <is>
          <t>LMIB$</t>
        </is>
      </c>
      <c r="C192" s="51" t="n">
        <v>45675000</v>
      </c>
      <c r="D192" s="51" t="n">
        <v>49335000</v>
      </c>
      <c r="E192" s="51" t="n">
        <v>20205000</v>
      </c>
      <c r="F192" s="16">
        <f>SUM(C192:E192)</f>
        <v/>
      </c>
    </row>
    <row r="193" ht="15" customHeight="1" s="47">
      <c r="B193" s="46" t="inlineStr">
        <is>
          <t>~MMCT</t>
        </is>
      </c>
      <c r="C193" s="46" t="n">
        <v>230</v>
      </c>
      <c r="D193" s="46" t="n">
        <v>331</v>
      </c>
      <c r="E193" s="46" t="n">
        <v>395</v>
      </c>
      <c r="F193" s="16">
        <f>SUM(C193:E193)</f>
        <v/>
      </c>
    </row>
    <row r="194" ht="15" customHeight="1" s="47">
      <c r="B194" s="46" t="inlineStr">
        <is>
          <t>~MINB</t>
        </is>
      </c>
      <c r="C194" s="46" t="n">
        <v>331</v>
      </c>
      <c r="D194" s="46" t="n">
        <v>317</v>
      </c>
      <c r="E194" s="46" t="n">
        <v>390</v>
      </c>
      <c r="F194" s="16">
        <f>SUM(C194:E194)</f>
        <v/>
      </c>
    </row>
    <row r="195" ht="15" customHeight="1" s="47">
      <c r="B195" s="46" t="inlineStr">
        <is>
          <t>~Asian</t>
        </is>
      </c>
      <c r="C195" s="46" t="n">
        <v>219</v>
      </c>
      <c r="D195" s="46" t="n">
        <v>200</v>
      </c>
      <c r="E195" s="46" t="n">
        <v>172</v>
      </c>
      <c r="F195" s="16">
        <f>SUM(C195:E195)</f>
        <v/>
      </c>
    </row>
    <row r="196" ht="15" customHeight="1" s="47">
      <c r="B196" s="46" t="inlineStr">
        <is>
          <t>~Black</t>
        </is>
      </c>
      <c r="C196" s="46" t="n">
        <v>34</v>
      </c>
      <c r="D196" s="46" t="n">
        <v>47</v>
      </c>
      <c r="E196" s="46" t="n">
        <v>81</v>
      </c>
      <c r="F196" s="16">
        <f>SUM(C196:E196)</f>
        <v/>
      </c>
    </row>
    <row r="197" ht="15" customHeight="1" s="47">
      <c r="B197" s="46" t="inlineStr">
        <is>
          <t>~Native American</t>
        </is>
      </c>
      <c r="C197" s="46" t="n">
        <v>2</v>
      </c>
      <c r="D197" s="46" t="n">
        <v>2</v>
      </c>
      <c r="E197" s="46" t="n">
        <v>6</v>
      </c>
      <c r="F197" s="16">
        <f>SUM(C197:E197)</f>
        <v/>
      </c>
    </row>
    <row r="198" ht="15" customHeight="1" s="47">
      <c r="B198" s="46" t="inlineStr">
        <is>
          <t>~HoPI</t>
        </is>
      </c>
      <c r="C198" s="46" t="n">
        <v>0</v>
      </c>
      <c r="D198" s="46" t="n">
        <v>1</v>
      </c>
      <c r="E198" s="46" t="n">
        <v>3</v>
      </c>
      <c r="F198" s="16">
        <f>SUM(C198:E198)</f>
        <v/>
      </c>
    </row>
    <row r="199" ht="15" customHeight="1" s="47">
      <c r="B199" s="46" t="inlineStr">
        <is>
          <t>~Hispanic</t>
        </is>
      </c>
      <c r="C199" s="46" t="n">
        <v>76</v>
      </c>
      <c r="D199" s="46" t="n">
        <v>67</v>
      </c>
      <c r="E199" s="46" t="n">
        <v>128</v>
      </c>
      <c r="F199" s="16">
        <f>SUM(C199:E199)</f>
        <v/>
      </c>
    </row>
    <row r="200" ht="15" customHeight="1" s="47">
      <c r="A200" s="46" t="inlineStr">
        <is>
          <t>North Carolina</t>
        </is>
      </c>
      <c r="B200" s="46" t="inlineStr">
        <is>
          <t>Loans</t>
        </is>
      </c>
      <c r="C200" s="25" t="n">
        <v>3266</v>
      </c>
      <c r="D200" s="25" t="n">
        <v>7438</v>
      </c>
      <c r="E200" s="25" t="n">
        <v>7225</v>
      </c>
      <c r="F200" s="16">
        <f>SUM(C200:E200)</f>
        <v/>
      </c>
    </row>
    <row r="201" ht="15" customHeight="1" s="47">
      <c r="B201" s="46" t="inlineStr">
        <is>
          <t>~LMICT</t>
        </is>
      </c>
      <c r="C201" s="46" t="n">
        <v>504</v>
      </c>
      <c r="D201" s="25" t="n">
        <v>1120</v>
      </c>
      <c r="E201" s="46" t="n">
        <v>977</v>
      </c>
      <c r="F201" s="16">
        <f>SUM(C201:E201)</f>
        <v/>
      </c>
    </row>
    <row r="202" ht="15" customHeight="1" s="47">
      <c r="B202" s="46" t="inlineStr">
        <is>
          <t>~LMIB</t>
        </is>
      </c>
      <c r="C202" s="46" t="n">
        <v>807</v>
      </c>
      <c r="D202" s="25" t="n">
        <v>1846</v>
      </c>
      <c r="E202" s="25" t="n">
        <v>1537</v>
      </c>
      <c r="F202" s="16">
        <f>SUM(C202:E202)</f>
        <v/>
      </c>
    </row>
    <row r="203" ht="15" customHeight="1" s="47">
      <c r="B203" s="46" t="inlineStr">
        <is>
          <t>LMIB$</t>
        </is>
      </c>
      <c r="C203" s="51" t="n">
        <v>152305000</v>
      </c>
      <c r="D203" s="51" t="n">
        <v>230280000</v>
      </c>
      <c r="E203" s="51" t="n">
        <v>125375000</v>
      </c>
      <c r="F203" s="16">
        <f>SUM(C203:E203)</f>
        <v/>
      </c>
    </row>
    <row r="204" ht="15" customHeight="1" s="47">
      <c r="B204" s="46" t="inlineStr">
        <is>
          <t>~MMCT</t>
        </is>
      </c>
      <c r="C204" s="46" t="n">
        <v>589</v>
      </c>
      <c r="D204" s="25" t="n">
        <v>1149</v>
      </c>
      <c r="E204" s="25" t="n">
        <v>1092</v>
      </c>
      <c r="F204" s="16">
        <f>SUM(C204:E204)</f>
        <v/>
      </c>
    </row>
    <row r="205" ht="15" customHeight="1" s="47">
      <c r="B205" s="46" t="inlineStr">
        <is>
          <t>~MINB</t>
        </is>
      </c>
      <c r="C205" s="46" t="n">
        <v>599</v>
      </c>
      <c r="D205" s="46" t="n">
        <v>938</v>
      </c>
      <c r="E205" s="25" t="n">
        <v>1053</v>
      </c>
      <c r="F205" s="16">
        <f>SUM(C205:E205)</f>
        <v/>
      </c>
    </row>
    <row r="206" ht="15" customHeight="1" s="47">
      <c r="B206" s="46" t="inlineStr">
        <is>
          <t>~Asian</t>
        </is>
      </c>
      <c r="C206" s="46" t="n">
        <v>213</v>
      </c>
      <c r="D206" s="46" t="n">
        <v>165</v>
      </c>
      <c r="E206" s="46" t="n">
        <v>238</v>
      </c>
      <c r="F206" s="16">
        <f>SUM(C206:E206)</f>
        <v/>
      </c>
    </row>
    <row r="207" ht="15" customHeight="1" s="47">
      <c r="B207" s="46" t="inlineStr">
        <is>
          <t>~Black</t>
        </is>
      </c>
      <c r="C207" s="46" t="n">
        <v>178</v>
      </c>
      <c r="D207" s="46" t="n">
        <v>492</v>
      </c>
      <c r="E207" s="46" t="n">
        <v>486</v>
      </c>
      <c r="F207" s="16">
        <f>SUM(C207:E207)</f>
        <v/>
      </c>
    </row>
    <row r="208" ht="15" customHeight="1" s="47">
      <c r="B208" s="46" t="inlineStr">
        <is>
          <t>~Native American</t>
        </is>
      </c>
      <c r="C208" s="46" t="n">
        <v>11</v>
      </c>
      <c r="D208" s="46" t="n">
        <v>36</v>
      </c>
      <c r="E208" s="46" t="n">
        <v>41</v>
      </c>
      <c r="F208" s="16">
        <f>SUM(C208:E208)</f>
        <v/>
      </c>
    </row>
    <row r="209" ht="15" customHeight="1" s="47">
      <c r="B209" s="46" t="inlineStr">
        <is>
          <t>~HoPI</t>
        </is>
      </c>
      <c r="C209" s="46" t="n">
        <v>2</v>
      </c>
      <c r="D209" s="46" t="n">
        <v>2</v>
      </c>
      <c r="E209" s="46" t="n">
        <v>8</v>
      </c>
      <c r="F209" s="16">
        <f>SUM(C209:E209)</f>
        <v/>
      </c>
    </row>
    <row r="210" ht="15" customHeight="1" s="47">
      <c r="B210" s="46" t="inlineStr">
        <is>
          <t>~Hispanic</t>
        </is>
      </c>
      <c r="C210" s="46" t="n">
        <v>195</v>
      </c>
      <c r="D210" s="46" t="n">
        <v>243</v>
      </c>
      <c r="E210" s="46" t="n">
        <v>280</v>
      </c>
      <c r="F210" s="16">
        <f>SUM(C210:E210)</f>
        <v/>
      </c>
    </row>
    <row r="211" ht="15" customHeight="1" s="47">
      <c r="A211" s="46" t="inlineStr">
        <is>
          <t>Ohio</t>
        </is>
      </c>
      <c r="B211" s="46" t="inlineStr">
        <is>
          <t>Loans</t>
        </is>
      </c>
      <c r="C211" s="25" t="n">
        <v>6805</v>
      </c>
      <c r="D211" s="25" t="n">
        <v>18403</v>
      </c>
      <c r="E211" s="25" t="n">
        <v>14234</v>
      </c>
      <c r="F211" s="16">
        <f>SUM(C211:E211)</f>
        <v/>
      </c>
    </row>
    <row r="212" ht="15" customHeight="1" s="47">
      <c r="B212" s="46" t="inlineStr">
        <is>
          <t>~LMICT</t>
        </is>
      </c>
      <c r="C212" s="25" t="n">
        <v>1495</v>
      </c>
      <c r="D212" s="25" t="n">
        <v>2322</v>
      </c>
      <c r="E212" s="25" t="n">
        <v>1919</v>
      </c>
      <c r="F212" s="16">
        <f>SUM(C212:E212)</f>
        <v/>
      </c>
    </row>
    <row r="213" ht="15" customHeight="1" s="47">
      <c r="B213" s="46" t="inlineStr">
        <is>
          <t>~LMIB</t>
        </is>
      </c>
      <c r="C213" s="25" t="n">
        <v>2851</v>
      </c>
      <c r="D213" s="25" t="n">
        <v>5793</v>
      </c>
      <c r="E213" s="25" t="n">
        <v>3921</v>
      </c>
      <c r="F213" s="16">
        <f>SUM(C213:E213)</f>
        <v/>
      </c>
    </row>
    <row r="214" ht="15" customHeight="1" s="47">
      <c r="B214" s="46" t="inlineStr">
        <is>
          <t>LMIB$</t>
        </is>
      </c>
      <c r="C214" s="51" t="n">
        <v>397815000</v>
      </c>
      <c r="D214" s="51" t="n">
        <v>598165000</v>
      </c>
      <c r="E214" s="51" t="n">
        <v>266525000</v>
      </c>
      <c r="F214" s="16">
        <f>SUM(C214:E214)</f>
        <v/>
      </c>
    </row>
    <row r="215" ht="15" customHeight="1" s="47">
      <c r="B215" s="46" t="inlineStr">
        <is>
          <t>~MMCT</t>
        </is>
      </c>
      <c r="C215" s="46" t="n">
        <v>648</v>
      </c>
      <c r="D215" s="25" t="n">
        <v>1017</v>
      </c>
      <c r="E215" s="46" t="n">
        <v>917</v>
      </c>
      <c r="F215" s="16">
        <f>SUM(C215:E215)</f>
        <v/>
      </c>
    </row>
    <row r="216" ht="15" customHeight="1" s="47">
      <c r="B216" s="46" t="inlineStr">
        <is>
          <t>~MINB</t>
        </is>
      </c>
      <c r="C216" s="46" t="n">
        <v>967</v>
      </c>
      <c r="D216" s="25" t="n">
        <v>1322</v>
      </c>
      <c r="E216" s="25" t="n">
        <v>1297</v>
      </c>
      <c r="F216" s="16">
        <f>SUM(C216:E216)</f>
        <v/>
      </c>
    </row>
    <row r="217" ht="15" customHeight="1" s="47">
      <c r="B217" s="46" t="inlineStr">
        <is>
          <t>~Asian</t>
        </is>
      </c>
      <c r="C217" s="46" t="n">
        <v>279</v>
      </c>
      <c r="D217" s="46" t="n">
        <v>352</v>
      </c>
      <c r="E217" s="46" t="n">
        <v>279</v>
      </c>
      <c r="F217" s="16">
        <f>SUM(C217:E217)</f>
        <v/>
      </c>
    </row>
    <row r="218" ht="15" customHeight="1" s="47">
      <c r="B218" s="46" t="inlineStr">
        <is>
          <t>~Black</t>
        </is>
      </c>
      <c r="C218" s="46" t="n">
        <v>423</v>
      </c>
      <c r="D218" s="46" t="n">
        <v>697</v>
      </c>
      <c r="E218" s="46" t="n">
        <v>691</v>
      </c>
      <c r="F218" s="16">
        <f>SUM(C218:E218)</f>
        <v/>
      </c>
    </row>
    <row r="219" ht="15" customHeight="1" s="47">
      <c r="B219" s="46" t="inlineStr">
        <is>
          <t>~Native American</t>
        </is>
      </c>
      <c r="C219" s="46" t="n">
        <v>16</v>
      </c>
      <c r="D219" s="46" t="n">
        <v>35</v>
      </c>
      <c r="E219" s="46" t="n">
        <v>53</v>
      </c>
      <c r="F219" s="16">
        <f>SUM(C219:E219)</f>
        <v/>
      </c>
    </row>
    <row r="220" ht="15" customHeight="1" s="47">
      <c r="B220" s="46" t="inlineStr">
        <is>
          <t>~HoPI</t>
        </is>
      </c>
      <c r="C220" s="46" t="n">
        <v>5</v>
      </c>
      <c r="D220" s="46" t="n">
        <v>9</v>
      </c>
      <c r="E220" s="46" t="n">
        <v>12</v>
      </c>
      <c r="F220" s="16">
        <f>SUM(C220:E220)</f>
        <v/>
      </c>
    </row>
    <row r="221" ht="15" customHeight="1" s="47">
      <c r="B221" s="46" t="inlineStr">
        <is>
          <t>~Hispanic</t>
        </is>
      </c>
      <c r="C221" s="46" t="n">
        <v>244</v>
      </c>
      <c r="D221" s="46" t="n">
        <v>229</v>
      </c>
      <c r="E221" s="46" t="n">
        <v>262</v>
      </c>
      <c r="F221" s="16">
        <f>SUM(C221:E221)</f>
        <v/>
      </c>
    </row>
    <row r="222" ht="15" customHeight="1" s="47">
      <c r="A222" s="46" t="inlineStr">
        <is>
          <t>Pennsylvania</t>
        </is>
      </c>
      <c r="B222" s="46" t="inlineStr">
        <is>
          <t>Loans</t>
        </is>
      </c>
      <c r="C222" s="25" t="n">
        <v>14029</v>
      </c>
      <c r="D222" s="25" t="n">
        <v>43117</v>
      </c>
      <c r="E222" s="25" t="n">
        <v>38545</v>
      </c>
      <c r="F222" s="16">
        <f>SUM(C222:E222)</f>
        <v/>
      </c>
    </row>
    <row r="223" ht="15" customHeight="1" s="47">
      <c r="B223" s="46" t="inlineStr">
        <is>
          <t>~LMICT</t>
        </is>
      </c>
      <c r="C223" s="25" t="n">
        <v>1820</v>
      </c>
      <c r="D223" s="25" t="n">
        <v>3262</v>
      </c>
      <c r="E223" s="25" t="n">
        <v>2748</v>
      </c>
      <c r="F223" s="16">
        <f>SUM(C223:E223)</f>
        <v/>
      </c>
    </row>
    <row r="224" ht="15" customHeight="1" s="47">
      <c r="B224" s="46" t="inlineStr">
        <is>
          <t>~LMIB</t>
        </is>
      </c>
      <c r="C224" s="25" t="n">
        <v>3511</v>
      </c>
      <c r="D224" s="25" t="n">
        <v>7879</v>
      </c>
      <c r="E224" s="25" t="n">
        <v>5662</v>
      </c>
      <c r="F224" s="16">
        <f>SUM(C224:E224)</f>
        <v/>
      </c>
    </row>
    <row r="225" ht="15" customHeight="1" s="47">
      <c r="B225" s="46" t="inlineStr">
        <is>
          <t>LMIB$</t>
        </is>
      </c>
      <c r="C225" s="51" t="n">
        <v>520165000</v>
      </c>
      <c r="D225" s="51" t="n">
        <v>893715000</v>
      </c>
      <c r="E225" s="51" t="n">
        <v>435750000</v>
      </c>
      <c r="F225" s="16">
        <f>SUM(C225:E225)</f>
        <v/>
      </c>
    </row>
    <row r="226" ht="15" customHeight="1" s="47">
      <c r="B226" s="46" t="inlineStr">
        <is>
          <t>~MMCT</t>
        </is>
      </c>
      <c r="C226" s="46" t="n">
        <v>599</v>
      </c>
      <c r="D226" s="46" t="n">
        <v>981</v>
      </c>
      <c r="E226" s="25" t="n">
        <v>1064</v>
      </c>
      <c r="F226" s="16">
        <f>SUM(C226:E226)</f>
        <v/>
      </c>
    </row>
    <row r="227" ht="15" customHeight="1" s="47">
      <c r="B227" s="46" t="inlineStr">
        <is>
          <t>~MINB</t>
        </is>
      </c>
      <c r="C227" s="25" t="n">
        <v>1204</v>
      </c>
      <c r="D227" s="25" t="n">
        <v>1653</v>
      </c>
      <c r="E227" s="25" t="n">
        <v>1899</v>
      </c>
      <c r="F227" s="16">
        <f>SUM(C227:E227)</f>
        <v/>
      </c>
    </row>
    <row r="228" ht="15" customHeight="1" s="47">
      <c r="B228" s="46" t="inlineStr">
        <is>
          <t>~Asian</t>
        </is>
      </c>
      <c r="C228" s="46" t="n">
        <v>431</v>
      </c>
      <c r="D228" s="46" t="n">
        <v>564</v>
      </c>
      <c r="E228" s="46" t="n">
        <v>604</v>
      </c>
      <c r="F228" s="16">
        <f>SUM(C228:E228)</f>
        <v/>
      </c>
    </row>
    <row r="229" ht="15" customHeight="1" s="47">
      <c r="B229" s="46" t="inlineStr">
        <is>
          <t>~Black</t>
        </is>
      </c>
      <c r="C229" s="46" t="n">
        <v>393</v>
      </c>
      <c r="D229" s="46" t="n">
        <v>637</v>
      </c>
      <c r="E229" s="46" t="n">
        <v>655</v>
      </c>
      <c r="F229" s="16">
        <f>SUM(C229:E229)</f>
        <v/>
      </c>
    </row>
    <row r="230" ht="15" customHeight="1" s="47">
      <c r="B230" s="46" t="inlineStr">
        <is>
          <t>~Native American</t>
        </is>
      </c>
      <c r="C230" s="46" t="n">
        <v>17</v>
      </c>
      <c r="D230" s="46" t="n">
        <v>31</v>
      </c>
      <c r="E230" s="46" t="n">
        <v>55</v>
      </c>
      <c r="F230" s="16">
        <f>SUM(C230:E230)</f>
        <v/>
      </c>
    </row>
    <row r="231" ht="15" customHeight="1" s="47">
      <c r="B231" s="46" t="inlineStr">
        <is>
          <t>~HoPI</t>
        </is>
      </c>
      <c r="C231" s="46" t="n">
        <v>5</v>
      </c>
      <c r="D231" s="46" t="n">
        <v>18</v>
      </c>
      <c r="E231" s="46" t="n">
        <v>26</v>
      </c>
      <c r="F231" s="16">
        <f>SUM(C231:E231)</f>
        <v/>
      </c>
    </row>
    <row r="232" ht="15" customHeight="1" s="47">
      <c r="B232" s="46" t="inlineStr">
        <is>
          <t>~Hispanic</t>
        </is>
      </c>
      <c r="C232" s="46" t="n">
        <v>358</v>
      </c>
      <c r="D232" s="46" t="n">
        <v>403</v>
      </c>
      <c r="E232" s="46" t="n">
        <v>559</v>
      </c>
      <c r="F232" s="16">
        <f>SUM(C232:E232)</f>
        <v/>
      </c>
    </row>
    <row r="233" ht="15" customHeight="1" s="47">
      <c r="A233" s="46" t="inlineStr">
        <is>
          <t>South Carolina</t>
        </is>
      </c>
      <c r="B233" s="46" t="inlineStr">
        <is>
          <t>Loans</t>
        </is>
      </c>
      <c r="C233" s="46" t="n">
        <v>765</v>
      </c>
      <c r="D233" s="25" t="n">
        <v>1164</v>
      </c>
      <c r="E233" s="25" t="n">
        <v>1821</v>
      </c>
      <c r="F233" s="16">
        <f>SUM(C233:E233)</f>
        <v/>
      </c>
    </row>
    <row r="234" ht="15" customHeight="1" s="47">
      <c r="B234" s="46" t="inlineStr">
        <is>
          <t>~LMICT</t>
        </is>
      </c>
      <c r="C234" s="46" t="n">
        <v>89</v>
      </c>
      <c r="D234" s="46" t="n">
        <v>109</v>
      </c>
      <c r="E234" s="46" t="n">
        <v>199</v>
      </c>
      <c r="F234" s="16">
        <f>SUM(C234:E234)</f>
        <v/>
      </c>
    </row>
    <row r="235" ht="15" customHeight="1" s="47">
      <c r="B235" s="46" t="inlineStr">
        <is>
          <t>~LMIB</t>
        </is>
      </c>
      <c r="C235" s="46" t="n">
        <v>142</v>
      </c>
      <c r="D235" s="46" t="n">
        <v>221</v>
      </c>
      <c r="E235" s="46" t="n">
        <v>318</v>
      </c>
      <c r="F235" s="16">
        <f>SUM(C235:E235)</f>
        <v/>
      </c>
    </row>
    <row r="236" ht="15" customHeight="1" s="47">
      <c r="B236" s="46" t="inlineStr">
        <is>
          <t>LMIB$</t>
        </is>
      </c>
      <c r="C236" s="51" t="n">
        <v>30460000</v>
      </c>
      <c r="D236" s="51" t="n">
        <v>31355000</v>
      </c>
      <c r="E236" s="51" t="n">
        <v>30020000</v>
      </c>
      <c r="F236" s="16">
        <f>SUM(C236:E236)</f>
        <v/>
      </c>
    </row>
    <row r="237" ht="15" customHeight="1" s="47">
      <c r="B237" s="46" t="inlineStr">
        <is>
          <t>~MMCT</t>
        </is>
      </c>
      <c r="C237" s="46" t="n">
        <v>84</v>
      </c>
      <c r="D237" s="46" t="n">
        <v>75</v>
      </c>
      <c r="E237" s="46" t="n">
        <v>130</v>
      </c>
      <c r="F237" s="16">
        <f>SUM(C237:E237)</f>
        <v/>
      </c>
    </row>
    <row r="238" ht="15" customHeight="1" s="47">
      <c r="B238" s="46" t="inlineStr">
        <is>
          <t>~MINB</t>
        </is>
      </c>
      <c r="C238" s="46" t="n">
        <v>79</v>
      </c>
      <c r="D238" s="46" t="n">
        <v>98</v>
      </c>
      <c r="E238" s="46" t="n">
        <v>169</v>
      </c>
      <c r="F238" s="16">
        <f>SUM(C238:E238)</f>
        <v/>
      </c>
    </row>
    <row r="239" ht="15" customHeight="1" s="47">
      <c r="B239" s="46" t="inlineStr">
        <is>
          <t>~Asian</t>
        </is>
      </c>
      <c r="C239" s="46" t="n">
        <v>17</v>
      </c>
      <c r="D239" s="46" t="n">
        <v>14</v>
      </c>
      <c r="E239" s="46" t="n">
        <v>34</v>
      </c>
      <c r="F239" s="16">
        <f>SUM(C239:E239)</f>
        <v/>
      </c>
    </row>
    <row r="240" ht="15" customHeight="1" s="47">
      <c r="B240" s="46" t="inlineStr">
        <is>
          <t>~Black</t>
        </is>
      </c>
      <c r="C240" s="46" t="n">
        <v>28</v>
      </c>
      <c r="D240" s="46" t="n">
        <v>64</v>
      </c>
      <c r="E240" s="46" t="n">
        <v>85</v>
      </c>
      <c r="F240" s="16">
        <f>SUM(C240:E240)</f>
        <v/>
      </c>
    </row>
    <row r="241" ht="15" customHeight="1" s="47">
      <c r="B241" s="46" t="inlineStr">
        <is>
          <t>~Native American</t>
        </is>
      </c>
      <c r="C241" s="46" t="n">
        <v>0</v>
      </c>
      <c r="D241" s="46" t="n">
        <v>0</v>
      </c>
      <c r="E241" s="46" t="n">
        <v>6</v>
      </c>
      <c r="F241" s="16">
        <f>SUM(C241:E241)</f>
        <v/>
      </c>
    </row>
    <row r="242" ht="15" customHeight="1" s="47">
      <c r="B242" s="46" t="inlineStr">
        <is>
          <t>~HoPI</t>
        </is>
      </c>
      <c r="C242" s="46" t="n">
        <v>0</v>
      </c>
      <c r="D242" s="46" t="n">
        <v>0</v>
      </c>
      <c r="E242" s="46" t="n">
        <v>1</v>
      </c>
      <c r="F242" s="16">
        <f>SUM(C242:E242)</f>
        <v/>
      </c>
    </row>
    <row r="243" ht="15" customHeight="1" s="47">
      <c r="B243" s="46" t="inlineStr">
        <is>
          <t>~Hispanic</t>
        </is>
      </c>
      <c r="C243" s="46" t="n">
        <v>34</v>
      </c>
      <c r="D243" s="46" t="n">
        <v>20</v>
      </c>
      <c r="E243" s="46" t="n">
        <v>43</v>
      </c>
      <c r="F243" s="16">
        <f>SUM(C243:E243)</f>
        <v/>
      </c>
    </row>
    <row r="244" ht="15" customHeight="1" s="47">
      <c r="A244" s="46" t="inlineStr">
        <is>
          <t>Tennessee</t>
        </is>
      </c>
      <c r="B244" s="46" t="inlineStr">
        <is>
          <t>Loans</t>
        </is>
      </c>
      <c r="C244" s="46" t="n">
        <v>170</v>
      </c>
      <c r="D244" s="46" t="n">
        <v>239</v>
      </c>
      <c r="E244" s="46" t="n">
        <v>299</v>
      </c>
      <c r="F244" s="16">
        <f>SUM(C244:E244)</f>
        <v/>
      </c>
    </row>
    <row r="245" ht="15" customHeight="1" s="47">
      <c r="B245" s="46" t="inlineStr">
        <is>
          <t>~LMICT</t>
        </is>
      </c>
      <c r="C245" s="46" t="n">
        <v>46</v>
      </c>
      <c r="D245" s="46" t="n">
        <v>47</v>
      </c>
      <c r="E245" s="46" t="n">
        <v>83</v>
      </c>
      <c r="F245" s="16">
        <f>SUM(C245:E245)</f>
        <v/>
      </c>
    </row>
    <row r="246" ht="15" customHeight="1" s="47">
      <c r="B246" s="46" t="inlineStr">
        <is>
          <t>~LMIB</t>
        </is>
      </c>
      <c r="C246" s="46" t="n">
        <v>44</v>
      </c>
      <c r="D246" s="46" t="n">
        <v>117</v>
      </c>
      <c r="E246" s="46" t="n">
        <v>112</v>
      </c>
      <c r="F246" s="16">
        <f>SUM(C246:E246)</f>
        <v/>
      </c>
    </row>
    <row r="247" ht="15" customHeight="1" s="47">
      <c r="B247" s="46" t="inlineStr">
        <is>
          <t>LMIB$</t>
        </is>
      </c>
      <c r="C247" s="51" t="n">
        <v>8640000</v>
      </c>
      <c r="D247" s="51" t="n">
        <v>17365000</v>
      </c>
      <c r="E247" s="51" t="n">
        <v>7330000</v>
      </c>
      <c r="F247" s="16">
        <f>SUM(C247:E247)</f>
        <v/>
      </c>
    </row>
    <row r="248" ht="15" customHeight="1" s="47">
      <c r="B248" s="46" t="inlineStr">
        <is>
          <t>~MMCT</t>
        </is>
      </c>
      <c r="C248" s="46" t="n">
        <v>31</v>
      </c>
      <c r="D248" s="46" t="n">
        <v>36</v>
      </c>
      <c r="E248" s="46" t="n">
        <v>69</v>
      </c>
      <c r="F248" s="16">
        <f>SUM(C248:E248)</f>
        <v/>
      </c>
    </row>
    <row r="249" ht="15" customHeight="1" s="47">
      <c r="B249" s="46" t="inlineStr">
        <is>
          <t>~MINB</t>
        </is>
      </c>
      <c r="C249" s="46" t="n">
        <v>67</v>
      </c>
      <c r="D249" s="46" t="n">
        <v>55</v>
      </c>
      <c r="E249" s="46" t="n">
        <v>96</v>
      </c>
      <c r="F249" s="16">
        <f>SUM(C249:E249)</f>
        <v/>
      </c>
    </row>
    <row r="250" ht="15" customHeight="1" s="47">
      <c r="B250" s="46" t="inlineStr">
        <is>
          <t>~Asian</t>
        </is>
      </c>
      <c r="C250" s="46" t="n">
        <v>21</v>
      </c>
      <c r="D250" s="46" t="n">
        <v>13</v>
      </c>
      <c r="E250" s="46" t="n">
        <v>22</v>
      </c>
      <c r="F250" s="16">
        <f>SUM(C250:E250)</f>
        <v/>
      </c>
    </row>
    <row r="251" ht="15" customHeight="1" s="47">
      <c r="B251" s="46" t="inlineStr">
        <is>
          <t>~Black</t>
        </is>
      </c>
      <c r="C251" s="46" t="n">
        <v>16</v>
      </c>
      <c r="D251" s="46" t="n">
        <v>26</v>
      </c>
      <c r="E251" s="46" t="n">
        <v>47</v>
      </c>
      <c r="F251" s="16">
        <f>SUM(C251:E251)</f>
        <v/>
      </c>
    </row>
    <row r="252" ht="15" customHeight="1" s="47">
      <c r="B252" s="46" t="inlineStr">
        <is>
          <t>~Native American</t>
        </is>
      </c>
      <c r="C252" s="46" t="n">
        <v>3</v>
      </c>
      <c r="D252" s="46" t="n">
        <v>3</v>
      </c>
      <c r="E252" s="46" t="n">
        <v>2</v>
      </c>
      <c r="F252" s="16">
        <f>SUM(C252:E252)</f>
        <v/>
      </c>
    </row>
    <row r="253" ht="15" customHeight="1" s="47">
      <c r="B253" s="46" t="inlineStr">
        <is>
          <t>~HoPI</t>
        </is>
      </c>
      <c r="C253" s="46" t="n">
        <v>0</v>
      </c>
      <c r="D253" s="46" t="n">
        <v>0</v>
      </c>
      <c r="E253" s="46" t="n">
        <v>3</v>
      </c>
      <c r="F253" s="16">
        <f>SUM(C253:E253)</f>
        <v/>
      </c>
    </row>
    <row r="254" ht="15" customHeight="1" s="47">
      <c r="B254" s="46" t="inlineStr">
        <is>
          <t>~Hispanic</t>
        </is>
      </c>
      <c r="C254" s="46" t="n">
        <v>27</v>
      </c>
      <c r="D254" s="46" t="n">
        <v>13</v>
      </c>
      <c r="E254" s="46" t="n">
        <v>22</v>
      </c>
      <c r="F254" s="16">
        <f>SUM(C254:E254)</f>
        <v/>
      </c>
    </row>
    <row r="255" ht="15" customHeight="1" s="47">
      <c r="A255" s="46" t="inlineStr">
        <is>
          <t>Texas</t>
        </is>
      </c>
      <c r="B255" s="46" t="inlineStr">
        <is>
          <t>Loans</t>
        </is>
      </c>
      <c r="C255" s="25" t="n">
        <v>1234</v>
      </c>
      <c r="D255" s="25" t="n">
        <v>2023</v>
      </c>
      <c r="E255" s="25" t="n">
        <v>3709</v>
      </c>
      <c r="F255" s="16">
        <f>SUM(C255:E255)</f>
        <v/>
      </c>
    </row>
    <row r="256" ht="15" customHeight="1" s="47">
      <c r="B256" s="46" t="inlineStr">
        <is>
          <t>~LMICT</t>
        </is>
      </c>
      <c r="C256" s="46" t="n">
        <v>322</v>
      </c>
      <c r="D256" s="46" t="n">
        <v>478</v>
      </c>
      <c r="E256" s="46" t="n">
        <v>734</v>
      </c>
      <c r="F256" s="16">
        <f>SUM(C256:E256)</f>
        <v/>
      </c>
    </row>
    <row r="257" ht="15" customHeight="1" s="47">
      <c r="B257" s="46" t="inlineStr">
        <is>
          <t>~LMIB</t>
        </is>
      </c>
      <c r="C257" s="46" t="n">
        <v>282</v>
      </c>
      <c r="D257" s="46" t="n">
        <v>602</v>
      </c>
      <c r="E257" s="46" t="n">
        <v>953</v>
      </c>
      <c r="F257" s="16">
        <f>SUM(C257:E257)</f>
        <v/>
      </c>
    </row>
    <row r="258" ht="15" customHeight="1" s="47">
      <c r="B258" s="46" t="inlineStr">
        <is>
          <t>LMIB$</t>
        </is>
      </c>
      <c r="C258" s="51" t="n">
        <v>60060000</v>
      </c>
      <c r="D258" s="51" t="n">
        <v>92460000</v>
      </c>
      <c r="E258" s="51" t="n">
        <v>88935000</v>
      </c>
      <c r="F258" s="16">
        <f>SUM(C258:E258)</f>
        <v/>
      </c>
    </row>
    <row r="259" ht="15" customHeight="1" s="47">
      <c r="B259" s="46" t="inlineStr">
        <is>
          <t>~MMCT</t>
        </is>
      </c>
      <c r="C259" s="46" t="n">
        <v>914</v>
      </c>
      <c r="D259" s="25" t="n">
        <v>1417</v>
      </c>
      <c r="E259" s="25" t="n">
        <v>2800</v>
      </c>
      <c r="F259" s="16">
        <f>SUM(C259:E259)</f>
        <v/>
      </c>
    </row>
    <row r="260" ht="15" customHeight="1" s="47">
      <c r="B260" s="46" t="inlineStr">
        <is>
          <t>~MINB</t>
        </is>
      </c>
      <c r="C260" s="46" t="n">
        <v>851</v>
      </c>
      <c r="D260" s="25" t="n">
        <v>1192</v>
      </c>
      <c r="E260" s="25" t="n">
        <v>2531</v>
      </c>
      <c r="F260" s="16">
        <f>SUM(C260:E260)</f>
        <v/>
      </c>
    </row>
    <row r="261" ht="15" customHeight="1" s="47">
      <c r="B261" s="46" t="inlineStr">
        <is>
          <t>~Asian</t>
        </is>
      </c>
      <c r="C261" s="46" t="n">
        <v>283</v>
      </c>
      <c r="D261" s="46" t="n">
        <v>239</v>
      </c>
      <c r="E261" s="46" t="n">
        <v>650</v>
      </c>
      <c r="F261" s="16">
        <f>SUM(C261:E261)</f>
        <v/>
      </c>
    </row>
    <row r="262" ht="15" customHeight="1" s="47">
      <c r="B262" s="46" t="inlineStr">
        <is>
          <t>~Black</t>
        </is>
      </c>
      <c r="C262" s="46" t="n">
        <v>107</v>
      </c>
      <c r="D262" s="46" t="n">
        <v>221</v>
      </c>
      <c r="E262" s="46" t="n">
        <v>446</v>
      </c>
      <c r="F262" s="16">
        <f>SUM(C262:E262)</f>
        <v/>
      </c>
    </row>
    <row r="263" ht="15" customHeight="1" s="47">
      <c r="B263" s="46" t="inlineStr">
        <is>
          <t>~Native American</t>
        </is>
      </c>
      <c r="C263" s="46" t="n">
        <v>14</v>
      </c>
      <c r="D263" s="46" t="n">
        <v>10</v>
      </c>
      <c r="E263" s="46" t="n">
        <v>30</v>
      </c>
      <c r="F263" s="16">
        <f>SUM(C263:E263)</f>
        <v/>
      </c>
    </row>
    <row r="264" ht="15" customHeight="1" s="47">
      <c r="B264" s="46" t="inlineStr">
        <is>
          <t>~HoPI</t>
        </is>
      </c>
      <c r="C264" s="46" t="n">
        <v>1</v>
      </c>
      <c r="D264" s="46" t="n">
        <v>3</v>
      </c>
      <c r="E264" s="46" t="n">
        <v>12</v>
      </c>
      <c r="F264" s="16">
        <f>SUM(C264:E264)</f>
        <v/>
      </c>
    </row>
    <row r="265" ht="15" customHeight="1" s="47">
      <c r="B265" s="46" t="inlineStr">
        <is>
          <t>~Hispanic</t>
        </is>
      </c>
      <c r="C265" s="46" t="n">
        <v>446</v>
      </c>
      <c r="D265" s="46" t="n">
        <v>719</v>
      </c>
      <c r="E265" s="25" t="n">
        <v>1393</v>
      </c>
      <c r="F265" s="16">
        <f>SUM(C265:E265)</f>
        <v/>
      </c>
    </row>
    <row r="266" ht="15" customHeight="1" s="47">
      <c r="A266" s="46" t="inlineStr">
        <is>
          <t>Virginia</t>
        </is>
      </c>
      <c r="B266" s="46" t="inlineStr">
        <is>
          <t>Loans</t>
        </is>
      </c>
      <c r="C266" s="25" t="n">
        <v>2340</v>
      </c>
      <c r="D266" s="25" t="n">
        <v>6759</v>
      </c>
      <c r="E266" s="25" t="n">
        <v>6793</v>
      </c>
      <c r="F266" s="16">
        <f>SUM(C266:E266)</f>
        <v/>
      </c>
    </row>
    <row r="267" ht="15" customHeight="1" s="47">
      <c r="B267" s="46" t="inlineStr">
        <is>
          <t>~LMICT</t>
        </is>
      </c>
      <c r="C267" s="46" t="n">
        <v>238</v>
      </c>
      <c r="D267" s="46" t="n">
        <v>578</v>
      </c>
      <c r="E267" s="46" t="n">
        <v>561</v>
      </c>
      <c r="F267" s="16">
        <f>SUM(C267:E267)</f>
        <v/>
      </c>
    </row>
    <row r="268" ht="15" customHeight="1" s="47">
      <c r="B268" s="46" t="inlineStr">
        <is>
          <t>~LMIB</t>
        </is>
      </c>
      <c r="C268" s="46" t="n">
        <v>430</v>
      </c>
      <c r="D268" s="25" t="n">
        <v>1272</v>
      </c>
      <c r="E268" s="25" t="n">
        <v>1137</v>
      </c>
      <c r="F268" s="16">
        <f>SUM(C268:E268)</f>
        <v/>
      </c>
    </row>
    <row r="269" ht="15" customHeight="1" s="47">
      <c r="B269" s="46" t="inlineStr">
        <is>
          <t>LMIB$</t>
        </is>
      </c>
      <c r="C269" s="51" t="n">
        <v>113500000</v>
      </c>
      <c r="D269" s="51" t="n">
        <v>253300000</v>
      </c>
      <c r="E269" s="51" t="n">
        <v>110565000</v>
      </c>
      <c r="F269" s="16">
        <f>SUM(C269:E269)</f>
        <v/>
      </c>
    </row>
    <row r="270" ht="15" customHeight="1" s="47">
      <c r="B270" s="46" t="inlineStr">
        <is>
          <t>~MMCT</t>
        </is>
      </c>
      <c r="C270" s="46" t="n">
        <v>477</v>
      </c>
      <c r="D270" s="25" t="n">
        <v>1372</v>
      </c>
      <c r="E270" s="25" t="n">
        <v>1506</v>
      </c>
      <c r="F270" s="16">
        <f>SUM(C270:E270)</f>
        <v/>
      </c>
    </row>
    <row r="271" ht="15" customHeight="1" s="47">
      <c r="B271" s="46" t="inlineStr">
        <is>
          <t>~MINB</t>
        </is>
      </c>
      <c r="C271" s="46" t="n">
        <v>443</v>
      </c>
      <c r="D271" s="25" t="n">
        <v>1136</v>
      </c>
      <c r="E271" s="25" t="n">
        <v>1408</v>
      </c>
      <c r="F271" s="16">
        <f>SUM(C271:E271)</f>
        <v/>
      </c>
    </row>
    <row r="272" ht="15" customHeight="1" s="47">
      <c r="B272" s="46" t="inlineStr">
        <is>
          <t>~Asian</t>
        </is>
      </c>
      <c r="C272" s="46" t="n">
        <v>250</v>
      </c>
      <c r="D272" s="46" t="n">
        <v>550</v>
      </c>
      <c r="E272" s="46" t="n">
        <v>701</v>
      </c>
      <c r="F272" s="16">
        <f>SUM(C272:E272)</f>
        <v/>
      </c>
    </row>
    <row r="273" ht="15" customHeight="1" s="47">
      <c r="B273" s="46" t="inlineStr">
        <is>
          <t>~Black</t>
        </is>
      </c>
      <c r="C273" s="46" t="n">
        <v>92</v>
      </c>
      <c r="D273" s="46" t="n">
        <v>301</v>
      </c>
      <c r="E273" s="46" t="n">
        <v>342</v>
      </c>
      <c r="F273" s="16">
        <f>SUM(C273:E273)</f>
        <v/>
      </c>
    </row>
    <row r="274" ht="15" customHeight="1" s="47">
      <c r="B274" s="46" t="inlineStr">
        <is>
          <t>~Native American</t>
        </is>
      </c>
      <c r="C274" s="46" t="n">
        <v>8</v>
      </c>
      <c r="D274" s="46" t="n">
        <v>18</v>
      </c>
      <c r="E274" s="46" t="n">
        <v>11</v>
      </c>
      <c r="F274" s="16">
        <f>SUM(C274:E274)</f>
        <v/>
      </c>
    </row>
    <row r="275" ht="15" customHeight="1" s="47">
      <c r="B275" s="46" t="inlineStr">
        <is>
          <t>~HoPI</t>
        </is>
      </c>
      <c r="C275" s="46" t="n">
        <v>0</v>
      </c>
      <c r="D275" s="46" t="n">
        <v>6</v>
      </c>
      <c r="E275" s="46" t="n">
        <v>10</v>
      </c>
      <c r="F275" s="16">
        <f>SUM(C275:E275)</f>
        <v/>
      </c>
    </row>
    <row r="276" ht="15" customHeight="1" s="47">
      <c r="B276" s="46" t="inlineStr">
        <is>
          <t>~Hispanic</t>
        </is>
      </c>
      <c r="C276" s="46" t="n">
        <v>93</v>
      </c>
      <c r="D276" s="46" t="n">
        <v>261</v>
      </c>
      <c r="E276" s="46" t="n">
        <v>344</v>
      </c>
      <c r="F276" s="16">
        <f>SUM(C276:E276)</f>
        <v/>
      </c>
    </row>
    <row r="277" ht="15" customHeight="1" s="47">
      <c r="A277" s="46" t="inlineStr">
        <is>
          <t>West Virginia</t>
        </is>
      </c>
      <c r="B277" s="46" t="inlineStr">
        <is>
          <t>Loans</t>
        </is>
      </c>
      <c r="C277" s="46" t="n">
        <v>622</v>
      </c>
      <c r="D277" s="46" t="n">
        <v>387</v>
      </c>
      <c r="E277" s="46" t="n">
        <v>374</v>
      </c>
      <c r="F277" s="16">
        <f>SUM(C277:E277)</f>
        <v/>
      </c>
    </row>
    <row r="278" ht="15" customHeight="1" s="47">
      <c r="B278" s="46" t="inlineStr">
        <is>
          <t>~LMICT</t>
        </is>
      </c>
      <c r="C278" s="46" t="n">
        <v>88</v>
      </c>
      <c r="D278" s="46" t="n">
        <v>52</v>
      </c>
      <c r="E278" s="46" t="n">
        <v>75</v>
      </c>
      <c r="F278" s="16">
        <f>SUM(C278:E278)</f>
        <v/>
      </c>
    </row>
    <row r="279" ht="15" customHeight="1" s="47">
      <c r="B279" s="46" t="inlineStr">
        <is>
          <t>~LMIB</t>
        </is>
      </c>
      <c r="C279" s="46" t="n">
        <v>183</v>
      </c>
      <c r="D279" s="46" t="n">
        <v>72</v>
      </c>
      <c r="E279" s="46" t="n">
        <v>90</v>
      </c>
      <c r="F279" s="16">
        <f>SUM(C279:E279)</f>
        <v/>
      </c>
    </row>
    <row r="280" ht="15" customHeight="1" s="47">
      <c r="B280" s="46" t="inlineStr">
        <is>
          <t>LMIB$</t>
        </is>
      </c>
      <c r="C280" s="51" t="n">
        <v>32025000</v>
      </c>
      <c r="D280" s="51" t="n">
        <v>8960000</v>
      </c>
      <c r="E280" s="51" t="n">
        <v>5910000</v>
      </c>
      <c r="F280" s="16">
        <f>SUM(C280:E280)</f>
        <v/>
      </c>
    </row>
    <row r="281" ht="15" customHeight="1" s="47">
      <c r="B281" s="46" t="inlineStr">
        <is>
          <t>~MMCT</t>
        </is>
      </c>
      <c r="C281" s="46" t="n">
        <v>3</v>
      </c>
      <c r="D281" s="46" t="n">
        <v>0</v>
      </c>
      <c r="E281" s="46" t="n">
        <v>1</v>
      </c>
      <c r="F281" s="16">
        <f>SUM(C281:E281)</f>
        <v/>
      </c>
    </row>
    <row r="282" ht="15" customHeight="1" s="47">
      <c r="B282" s="46" t="inlineStr">
        <is>
          <t>~MINB</t>
        </is>
      </c>
      <c r="C282" s="46" t="n">
        <v>65</v>
      </c>
      <c r="D282" s="46" t="n">
        <v>34</v>
      </c>
      <c r="E282" s="46" t="n">
        <v>27</v>
      </c>
      <c r="F282" s="16">
        <f>SUM(C282:E282)</f>
        <v/>
      </c>
    </row>
    <row r="283" ht="15" customHeight="1" s="47">
      <c r="B283" s="46" t="inlineStr">
        <is>
          <t>~Asian</t>
        </is>
      </c>
      <c r="C283" s="46" t="n">
        <v>30</v>
      </c>
      <c r="D283" s="46" t="n">
        <v>12</v>
      </c>
      <c r="E283" s="46" t="n">
        <v>4</v>
      </c>
      <c r="F283" s="16">
        <f>SUM(C283:E283)</f>
        <v/>
      </c>
    </row>
    <row r="284" ht="15" customHeight="1" s="47">
      <c r="B284" s="46" t="inlineStr">
        <is>
          <t>~Black</t>
        </is>
      </c>
      <c r="C284" s="46" t="n">
        <v>12</v>
      </c>
      <c r="D284" s="46" t="n">
        <v>14</v>
      </c>
      <c r="E284" s="46" t="n">
        <v>8</v>
      </c>
      <c r="F284" s="16">
        <f>SUM(C284:E284)</f>
        <v/>
      </c>
    </row>
    <row r="285" ht="15" customHeight="1" s="47">
      <c r="B285" s="46" t="inlineStr">
        <is>
          <t>~Native American</t>
        </is>
      </c>
      <c r="C285" s="46" t="n">
        <v>0</v>
      </c>
      <c r="D285" s="46" t="n">
        <v>0</v>
      </c>
      <c r="E285" s="46" t="n">
        <v>2</v>
      </c>
      <c r="F285" s="16">
        <f>SUM(C285:E285)</f>
        <v/>
      </c>
    </row>
    <row r="286" ht="15" customHeight="1" s="47">
      <c r="B286" s="46" t="inlineStr">
        <is>
          <t>~HoPI</t>
        </is>
      </c>
      <c r="C286" s="46" t="n">
        <v>0</v>
      </c>
      <c r="D286" s="46" t="n">
        <v>0</v>
      </c>
      <c r="E286" s="46" t="n">
        <v>0</v>
      </c>
      <c r="F286" s="16">
        <f>SUM(C286:E286)</f>
        <v/>
      </c>
    </row>
    <row r="287" ht="15" customHeight="1" s="47">
      <c r="B287" s="46" t="inlineStr">
        <is>
          <t>~Hispanic</t>
        </is>
      </c>
      <c r="C287" s="46" t="n">
        <v>23</v>
      </c>
      <c r="D287" s="46" t="n">
        <v>8</v>
      </c>
      <c r="E287" s="46" t="n">
        <v>13</v>
      </c>
      <c r="F287" s="16">
        <f>SUM(C287:E287)</f>
        <v/>
      </c>
    </row>
    <row r="288" ht="15" customHeight="1" s="47">
      <c r="A288" s="46" t="inlineStr">
        <is>
          <t>Wisconsin</t>
        </is>
      </c>
      <c r="B288" s="46" t="inlineStr">
        <is>
          <t>Loans</t>
        </is>
      </c>
      <c r="C288" s="46" t="n">
        <v>3518</v>
      </c>
      <c r="D288" s="25" t="n">
        <v>9523</v>
      </c>
      <c r="E288" s="25" t="n">
        <v>6624</v>
      </c>
      <c r="F288" s="16">
        <f>SUM(C288:E288)</f>
        <v/>
      </c>
    </row>
    <row r="289" ht="15" customHeight="1" s="47">
      <c r="B289" s="46" t="inlineStr">
        <is>
          <t>~LMICT</t>
        </is>
      </c>
      <c r="C289" s="46" t="n">
        <v>82</v>
      </c>
      <c r="D289" s="46" t="n">
        <v>153</v>
      </c>
      <c r="E289" s="46" t="n">
        <v>123</v>
      </c>
      <c r="F289" s="16">
        <f>SUM(C289:E289)</f>
        <v/>
      </c>
    </row>
    <row r="290" ht="15" customHeight="1" s="47">
      <c r="B290" s="46" t="inlineStr">
        <is>
          <t>~LMIB</t>
        </is>
      </c>
      <c r="C290" s="46" t="n">
        <v>163</v>
      </c>
      <c r="D290" s="46" t="n">
        <v>465</v>
      </c>
      <c r="E290" s="46" t="n">
        <v>275</v>
      </c>
      <c r="F290" s="16">
        <f>SUM(C290:E290)</f>
        <v/>
      </c>
    </row>
    <row r="291" ht="15" customHeight="1" s="47">
      <c r="B291" s="46" t="inlineStr">
        <is>
          <t>LMIB$</t>
        </is>
      </c>
      <c r="C291" s="51" t="n">
        <v>26325000</v>
      </c>
      <c r="D291" s="51" t="n">
        <v>63365000</v>
      </c>
      <c r="E291" s="51" t="n">
        <v>19235000</v>
      </c>
      <c r="F291" s="16">
        <f>SUM(C291:E291)</f>
        <v/>
      </c>
    </row>
    <row r="292" ht="15" customHeight="1" s="47">
      <c r="B292" s="46" t="inlineStr">
        <is>
          <t>~MMCT</t>
        </is>
      </c>
      <c r="C292" s="46" t="n">
        <v>39</v>
      </c>
      <c r="D292" s="46" t="n">
        <v>65</v>
      </c>
      <c r="E292" s="46" t="n">
        <v>45</v>
      </c>
      <c r="F292" s="16">
        <f>SUM(C292:E292)</f>
        <v/>
      </c>
    </row>
    <row r="293" ht="15" customHeight="1" s="47">
      <c r="B293" s="46" t="inlineStr">
        <is>
          <t>~MINB</t>
        </is>
      </c>
      <c r="C293" s="46" t="n">
        <v>86</v>
      </c>
      <c r="D293" s="46" t="n">
        <v>116</v>
      </c>
      <c r="E293" s="46" t="n">
        <v>84</v>
      </c>
      <c r="F293" s="16">
        <f>SUM(C293:E293)</f>
        <v/>
      </c>
    </row>
    <row r="294" ht="15" customHeight="1" s="47">
      <c r="B294" s="46" t="inlineStr">
        <is>
          <t>~Asian</t>
        </is>
      </c>
      <c r="C294" s="46" t="n">
        <v>23</v>
      </c>
      <c r="D294" s="46" t="n">
        <v>17</v>
      </c>
      <c r="E294" s="46" t="n">
        <v>25</v>
      </c>
      <c r="F294" s="16">
        <f>SUM(C294:E294)</f>
        <v/>
      </c>
    </row>
    <row r="295" ht="15" customHeight="1" s="47">
      <c r="B295" s="46" t="inlineStr">
        <is>
          <t>~Black</t>
        </is>
      </c>
      <c r="C295" s="46" t="n">
        <v>33</v>
      </c>
      <c r="D295" s="46" t="n">
        <v>35</v>
      </c>
      <c r="E295" s="46" t="n">
        <v>13</v>
      </c>
      <c r="F295" s="16">
        <f>SUM(C295:E295)</f>
        <v/>
      </c>
    </row>
    <row r="296" ht="15" customHeight="1" s="47">
      <c r="B296" s="46" t="inlineStr">
        <is>
          <t>~Native American</t>
        </is>
      </c>
      <c r="C296" s="46" t="n">
        <v>0</v>
      </c>
      <c r="D296" s="46" t="n">
        <v>1</v>
      </c>
      <c r="E296" s="46" t="n">
        <v>5</v>
      </c>
      <c r="F296" s="16">
        <f>SUM(C296:E296)</f>
        <v/>
      </c>
    </row>
    <row r="297" ht="15" customHeight="1" s="47">
      <c r="B297" s="46" t="inlineStr">
        <is>
          <t>~HoPI</t>
        </is>
      </c>
      <c r="C297" s="46" t="n">
        <v>1</v>
      </c>
      <c r="D297" s="46" t="n">
        <v>5</v>
      </c>
      <c r="E297" s="46" t="n">
        <v>0</v>
      </c>
      <c r="F297" s="16">
        <f>SUM(C297:E297)</f>
        <v/>
      </c>
    </row>
    <row r="298" ht="15" customHeight="1" s="47">
      <c r="B298" s="46" t="inlineStr">
        <is>
          <t>~Hispanic</t>
        </is>
      </c>
      <c r="C298" s="46" t="n">
        <v>29</v>
      </c>
      <c r="D298" s="46" t="n">
        <v>58</v>
      </c>
      <c r="E298" s="46" t="n">
        <v>41</v>
      </c>
      <c r="F298" s="16">
        <f>SUM(C298:E298)</f>
        <v/>
      </c>
    </row>
    <row r="299" ht="15" customHeight="1" s="47"/>
  </sheetData>
  <mergeCells count="27">
    <mergeCell ref="A277:A287"/>
    <mergeCell ref="A222:A232"/>
    <mergeCell ref="A255:A265"/>
    <mergeCell ref="A233:A243"/>
    <mergeCell ref="A178:A188"/>
    <mergeCell ref="A90:A100"/>
    <mergeCell ref="A189:A199"/>
    <mergeCell ref="A145:A155"/>
    <mergeCell ref="A101:A111"/>
    <mergeCell ref="A46:A56"/>
    <mergeCell ref="A2:A12"/>
    <mergeCell ref="A244:A254"/>
    <mergeCell ref="A200:A210"/>
    <mergeCell ref="A134:A144"/>
    <mergeCell ref="A156:A166"/>
    <mergeCell ref="A112:A122"/>
    <mergeCell ref="A57:A67"/>
    <mergeCell ref="A35:A45"/>
    <mergeCell ref="A13:A23"/>
    <mergeCell ref="A68:A78"/>
    <mergeCell ref="A211:A221"/>
    <mergeCell ref="A24:A34"/>
    <mergeCell ref="A167:A177"/>
    <mergeCell ref="A123:A133"/>
    <mergeCell ref="A79:A89"/>
    <mergeCell ref="A288:A298"/>
    <mergeCell ref="A266:A27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36"/>
  <sheetViews>
    <sheetView tabSelected="1" topLeftCell="A828" workbookViewId="0">
      <selection activeCell="F92" sqref="F92:F96"/>
    </sheetView>
  </sheetViews>
  <sheetFormatPr baseColWidth="8" defaultRowHeight="15" customHeight="1"/>
  <cols>
    <col width="15.7109375" bestFit="1" customWidth="1" style="47" min="1" max="1"/>
    <col width="36.5703125" bestFit="1" customWidth="1" style="47" min="2" max="2"/>
    <col width="30.7109375" bestFit="1" customWidth="1" style="47" min="3" max="3"/>
    <col width="22.42578125" customWidth="1" style="47" min="4" max="4"/>
    <col width="25.28515625" customWidth="1" style="47" min="5" max="5"/>
    <col width="17.5703125" customWidth="1" style="8" min="6" max="6"/>
  </cols>
  <sheetData>
    <row r="1">
      <c r="A1" s="46" t="inlineStr">
        <is>
          <t>State</t>
        </is>
      </c>
      <c r="B1" s="38" t="inlineStr">
        <is>
          <t>@PNC AA</t>
        </is>
      </c>
      <c r="C1" s="37" t="n"/>
      <c r="D1" s="46" t="inlineStr">
        <is>
          <t>PNC</t>
        </is>
      </c>
      <c r="E1" s="46" t="inlineStr">
        <is>
          <t>Other</t>
        </is>
      </c>
      <c r="F1" s="8" t="inlineStr">
        <is>
          <t>Difference</t>
        </is>
      </c>
    </row>
    <row r="2">
      <c r="A2" s="46" t="inlineStr">
        <is>
          <t>Grand Total</t>
        </is>
      </c>
      <c r="C2" s="46" t="inlineStr">
        <is>
          <t>SB Loans</t>
        </is>
      </c>
      <c r="D2" s="25" t="n">
        <v>445180</v>
      </c>
      <c r="E2" s="25" t="n">
        <v>18006110</v>
      </c>
    </row>
    <row r="3">
      <c r="C3" s="46" t="inlineStr">
        <is>
          <t>#LMICT</t>
        </is>
      </c>
      <c r="D3" s="25" t="n">
        <v>6182</v>
      </c>
      <c r="E3" s="25" t="n">
        <v>555485</v>
      </c>
      <c r="F3" s="24">
        <f>IFERROR((D3/D2)-(E3/E2),0)</f>
        <v/>
      </c>
    </row>
    <row r="4">
      <c r="C4" s="46" t="inlineStr">
        <is>
          <t>Avg SB LMICT Loan Amount</t>
        </is>
      </c>
      <c r="D4" s="51" t="n">
        <v>14367</v>
      </c>
      <c r="E4" s="51" t="n">
        <v>6609</v>
      </c>
      <c r="F4" s="24">
        <f>IFERROR((D4/E4)-1,0)</f>
        <v/>
      </c>
    </row>
    <row r="5">
      <c r="C5" s="46" t="inlineStr">
        <is>
          <t>Loans Rev Under $1m</t>
        </is>
      </c>
      <c r="D5" s="25" t="n">
        <v>247248</v>
      </c>
      <c r="E5" s="25" t="n">
        <v>8692389</v>
      </c>
      <c r="F5" s="24">
        <f>IFERROR((D5/D2)-(E5/E2),0)</f>
        <v/>
      </c>
    </row>
    <row r="6">
      <c r="C6" s="46" t="inlineStr">
        <is>
          <t>Avg Loan Amt for RUM SB</t>
        </is>
      </c>
      <c r="D6" s="51" t="n">
        <v>525648</v>
      </c>
      <c r="E6" s="51" t="n">
        <v>155096</v>
      </c>
      <c r="F6" s="24">
        <f>IFERROR((D6/E6)-1,0)</f>
        <v/>
      </c>
    </row>
    <row r="7">
      <c r="A7" s="46" t="inlineStr">
        <is>
          <t>Alabama</t>
        </is>
      </c>
      <c r="B7" s="42" t="inlineStr">
        <is>
          <t>Alabama Non-MSA</t>
        </is>
      </c>
      <c r="C7" s="46" t="inlineStr">
        <is>
          <t>SB Loans</t>
        </is>
      </c>
      <c r="D7" s="46" t="n">
        <v>267</v>
      </c>
      <c r="E7" s="25" t="n">
        <v>9618</v>
      </c>
    </row>
    <row r="8">
      <c r="C8" s="46" t="inlineStr">
        <is>
          <t>#LMICT</t>
        </is>
      </c>
      <c r="D8" s="46" t="n">
        <v>40</v>
      </c>
      <c r="E8" s="25" t="n">
        <v>1536</v>
      </c>
      <c r="F8" s="24">
        <f>IFERROR((D8/D7)-(E8/E7),0)</f>
        <v/>
      </c>
    </row>
    <row r="9">
      <c r="C9" s="46" t="inlineStr">
        <is>
          <t>Avg SB LMICT Loan Amount</t>
        </is>
      </c>
      <c r="D9" s="51" t="n">
        <v>1750</v>
      </c>
      <c r="E9" s="51" t="n">
        <v>1666</v>
      </c>
      <c r="F9" s="24">
        <f>IFERROR((D9/E9)-1,0)</f>
        <v/>
      </c>
    </row>
    <row r="10">
      <c r="C10" s="46" t="inlineStr">
        <is>
          <t>Loans Rev Under $1m</t>
        </is>
      </c>
      <c r="D10" s="46" t="n">
        <v>165</v>
      </c>
      <c r="E10" s="25" t="n">
        <v>4008</v>
      </c>
      <c r="F10" s="24">
        <f>IFERROR((D10/D7)-(E10/E7),0)</f>
        <v/>
      </c>
    </row>
    <row r="11">
      <c r="C11" s="46" t="inlineStr">
        <is>
          <t>Avg Loan Amt for RUM SB</t>
        </is>
      </c>
      <c r="D11" s="51" t="n">
        <v>29458</v>
      </c>
      <c r="E11" s="51" t="n">
        <v>24209</v>
      </c>
      <c r="F11" s="24">
        <f>IFERROR((D11/E11)-1,0)</f>
        <v/>
      </c>
    </row>
    <row r="12">
      <c r="B12" s="42" t="inlineStr">
        <is>
          <t>Auburn-Opelika, AL</t>
        </is>
      </c>
      <c r="C12" s="46" t="inlineStr">
        <is>
          <t>SB Loans</t>
        </is>
      </c>
      <c r="D12" s="46" t="n">
        <v>421</v>
      </c>
      <c r="E12" s="25" t="n">
        <v>14461</v>
      </c>
    </row>
    <row r="13">
      <c r="C13" s="46" t="inlineStr">
        <is>
          <t>#LMICT</t>
        </is>
      </c>
      <c r="D13" s="46" t="n">
        <v>10</v>
      </c>
      <c r="E13" s="46" t="n">
        <v>660</v>
      </c>
      <c r="F13" s="24">
        <f>IFERROR((D13/D12)-(E13/E12),0)</f>
        <v/>
      </c>
    </row>
    <row r="14">
      <c r="C14" s="46" t="inlineStr">
        <is>
          <t>Avg SB LMICT Loan Amount</t>
        </is>
      </c>
      <c r="D14" s="51" t="n">
        <v>14600</v>
      </c>
      <c r="E14" s="51" t="n">
        <v>5529</v>
      </c>
      <c r="F14" s="24">
        <f>IFERROR((D14/E14)-1,0)</f>
        <v/>
      </c>
    </row>
    <row r="15">
      <c r="C15" s="46" t="inlineStr">
        <is>
          <t>Loans Rev Under $1m</t>
        </is>
      </c>
      <c r="D15" s="46" t="n">
        <v>238</v>
      </c>
      <c r="E15" s="25" t="n">
        <v>6355</v>
      </c>
      <c r="F15" s="24">
        <f>IFERROR((D15/D12)-(E15/E12),0)</f>
        <v/>
      </c>
    </row>
    <row r="16">
      <c r="C16" s="46" t="inlineStr">
        <is>
          <t>Avg Loan Amt for RUM SB</t>
        </is>
      </c>
      <c r="D16" s="51" t="n">
        <v>272933</v>
      </c>
      <c r="E16" s="51" t="n">
        <v>111385</v>
      </c>
      <c r="F16" s="24">
        <f>IFERROR((D16/E16)-1,0)</f>
        <v/>
      </c>
    </row>
    <row r="17">
      <c r="B17" s="42" t="inlineStr">
        <is>
          <t>Birmingham-Hoover, AL</t>
        </is>
      </c>
      <c r="C17" s="46" t="inlineStr">
        <is>
          <t>SB Loans</t>
        </is>
      </c>
      <c r="D17" s="25" t="n">
        <v>2126</v>
      </c>
      <c r="E17" s="25" t="n">
        <v>107247</v>
      </c>
    </row>
    <row r="18">
      <c r="C18" s="46" t="inlineStr">
        <is>
          <t>#LMICT</t>
        </is>
      </c>
      <c r="D18" s="46" t="n">
        <v>54</v>
      </c>
      <c r="E18" s="25" t="n">
        <v>5034</v>
      </c>
      <c r="F18" s="24">
        <f>IFERROR((D18/D17)-(E18/E17),0)</f>
        <v/>
      </c>
    </row>
    <row r="19">
      <c r="C19" s="46" t="inlineStr">
        <is>
          <t>Avg SB LMICT Loan Amount</t>
        </is>
      </c>
      <c r="D19" s="51" t="n">
        <v>7796</v>
      </c>
      <c r="E19" s="51" t="n">
        <v>3949</v>
      </c>
      <c r="F19" s="24">
        <f>IFERROR((D19/E19)-1,0)</f>
        <v/>
      </c>
    </row>
    <row r="20">
      <c r="C20" s="46" t="inlineStr">
        <is>
          <t>Loans Rev Under $1m</t>
        </is>
      </c>
      <c r="D20" s="25" t="n">
        <v>1184</v>
      </c>
      <c r="E20" s="25" t="n">
        <v>45833</v>
      </c>
      <c r="F20" s="24">
        <f>IFERROR((D20/D17)-(E20/E17),0)</f>
        <v/>
      </c>
    </row>
    <row r="21">
      <c r="C21" s="46" t="inlineStr">
        <is>
          <t>Avg Loan Amt for RUM SB</t>
        </is>
      </c>
      <c r="D21" s="51" t="n">
        <v>245926</v>
      </c>
      <c r="E21" s="51" t="n">
        <v>152292</v>
      </c>
      <c r="F21" s="24">
        <f>IFERROR((D21/E21)-1,0)</f>
        <v/>
      </c>
    </row>
    <row r="22">
      <c r="B22" s="42" t="inlineStr">
        <is>
          <t>Daphne-Fairhope-Foley, AL</t>
        </is>
      </c>
      <c r="C22" s="46" t="inlineStr">
        <is>
          <t>SB Loans</t>
        </is>
      </c>
      <c r="D22" s="25" t="n">
        <v>1235</v>
      </c>
      <c r="E22" s="25" t="n">
        <v>33958</v>
      </c>
    </row>
    <row r="23">
      <c r="C23" s="46" t="inlineStr">
        <is>
          <t>#LMICT</t>
        </is>
      </c>
      <c r="D23" s="46" t="n">
        <v>10</v>
      </c>
      <c r="E23" s="46" t="n">
        <v>866</v>
      </c>
      <c r="F23" s="24">
        <f>IFERROR((D23/D22)-(E23/E22),0)</f>
        <v/>
      </c>
    </row>
    <row r="24">
      <c r="C24" s="46" t="inlineStr">
        <is>
          <t>Avg SB LMICT Loan Amount</t>
        </is>
      </c>
      <c r="D24" s="51" t="n">
        <v>19000</v>
      </c>
      <c r="E24" s="51" t="n">
        <v>6054</v>
      </c>
      <c r="F24" s="24">
        <f>IFERROR((D24/E24)-1,0)</f>
        <v/>
      </c>
    </row>
    <row r="25">
      <c r="C25" s="46" t="inlineStr">
        <is>
          <t>Loans Rev Under $1m</t>
        </is>
      </c>
      <c r="D25" s="46" t="n">
        <v>737</v>
      </c>
      <c r="E25" s="25" t="n">
        <v>14401</v>
      </c>
      <c r="F25" s="24">
        <f>IFERROR((D25/D22)-(E25/E22),0)</f>
        <v/>
      </c>
    </row>
    <row r="26">
      <c r="C26" s="46" t="inlineStr">
        <is>
          <t>Avg Loan Amt for RUM SB</t>
        </is>
      </c>
      <c r="D26" s="51" t="n">
        <v>582300</v>
      </c>
      <c r="E26" s="51" t="n">
        <v>261176</v>
      </c>
      <c r="F26" s="24">
        <f>IFERROR((D26/E26)-1,0)</f>
        <v/>
      </c>
    </row>
    <row r="27">
      <c r="B27" s="42" t="inlineStr">
        <is>
          <t>Decatur, AL</t>
        </is>
      </c>
      <c r="C27" s="46" t="inlineStr">
        <is>
          <t>SB Loans</t>
        </is>
      </c>
      <c r="D27" s="46" t="n">
        <v>240</v>
      </c>
      <c r="E27" s="25" t="n">
        <v>9640</v>
      </c>
    </row>
    <row r="28">
      <c r="C28" s="46" t="inlineStr">
        <is>
          <t>#LMICT</t>
        </is>
      </c>
      <c r="D28" s="46" t="n">
        <v>10</v>
      </c>
      <c r="E28" s="46" t="n">
        <v>538</v>
      </c>
      <c r="F28" s="24">
        <f>IFERROR((D28/D27)-(E28/E27),0)</f>
        <v/>
      </c>
    </row>
    <row r="29">
      <c r="C29" s="46" t="inlineStr">
        <is>
          <t>Avg SB LMICT Loan Amount</t>
        </is>
      </c>
      <c r="D29" s="51" t="n">
        <v>6300</v>
      </c>
      <c r="E29" s="51" t="n">
        <v>3154</v>
      </c>
      <c r="F29" s="24">
        <f>IFERROR((D29/E29)-1,0)</f>
        <v/>
      </c>
    </row>
    <row r="30">
      <c r="C30" s="46" t="inlineStr">
        <is>
          <t>Loans Rev Under $1m</t>
        </is>
      </c>
      <c r="D30" s="46" t="n">
        <v>118</v>
      </c>
      <c r="E30" s="25" t="n">
        <v>4669</v>
      </c>
      <c r="F30" s="24">
        <f>IFERROR((D30/D27)-(E30/E27),0)</f>
        <v/>
      </c>
    </row>
    <row r="31">
      <c r="C31" s="46" t="inlineStr">
        <is>
          <t>Avg Loan Amt for RUM SB</t>
        </is>
      </c>
      <c r="D31" s="51" t="n">
        <v>88233</v>
      </c>
      <c r="E31" s="51" t="n">
        <v>124925</v>
      </c>
      <c r="F31" s="24">
        <f>IFERROR((D31/E31)-1,0)</f>
        <v/>
      </c>
    </row>
    <row r="32">
      <c r="B32" s="42" t="inlineStr">
        <is>
          <t>Huntsville, AL</t>
        </is>
      </c>
      <c r="C32" s="46" t="inlineStr">
        <is>
          <t>SB Loans</t>
        </is>
      </c>
      <c r="D32" s="46" t="n">
        <v>871</v>
      </c>
      <c r="E32" s="25" t="n">
        <v>44055</v>
      </c>
    </row>
    <row r="33">
      <c r="C33" s="46" t="inlineStr">
        <is>
          <t>#LMICT</t>
        </is>
      </c>
      <c r="D33" s="46" t="n">
        <v>20</v>
      </c>
      <c r="E33" s="25" t="n">
        <v>1322</v>
      </c>
      <c r="F33" s="24">
        <f>IFERROR((D33/D32)-(E33/E32),0)</f>
        <v/>
      </c>
    </row>
    <row r="34">
      <c r="C34" s="46" t="inlineStr">
        <is>
          <t>Avg SB LMICT Loan Amount</t>
        </is>
      </c>
      <c r="D34" s="51" t="n">
        <v>13650</v>
      </c>
      <c r="E34" s="51" t="n">
        <v>10312</v>
      </c>
      <c r="F34" s="24">
        <f>IFERROR((D34/E34)-1,0)</f>
        <v/>
      </c>
    </row>
    <row r="35">
      <c r="C35" s="46" t="inlineStr">
        <is>
          <t>Loans Rev Under $1m</t>
        </is>
      </c>
      <c r="D35" s="46" t="n">
        <v>489</v>
      </c>
      <c r="E35" s="25" t="n">
        <v>20537</v>
      </c>
      <c r="F35" s="24">
        <f>IFERROR((D35/D32)-(E35/E32),0)</f>
        <v/>
      </c>
    </row>
    <row r="36">
      <c r="C36" s="46" t="inlineStr">
        <is>
          <t>Avg Loan Amt for RUM SB</t>
        </is>
      </c>
      <c r="D36" s="51" t="n">
        <v>199800</v>
      </c>
      <c r="E36" s="51" t="n">
        <v>239553</v>
      </c>
      <c r="F36" s="24">
        <f>IFERROR((D36/E36)-1,0)</f>
        <v/>
      </c>
    </row>
    <row r="37">
      <c r="B37" s="42" t="inlineStr">
        <is>
          <t>Mobile, AL</t>
        </is>
      </c>
      <c r="C37" s="46" t="inlineStr">
        <is>
          <t>SB Loans</t>
        </is>
      </c>
      <c r="D37" s="25" t="n">
        <v>2015</v>
      </c>
      <c r="E37" s="25" t="n">
        <v>45568</v>
      </c>
    </row>
    <row r="38">
      <c r="C38" s="46" t="inlineStr">
        <is>
          <t>#LMICT</t>
        </is>
      </c>
      <c r="D38" s="46" t="n">
        <v>10</v>
      </c>
      <c r="E38" s="46" t="n">
        <v>794</v>
      </c>
      <c r="F38" s="24">
        <f>IFERROR((D38/D37)-(E38/E37),0)</f>
        <v/>
      </c>
    </row>
    <row r="39">
      <c r="C39" s="46" t="inlineStr">
        <is>
          <t>Avg SB LMICT Loan Amount</t>
        </is>
      </c>
      <c r="D39" s="51" t="n">
        <v>57200</v>
      </c>
      <c r="E39" s="51" t="n">
        <v>14248</v>
      </c>
      <c r="F39" s="24">
        <f>IFERROR((D39/E39)-1,0)</f>
        <v/>
      </c>
    </row>
    <row r="40">
      <c r="C40" s="46" t="inlineStr">
        <is>
          <t>Loans Rev Under $1m</t>
        </is>
      </c>
      <c r="D40" s="25" t="n">
        <v>1191</v>
      </c>
      <c r="E40" s="25" t="n">
        <v>18177</v>
      </c>
      <c r="F40" s="24">
        <f>IFERROR((D40/D37)-(E40/E37),0)</f>
        <v/>
      </c>
    </row>
    <row r="41">
      <c r="C41" s="46" t="inlineStr">
        <is>
          <t>Avg Loan Amt for RUM SB</t>
        </is>
      </c>
      <c r="D41" s="51" t="n">
        <v>1123867</v>
      </c>
      <c r="E41" s="51" t="n">
        <v>375653</v>
      </c>
      <c r="F41" s="24">
        <f>IFERROR((D41/E41)-1,0)</f>
        <v/>
      </c>
    </row>
    <row r="42">
      <c r="B42" s="42" t="inlineStr">
        <is>
          <t>Montgomery, AL</t>
        </is>
      </c>
      <c r="C42" s="46" t="inlineStr">
        <is>
          <t>SB Loans</t>
        </is>
      </c>
      <c r="D42" s="46" t="n">
        <v>464</v>
      </c>
      <c r="E42" s="25" t="n">
        <v>33011</v>
      </c>
    </row>
    <row r="43">
      <c r="C43" s="46" t="inlineStr">
        <is>
          <t>#LMICT</t>
        </is>
      </c>
      <c r="D43" s="46" t="n">
        <v>30</v>
      </c>
      <c r="E43" s="25" t="n">
        <v>1646</v>
      </c>
      <c r="F43" s="24">
        <f>IFERROR((D43/D42)-(E43/E42),0)</f>
        <v/>
      </c>
    </row>
    <row r="44">
      <c r="C44" s="46" t="inlineStr">
        <is>
          <t>Avg SB LMICT Loan Amount</t>
        </is>
      </c>
      <c r="D44" s="51" t="n">
        <v>4333</v>
      </c>
      <c r="E44" s="51" t="n">
        <v>4542</v>
      </c>
      <c r="F44" s="24">
        <f>IFERROR((D44/E44)-1,0)</f>
        <v/>
      </c>
    </row>
    <row r="45">
      <c r="C45" s="46" t="inlineStr">
        <is>
          <t>Loans Rev Under $1m</t>
        </is>
      </c>
      <c r="D45" s="46" t="n">
        <v>282</v>
      </c>
      <c r="E45" s="25" t="n">
        <v>14184</v>
      </c>
      <c r="F45" s="24">
        <f>IFERROR((D45/D42)-(E45/E42),0)</f>
        <v/>
      </c>
    </row>
    <row r="46">
      <c r="C46" s="46" t="inlineStr">
        <is>
          <t>Avg Loan Amt for RUM SB</t>
        </is>
      </c>
      <c r="D46" s="51" t="n">
        <v>95911</v>
      </c>
      <c r="E46" s="51" t="n">
        <v>112857</v>
      </c>
      <c r="F46" s="24">
        <f>IFERROR((D46/E46)-1,0)</f>
        <v/>
      </c>
    </row>
    <row r="47">
      <c r="B47" s="42" t="inlineStr">
        <is>
          <t>Tuscaloosa, AL</t>
        </is>
      </c>
      <c r="C47" s="46" t="inlineStr">
        <is>
          <t>SB Loans</t>
        </is>
      </c>
      <c r="D47" s="46" t="n">
        <v>254</v>
      </c>
      <c r="E47" s="25" t="n">
        <v>19171</v>
      </c>
    </row>
    <row r="48">
      <c r="C48" s="46" t="inlineStr">
        <is>
          <t>#LMICT</t>
        </is>
      </c>
      <c r="D48" s="46" t="n">
        <v>10</v>
      </c>
      <c r="E48" s="46" t="n">
        <v>667</v>
      </c>
      <c r="F48" s="24">
        <f>IFERROR((D48/D47)-(E48/E47),0)</f>
        <v/>
      </c>
    </row>
    <row r="49">
      <c r="C49" s="46" t="inlineStr">
        <is>
          <t>Avg SB LMICT Loan Amount</t>
        </is>
      </c>
      <c r="D49" s="51" t="n">
        <v>6300</v>
      </c>
      <c r="E49" s="51" t="n">
        <v>5724</v>
      </c>
      <c r="F49" s="24">
        <f>IFERROR((D49/E49)-1,0)</f>
        <v/>
      </c>
    </row>
    <row r="50">
      <c r="C50" s="46" t="inlineStr">
        <is>
          <t>Loans Rev Under $1m</t>
        </is>
      </c>
      <c r="D50" s="46" t="n">
        <v>170</v>
      </c>
      <c r="E50" s="25" t="n">
        <v>8484</v>
      </c>
      <c r="F50" s="24">
        <f>IFERROR((D50/D47)-(E50/E47),0)</f>
        <v/>
      </c>
    </row>
    <row r="51">
      <c r="C51" s="46" t="inlineStr">
        <is>
          <t>Avg Loan Amt for RUM SB</t>
        </is>
      </c>
      <c r="D51" s="51" t="n">
        <v>232667</v>
      </c>
      <c r="E51" s="51" t="n">
        <v>220674</v>
      </c>
      <c r="F51" s="24">
        <f>IFERROR((D51/E51)-1,0)</f>
        <v/>
      </c>
    </row>
    <row r="52">
      <c r="A52" s="46" t="inlineStr">
        <is>
          <t>Arizona</t>
        </is>
      </c>
      <c r="B52" s="42" t="inlineStr">
        <is>
          <t>Phoenix-Mesa-Chandler, AZ</t>
        </is>
      </c>
      <c r="C52" s="46" t="inlineStr">
        <is>
          <t>SB Loans</t>
        </is>
      </c>
      <c r="D52" s="25" t="n">
        <v>1643</v>
      </c>
      <c r="E52" s="25" t="n">
        <v>601002</v>
      </c>
    </row>
    <row r="53">
      <c r="C53" s="46" t="inlineStr">
        <is>
          <t>#LMICT</t>
        </is>
      </c>
      <c r="D53" s="46" t="n">
        <v>34</v>
      </c>
      <c r="E53" s="25" t="n">
        <v>8384</v>
      </c>
      <c r="F53" s="24">
        <f>IFERROR((D53/D52)-(E53/E52),0)</f>
        <v/>
      </c>
    </row>
    <row r="54">
      <c r="C54" s="46" t="inlineStr">
        <is>
          <t>Avg SB LMICT Loan Amount</t>
        </is>
      </c>
      <c r="D54" s="51" t="n">
        <v>12971</v>
      </c>
      <c r="E54" s="51" t="n">
        <v>13845</v>
      </c>
      <c r="F54" s="24">
        <f>IFERROR((D54/E54)-1,0)</f>
        <v/>
      </c>
    </row>
    <row r="55">
      <c r="C55" s="46" t="inlineStr">
        <is>
          <t>Loans Rev Under $1m</t>
        </is>
      </c>
      <c r="D55" s="46" t="n">
        <v>765</v>
      </c>
      <c r="E55" s="25" t="n">
        <v>308371</v>
      </c>
      <c r="F55" s="24">
        <f>IFERROR((D55/D52)-(E55/E52),0)</f>
        <v/>
      </c>
    </row>
    <row r="56">
      <c r="C56" s="46" t="inlineStr">
        <is>
          <t>Avg Loan Amt for RUM SB</t>
        </is>
      </c>
      <c r="D56" s="51" t="n">
        <v>363480</v>
      </c>
      <c r="E56" s="51" t="n">
        <v>329433</v>
      </c>
      <c r="F56" s="24">
        <f>IFERROR((D56/E56)-1,0)</f>
        <v/>
      </c>
    </row>
    <row r="57">
      <c r="A57" s="46" t="inlineStr">
        <is>
          <t>Colorado</t>
        </is>
      </c>
      <c r="B57" s="42" t="inlineStr">
        <is>
          <t>Denver-Aurora-Lakewood, CO</t>
        </is>
      </c>
      <c r="C57" s="46" t="inlineStr">
        <is>
          <t>SB Loans</t>
        </is>
      </c>
      <c r="D57" s="46" t="n">
        <v>274</v>
      </c>
      <c r="E57" s="25" t="n">
        <v>130386</v>
      </c>
    </row>
    <row r="58">
      <c r="C58" s="46" t="inlineStr">
        <is>
          <t>#LMICT</t>
        </is>
      </c>
      <c r="D58" s="46" t="n">
        <v>34</v>
      </c>
      <c r="E58" s="25" t="n">
        <v>5104</v>
      </c>
      <c r="F58" s="24">
        <f>IFERROR((D58/D57)-(E58/E57),0)</f>
        <v/>
      </c>
    </row>
    <row r="59">
      <c r="C59" s="46" t="inlineStr">
        <is>
          <t>Avg SB LMICT Loan Amount</t>
        </is>
      </c>
      <c r="D59" s="51" t="n">
        <v>1735</v>
      </c>
      <c r="E59" s="51" t="n">
        <v>6142</v>
      </c>
      <c r="F59" s="24">
        <f>IFERROR((D59/E59)-1,0)</f>
        <v/>
      </c>
    </row>
    <row r="60">
      <c r="C60" s="46" t="inlineStr">
        <is>
          <t>Loans Rev Under $1m</t>
        </is>
      </c>
      <c r="D60" s="46" t="n">
        <v>141</v>
      </c>
      <c r="E60" s="25" t="n">
        <v>65556</v>
      </c>
      <c r="F60" s="24">
        <f>IFERROR((D60/D57)-(E60/E57),0)</f>
        <v/>
      </c>
    </row>
    <row r="61">
      <c r="C61" s="46" t="inlineStr">
        <is>
          <t>Avg Loan Amt for RUM SB</t>
        </is>
      </c>
      <c r="D61" s="51" t="n">
        <v>148213</v>
      </c>
      <c r="E61" s="51" t="n">
        <v>150196</v>
      </c>
      <c r="F61" s="24">
        <f>IFERROR((D61/E61)-1,0)</f>
        <v/>
      </c>
    </row>
    <row r="62">
      <c r="A62" s="46" t="inlineStr">
        <is>
          <t>Delaware</t>
        </is>
      </c>
      <c r="B62" s="42" t="inlineStr">
        <is>
          <t>Dover, DE</t>
        </is>
      </c>
      <c r="C62" s="46" t="inlineStr">
        <is>
          <t>SB Loans</t>
        </is>
      </c>
      <c r="D62" s="46" t="n">
        <v>854</v>
      </c>
      <c r="E62" s="25" t="n">
        <v>19528</v>
      </c>
    </row>
    <row r="63">
      <c r="C63" s="46" t="inlineStr">
        <is>
          <t>#LMICT</t>
        </is>
      </c>
      <c r="D63" s="46" t="n">
        <v>10</v>
      </c>
      <c r="E63" s="46" t="n">
        <v>736</v>
      </c>
      <c r="F63" s="24">
        <f>IFERROR((D63/D62)-(E63/E62),0)</f>
        <v/>
      </c>
    </row>
    <row r="64">
      <c r="C64" s="46" t="inlineStr">
        <is>
          <t>Avg SB LMICT Loan Amount</t>
        </is>
      </c>
      <c r="D64" s="51" t="n">
        <v>23600</v>
      </c>
      <c r="E64" s="51" t="n">
        <v>10083</v>
      </c>
      <c r="F64" s="24">
        <f>IFERROR((D64/E64)-1,0)</f>
        <v/>
      </c>
    </row>
    <row r="65">
      <c r="C65" s="46" t="inlineStr">
        <is>
          <t>Loans Rev Under $1m</t>
        </is>
      </c>
      <c r="D65" s="46" t="n">
        <v>550</v>
      </c>
      <c r="E65" s="25" t="n">
        <v>9307</v>
      </c>
      <c r="F65" s="24">
        <f>IFERROR((D65/D62)-(E65/E62),0)</f>
        <v/>
      </c>
    </row>
    <row r="66">
      <c r="C66" s="46" t="inlineStr">
        <is>
          <t>Avg Loan Amt for RUM SB</t>
        </is>
      </c>
      <c r="D66" s="51" t="n">
        <v>541800</v>
      </c>
      <c r="E66" s="51" t="n">
        <v>96947</v>
      </c>
      <c r="F66" s="24">
        <f>IFERROR((D66/E66)-1,0)</f>
        <v/>
      </c>
    </row>
    <row r="67">
      <c r="B67" s="42" t="inlineStr">
        <is>
          <t>Philadelphia-Camden-Wilmington, PA-NJ-DE-MD</t>
        </is>
      </c>
      <c r="C67" s="46" t="inlineStr">
        <is>
          <t>SB Loans</t>
        </is>
      </c>
      <c r="D67" s="25" t="n">
        <v>4394</v>
      </c>
      <c r="E67" s="25" t="n">
        <v>73035</v>
      </c>
    </row>
    <row r="68">
      <c r="C68" s="46" t="inlineStr">
        <is>
          <t>#LMICT</t>
        </is>
      </c>
      <c r="D68" s="46" t="n">
        <v>34</v>
      </c>
      <c r="E68" s="25" t="n">
        <v>4502</v>
      </c>
      <c r="F68" s="24">
        <f>IFERROR((D68/D67)-(E68/E67),0)</f>
        <v/>
      </c>
    </row>
    <row r="69">
      <c r="C69" s="46" t="inlineStr">
        <is>
          <t>Avg SB LMICT Loan Amount</t>
        </is>
      </c>
      <c r="D69" s="51" t="n">
        <v>27412</v>
      </c>
      <c r="E69" s="51" t="n">
        <v>4099</v>
      </c>
      <c r="F69" s="24">
        <f>IFERROR((D69/E69)-1,0)</f>
        <v/>
      </c>
    </row>
    <row r="70">
      <c r="C70" s="46" t="inlineStr">
        <is>
          <t>Loans Rev Under $1m</t>
        </is>
      </c>
      <c r="D70" s="25" t="n">
        <v>2165</v>
      </c>
      <c r="E70" s="25" t="n">
        <v>32619</v>
      </c>
      <c r="F70" s="24">
        <f>IFERROR((D70/D67)-(E70/E67),0)</f>
        <v/>
      </c>
    </row>
    <row r="71">
      <c r="C71" s="46" t="inlineStr">
        <is>
          <t>Avg Loan Amt for RUM SB</t>
        </is>
      </c>
      <c r="D71" s="51" t="n">
        <v>1145747</v>
      </c>
      <c r="E71" s="51" t="n">
        <v>83766</v>
      </c>
      <c r="F71" s="24">
        <f>IFERROR((D71/E71)-1,0)</f>
        <v/>
      </c>
    </row>
    <row r="72">
      <c r="B72" s="42" t="inlineStr">
        <is>
          <t>Salisbury, MD-DE</t>
        </is>
      </c>
      <c r="C72" s="46" t="inlineStr">
        <is>
          <t>SB Loans</t>
        </is>
      </c>
      <c r="D72" s="25" t="n">
        <v>1793</v>
      </c>
      <c r="E72" s="25" t="n">
        <v>26467</v>
      </c>
    </row>
    <row r="73">
      <c r="C73" s="46" t="inlineStr">
        <is>
          <t>#LMICT</t>
        </is>
      </c>
      <c r="D73" s="46" t="n">
        <v>10</v>
      </c>
      <c r="E73" s="46" t="n">
        <v>764</v>
      </c>
      <c r="F73" s="24">
        <f>IFERROR((D73/D72)-(E73/E72),0)</f>
        <v/>
      </c>
    </row>
    <row r="74">
      <c r="C74" s="46" t="inlineStr">
        <is>
          <t>Avg SB LMICT Loan Amount</t>
        </is>
      </c>
      <c r="D74" s="51" t="n">
        <v>17100</v>
      </c>
      <c r="E74" s="51" t="n">
        <v>3364</v>
      </c>
      <c r="F74" s="24">
        <f>IFERROR((D74/E74)-1,0)</f>
        <v/>
      </c>
    </row>
    <row r="75">
      <c r="C75" s="46" t="inlineStr">
        <is>
          <t>Loans Rev Under $1m</t>
        </is>
      </c>
      <c r="D75" s="25" t="n">
        <v>1153</v>
      </c>
      <c r="E75" s="25" t="n">
        <v>12941</v>
      </c>
      <c r="F75" s="24">
        <f>IFERROR((D75/D72)-(E75/E72),0)</f>
        <v/>
      </c>
    </row>
    <row r="76">
      <c r="C76" s="46" t="inlineStr">
        <is>
          <t>Avg Loan Amt for RUM SB</t>
        </is>
      </c>
      <c r="D76" s="51" t="n">
        <v>1120900</v>
      </c>
      <c r="E76" s="51" t="n">
        <v>135925</v>
      </c>
      <c r="F76" s="24">
        <f>IFERROR((D76/E76)-1,0)</f>
        <v/>
      </c>
    </row>
    <row r="77">
      <c r="A77" s="46" t="inlineStr">
        <is>
          <t>District of Columbia</t>
        </is>
      </c>
      <c r="B77" s="42" t="inlineStr">
        <is>
          <t>Washington-Arlington-Alexandria, DC-VA-MD-WV</t>
        </is>
      </c>
      <c r="C77" s="46" t="inlineStr">
        <is>
          <t>SB Loans</t>
        </is>
      </c>
      <c r="D77" s="25" t="n">
        <v>3555</v>
      </c>
      <c r="E77" s="25" t="n">
        <v>90475</v>
      </c>
    </row>
    <row r="78">
      <c r="C78" s="46" t="inlineStr">
        <is>
          <t>#LMICT</t>
        </is>
      </c>
      <c r="D78" s="46" t="n">
        <v>34</v>
      </c>
      <c r="E78" s="25" t="n">
        <v>4798</v>
      </c>
      <c r="F78" s="24">
        <f>IFERROR((D78/D77)-(E78/E77),0)</f>
        <v/>
      </c>
    </row>
    <row r="79">
      <c r="C79" s="46" t="inlineStr">
        <is>
          <t>Avg SB LMICT Loan Amount</t>
        </is>
      </c>
      <c r="D79" s="51" t="n">
        <v>27088</v>
      </c>
      <c r="E79" s="51" t="n">
        <v>4935</v>
      </c>
      <c r="F79" s="24">
        <f>IFERROR((D79/E79)-1,0)</f>
        <v/>
      </c>
    </row>
    <row r="80">
      <c r="C80" s="46" t="inlineStr">
        <is>
          <t>Loans Rev Under $1m</t>
        </is>
      </c>
      <c r="D80" s="25" t="n">
        <v>2039</v>
      </c>
      <c r="E80" s="25" t="n">
        <v>39752</v>
      </c>
      <c r="F80" s="24">
        <f>IFERROR((D80/D77)-(E80/E77),0)</f>
        <v/>
      </c>
    </row>
    <row r="81">
      <c r="C81" s="46" t="inlineStr">
        <is>
          <t>Avg Loan Amt for RUM SB</t>
        </is>
      </c>
      <c r="D81" s="51" t="n">
        <v>975547</v>
      </c>
      <c r="E81" s="51" t="n">
        <v>90036</v>
      </c>
      <c r="F81" s="24">
        <f>IFERROR((D81/E81)-1,0)</f>
        <v/>
      </c>
    </row>
    <row r="82">
      <c r="A82" s="46" t="inlineStr">
        <is>
          <t>Florida</t>
        </is>
      </c>
      <c r="B82" s="42" t="inlineStr">
        <is>
          <t>Cape Coral-Fort Myers, FL</t>
        </is>
      </c>
      <c r="C82" s="46" t="inlineStr">
        <is>
          <t>SB Loans</t>
        </is>
      </c>
      <c r="D82" s="46" t="n">
        <v>562</v>
      </c>
      <c r="E82" s="25" t="n">
        <v>122020</v>
      </c>
    </row>
    <row r="83">
      <c r="C83" s="46" t="inlineStr">
        <is>
          <t>#LMICT</t>
        </is>
      </c>
      <c r="D83" s="46" t="n">
        <v>34</v>
      </c>
      <c r="E83" s="25" t="n">
        <v>5636</v>
      </c>
      <c r="F83" s="24">
        <f>IFERROR((D83/D82)-(E83/E82),0)</f>
        <v/>
      </c>
    </row>
    <row r="84">
      <c r="C84" s="46" t="inlineStr">
        <is>
          <t>Avg SB LMICT Loan Amount</t>
        </is>
      </c>
      <c r="D84" s="51" t="n">
        <v>2382</v>
      </c>
      <c r="E84" s="51" t="n">
        <v>4795</v>
      </c>
      <c r="F84" s="24">
        <f>IFERROR((D84/E84)-1,0)</f>
        <v/>
      </c>
    </row>
    <row r="85">
      <c r="C85" s="46" t="inlineStr">
        <is>
          <t>Loans Rev Under $1m</t>
        </is>
      </c>
      <c r="D85" s="46" t="n">
        <v>344</v>
      </c>
      <c r="E85" s="25" t="n">
        <v>61399</v>
      </c>
      <c r="F85" s="24">
        <f>IFERROR((D85/D82)-(E85/E82),0)</f>
        <v/>
      </c>
    </row>
    <row r="86">
      <c r="C86" s="46" t="inlineStr">
        <is>
          <t>Avg Loan Amt for RUM SB</t>
        </is>
      </c>
      <c r="D86" s="51" t="n">
        <v>184013</v>
      </c>
      <c r="E86" s="51" t="n">
        <v>103427</v>
      </c>
      <c r="F86" s="24">
        <f>IFERROR((D86/E86)-1,0)</f>
        <v/>
      </c>
    </row>
    <row r="87">
      <c r="B87" s="42" t="inlineStr">
        <is>
          <t>Deltona-Daytona Beach-Ormond Beach, FL</t>
        </is>
      </c>
      <c r="C87" s="46" t="inlineStr">
        <is>
          <t>SB Loans</t>
        </is>
      </c>
      <c r="D87" s="25" t="n">
        <v>1757</v>
      </c>
      <c r="E87" s="25" t="n">
        <v>85431</v>
      </c>
    </row>
    <row r="88">
      <c r="C88" s="46" t="inlineStr">
        <is>
          <t>#LMICT</t>
        </is>
      </c>
      <c r="D88" s="46" t="n">
        <v>44</v>
      </c>
      <c r="E88" s="25" t="n">
        <v>4346</v>
      </c>
      <c r="F88" s="24">
        <f>IFERROR((D88/D87)-(E88/E87),0)</f>
        <v/>
      </c>
    </row>
    <row r="89">
      <c r="C89" s="46" t="inlineStr">
        <is>
          <t>Avg SB LMICT Loan Amount</t>
        </is>
      </c>
      <c r="D89" s="51" t="n">
        <v>6886</v>
      </c>
      <c r="E89" s="51" t="n">
        <v>3602</v>
      </c>
      <c r="F89" s="24">
        <f>IFERROR((D89/E89)-1,0)</f>
        <v/>
      </c>
    </row>
    <row r="90">
      <c r="C90" s="46" t="inlineStr">
        <is>
          <t>Loans Rev Under $1m</t>
        </is>
      </c>
      <c r="D90" s="25" t="n">
        <v>1175</v>
      </c>
      <c r="E90" s="25" t="n">
        <v>45225</v>
      </c>
      <c r="F90" s="24">
        <f>IFERROR((D90/D87)-(E90/E87),0)</f>
        <v/>
      </c>
    </row>
    <row r="91">
      <c r="C91" s="46" t="inlineStr">
        <is>
          <t>Avg Loan Amt for RUM SB</t>
        </is>
      </c>
      <c r="D91" s="51" t="n">
        <v>254429</v>
      </c>
      <c r="E91" s="51" t="n">
        <v>75743</v>
      </c>
      <c r="F91" s="24">
        <f>IFERROR((D91/E91)-1,0)</f>
        <v/>
      </c>
    </row>
    <row r="92">
      <c r="B92" s="42" t="inlineStr">
        <is>
          <t>Florida Non-MSA</t>
        </is>
      </c>
      <c r="C92" s="46" t="inlineStr">
        <is>
          <t>SB Loans</t>
        </is>
      </c>
      <c r="D92" s="46" t="n">
        <v>163</v>
      </c>
      <c r="E92" s="25" t="n">
        <v>3749</v>
      </c>
    </row>
    <row r="93">
      <c r="C93" s="46" t="inlineStr">
        <is>
          <t>#LMICT</t>
        </is>
      </c>
      <c r="D93" s="46" t="n">
        <v>10</v>
      </c>
      <c r="E93" s="46" t="n">
        <v>374</v>
      </c>
      <c r="F93" s="24">
        <f>IFERROR((D93/D92)-(E93/E92),0)</f>
        <v/>
      </c>
    </row>
    <row r="94">
      <c r="C94" s="46" t="inlineStr">
        <is>
          <t>Avg SB LMICT Loan Amount</t>
        </is>
      </c>
      <c r="D94" s="51" t="n">
        <v>6900</v>
      </c>
      <c r="E94" s="51" t="n">
        <v>3003</v>
      </c>
      <c r="F94" s="24">
        <f>IFERROR((D94/E94)-1,0)</f>
        <v/>
      </c>
    </row>
    <row r="95">
      <c r="C95" s="46" t="inlineStr">
        <is>
          <t>Loans Rev Under $1m</t>
        </is>
      </c>
      <c r="D95" s="46" t="n">
        <v>102</v>
      </c>
      <c r="E95" s="25" t="n">
        <v>1989</v>
      </c>
      <c r="F95" s="24">
        <f>IFERROR((D95/D92)-(E95/E92),0)</f>
        <v/>
      </c>
    </row>
    <row r="96">
      <c r="C96" s="46" t="inlineStr">
        <is>
          <t>Avg Loan Amt for RUM SB</t>
        </is>
      </c>
      <c r="D96" s="51" t="n">
        <v>56933</v>
      </c>
      <c r="E96" s="51" t="n">
        <v>33944</v>
      </c>
      <c r="F96" s="24">
        <f>IFERROR((D96/E96)-1,0)</f>
        <v/>
      </c>
    </row>
    <row r="97">
      <c r="B97" s="42" t="inlineStr">
        <is>
          <t>Gainesville, FL</t>
        </is>
      </c>
      <c r="C97" s="46" t="inlineStr">
        <is>
          <t>SB Loans</t>
        </is>
      </c>
      <c r="D97" s="46" t="n">
        <v>442</v>
      </c>
      <c r="E97" s="25" t="n">
        <v>30198</v>
      </c>
    </row>
    <row r="98">
      <c r="C98" s="46" t="inlineStr">
        <is>
          <t>#LMICT</t>
        </is>
      </c>
      <c r="D98" s="46" t="n">
        <v>10</v>
      </c>
      <c r="E98" s="46" t="n">
        <v>716</v>
      </c>
      <c r="F98" s="24">
        <f>IFERROR((D98/D97)-(E98/E97),0)</f>
        <v/>
      </c>
    </row>
    <row r="99">
      <c r="C99" s="46" t="inlineStr">
        <is>
          <t>Avg SB LMICT Loan Amount</t>
        </is>
      </c>
      <c r="D99" s="51" t="n">
        <v>12800</v>
      </c>
      <c r="E99" s="51" t="n">
        <v>9413</v>
      </c>
      <c r="F99" s="24">
        <f>IFERROR((D99/E99)-1,0)</f>
        <v/>
      </c>
    </row>
    <row r="100">
      <c r="C100" s="46" t="inlineStr">
        <is>
          <t>Loans Rev Under $1m</t>
        </is>
      </c>
      <c r="D100" s="46" t="n">
        <v>262</v>
      </c>
      <c r="E100" s="25" t="n">
        <v>13919</v>
      </c>
      <c r="F100" s="24">
        <f>IFERROR((D100/D97)-(E100/E97),0)</f>
        <v/>
      </c>
    </row>
    <row r="101">
      <c r="C101" s="46" t="inlineStr">
        <is>
          <t>Avg Loan Amt for RUM SB</t>
        </is>
      </c>
      <c r="D101" s="51" t="n">
        <v>271367</v>
      </c>
      <c r="E101" s="51" t="n">
        <v>142972</v>
      </c>
      <c r="F101" s="24">
        <f>IFERROR((D101/E101)-1,0)</f>
        <v/>
      </c>
    </row>
    <row r="102">
      <c r="B102" s="42" t="inlineStr">
        <is>
          <t>Jacksonville, FL</t>
        </is>
      </c>
      <c r="C102" s="46" t="inlineStr">
        <is>
          <t>SB Loans</t>
        </is>
      </c>
      <c r="D102" s="46" t="n">
        <v>973</v>
      </c>
      <c r="E102" s="25" t="n">
        <v>173076</v>
      </c>
    </row>
    <row r="103">
      <c r="C103" s="46" t="inlineStr">
        <is>
          <t>#LMICT</t>
        </is>
      </c>
      <c r="D103" s="46" t="n">
        <v>44</v>
      </c>
      <c r="E103" s="25" t="n">
        <v>5120</v>
      </c>
      <c r="F103" s="24">
        <f>IFERROR((D103/D102)-(E103/E102),0)</f>
        <v/>
      </c>
    </row>
    <row r="104">
      <c r="C104" s="46" t="inlineStr">
        <is>
          <t>Avg SB LMICT Loan Amount</t>
        </is>
      </c>
      <c r="D104" s="51" t="n">
        <v>5636</v>
      </c>
      <c r="E104" s="51" t="n">
        <v>7446</v>
      </c>
      <c r="F104" s="24">
        <f>IFERROR((D104/E104)-1,0)</f>
        <v/>
      </c>
    </row>
    <row r="105">
      <c r="C105" s="46" t="inlineStr">
        <is>
          <t>Loans Rev Under $1m</t>
        </is>
      </c>
      <c r="D105" s="46" t="n">
        <v>498</v>
      </c>
      <c r="E105" s="25" t="n">
        <v>82285</v>
      </c>
      <c r="F105" s="24">
        <f>IFERROR((D105/D102)-(E105/E102),0)</f>
        <v/>
      </c>
    </row>
    <row r="106">
      <c r="C106" s="46" t="inlineStr">
        <is>
          <t>Avg Loan Amt for RUM SB</t>
        </is>
      </c>
      <c r="D106" s="51" t="n">
        <v>133229</v>
      </c>
      <c r="E106" s="51" t="n">
        <v>150637</v>
      </c>
      <c r="F106" s="24">
        <f>IFERROR((D106/E106)-1,0)</f>
        <v/>
      </c>
    </row>
    <row r="107">
      <c r="B107" s="42" t="inlineStr">
        <is>
          <t>Miami-Fort Lauderdale-Pompano Beach, FL</t>
        </is>
      </c>
      <c r="C107" s="46" t="inlineStr">
        <is>
          <t>SB Loans</t>
        </is>
      </c>
      <c r="D107" s="25" t="n">
        <v>19148</v>
      </c>
      <c r="E107" s="25" t="n">
        <v>1634053</v>
      </c>
    </row>
    <row r="108">
      <c r="C108" s="46" t="inlineStr">
        <is>
          <t>#LMICT</t>
        </is>
      </c>
      <c r="D108" s="46" t="n">
        <v>102</v>
      </c>
      <c r="E108" s="25" t="n">
        <v>19616</v>
      </c>
      <c r="F108" s="24">
        <f>IFERROR((D108/D107)-(E108/E107),0)</f>
        <v/>
      </c>
    </row>
    <row r="109">
      <c r="C109" s="46" t="inlineStr">
        <is>
          <t>Avg SB LMICT Loan Amount</t>
        </is>
      </c>
      <c r="D109" s="51" t="n">
        <v>45147</v>
      </c>
      <c r="E109" s="51" t="n">
        <v>18870</v>
      </c>
      <c r="F109" s="24">
        <f>IFERROR((D109/E109)-1,0)</f>
        <v/>
      </c>
    </row>
    <row r="110">
      <c r="C110" s="46" t="inlineStr">
        <is>
          <t>Loans Rev Under $1m</t>
        </is>
      </c>
      <c r="D110" s="25" t="n">
        <v>12099</v>
      </c>
      <c r="E110" s="25" t="n">
        <v>796693</v>
      </c>
      <c r="F110" s="24">
        <f>IFERROR((D110/D107)-(E110/E107),0)</f>
        <v/>
      </c>
    </row>
    <row r="111">
      <c r="C111" s="46" t="inlineStr">
        <is>
          <t>Avg Loan Amt for RUM SB</t>
        </is>
      </c>
      <c r="D111" s="51" t="n">
        <v>1617533</v>
      </c>
      <c r="E111" s="51" t="n">
        <v>328775</v>
      </c>
      <c r="F111" s="24">
        <f>IFERROR((D111/E111)-1,0)</f>
        <v/>
      </c>
    </row>
    <row r="112">
      <c r="B112" s="42" t="inlineStr">
        <is>
          <t>Naples-Marco Island, FL</t>
        </is>
      </c>
      <c r="C112" s="46" t="inlineStr">
        <is>
          <t>SB Loans</t>
        </is>
      </c>
      <c r="D112" s="46" t="n">
        <v>726</v>
      </c>
      <c r="E112" s="25" t="n">
        <v>78622</v>
      </c>
    </row>
    <row r="113">
      <c r="C113" s="46" t="inlineStr">
        <is>
          <t>#LMICT</t>
        </is>
      </c>
      <c r="D113" s="46" t="n">
        <v>10</v>
      </c>
      <c r="E113" s="25" t="n">
        <v>1502</v>
      </c>
      <c r="F113" s="24">
        <f>IFERROR((D113/D112)-(E113/E112),0)</f>
        <v/>
      </c>
    </row>
    <row r="114">
      <c r="C114" s="46" t="inlineStr">
        <is>
          <t>Avg SB LMICT Loan Amount</t>
        </is>
      </c>
      <c r="D114" s="51" t="n">
        <v>8400</v>
      </c>
      <c r="E114" s="51" t="n">
        <v>8521</v>
      </c>
      <c r="F114" s="24">
        <f>IFERROR((D114/E114)-1,0)</f>
        <v/>
      </c>
    </row>
    <row r="115">
      <c r="C115" s="46" t="inlineStr">
        <is>
          <t>Loans Rev Under $1m</t>
        </is>
      </c>
      <c r="D115" s="46" t="n">
        <v>450</v>
      </c>
      <c r="E115" s="25" t="n">
        <v>38326</v>
      </c>
      <c r="F115" s="24">
        <f>IFERROR((D115/D112)-(E115/E112),0)</f>
        <v/>
      </c>
    </row>
    <row r="116">
      <c r="C116" s="46" t="inlineStr">
        <is>
          <t>Avg Loan Amt for RUM SB</t>
        </is>
      </c>
      <c r="D116" s="51" t="n">
        <v>609933</v>
      </c>
      <c r="E116" s="51" t="n">
        <v>185964</v>
      </c>
      <c r="F116" s="24">
        <f>IFERROR((D116/E116)-1,0)</f>
        <v/>
      </c>
    </row>
    <row r="117">
      <c r="B117" s="42" t="inlineStr">
        <is>
          <t>North Port-Sarasota-Bradenton, FL</t>
        </is>
      </c>
      <c r="C117" s="46" t="inlineStr">
        <is>
          <t>SB Loans</t>
        </is>
      </c>
      <c r="D117" s="25" t="n">
        <v>1447</v>
      </c>
      <c r="E117" s="25" t="n">
        <v>140790</v>
      </c>
    </row>
    <row r="118">
      <c r="C118" s="46" t="inlineStr">
        <is>
          <t>#LMICT</t>
        </is>
      </c>
      <c r="D118" s="46" t="n">
        <v>20</v>
      </c>
      <c r="E118" s="25" t="n">
        <v>2411</v>
      </c>
      <c r="F118" s="24">
        <f>IFERROR((D118/D117)-(E118/E117),0)</f>
        <v/>
      </c>
    </row>
    <row r="119">
      <c r="C119" s="46" t="inlineStr">
        <is>
          <t>Avg SB LMICT Loan Amount</t>
        </is>
      </c>
      <c r="D119" s="51" t="n">
        <v>13150</v>
      </c>
      <c r="E119" s="51" t="n">
        <v>10190</v>
      </c>
      <c r="F119" s="24">
        <f>IFERROR((D119/E119)-1,0)</f>
        <v/>
      </c>
    </row>
    <row r="120">
      <c r="C120" s="46" t="inlineStr">
        <is>
          <t>Loans Rev Under $1m</t>
        </is>
      </c>
      <c r="D120" s="46" t="n">
        <v>874</v>
      </c>
      <c r="E120" s="25" t="n">
        <v>73938</v>
      </c>
      <c r="F120" s="24">
        <f>IFERROR((D120/D117)-(E120/E117),0)</f>
        <v/>
      </c>
    </row>
    <row r="121">
      <c r="C121" s="46" t="inlineStr">
        <is>
          <t>Avg Loan Amt for RUM SB</t>
        </is>
      </c>
      <c r="D121" s="51" t="n">
        <v>447183</v>
      </c>
      <c r="E121" s="51" t="n">
        <v>207957</v>
      </c>
      <c r="F121" s="24">
        <f>IFERROR((D121/E121)-1,0)</f>
        <v/>
      </c>
    </row>
    <row r="122">
      <c r="B122" s="42" t="inlineStr">
        <is>
          <t>Ocala, FL</t>
        </is>
      </c>
      <c r="C122" s="46" t="inlineStr">
        <is>
          <t>SB Loans</t>
        </is>
      </c>
      <c r="D122" s="46" t="n">
        <v>299</v>
      </c>
      <c r="E122" s="25" t="n">
        <v>42576</v>
      </c>
    </row>
    <row r="123">
      <c r="C123" s="46" t="inlineStr">
        <is>
          <t>#LMICT</t>
        </is>
      </c>
      <c r="D123" s="46" t="n">
        <v>10</v>
      </c>
      <c r="E123" s="46" t="n">
        <v>854</v>
      </c>
      <c r="F123" s="24">
        <f>IFERROR((D123/D122)-(E123/E122),0)</f>
        <v/>
      </c>
    </row>
    <row r="124">
      <c r="C124" s="46" t="inlineStr">
        <is>
          <t>Avg SB LMICT Loan Amount</t>
        </is>
      </c>
      <c r="D124" s="51" t="n">
        <v>6000</v>
      </c>
      <c r="E124" s="51" t="n">
        <v>9681</v>
      </c>
      <c r="F124" s="24">
        <f>IFERROR((D124/E124)-1,0)</f>
        <v/>
      </c>
    </row>
    <row r="125">
      <c r="C125" s="46" t="inlineStr">
        <is>
          <t>Loans Rev Under $1m</t>
        </is>
      </c>
      <c r="D125" s="46" t="n">
        <v>167</v>
      </c>
      <c r="E125" s="25" t="n">
        <v>20578</v>
      </c>
      <c r="F125" s="24">
        <f>IFERROR((D125/D122)-(E125/E122),0)</f>
        <v/>
      </c>
    </row>
    <row r="126">
      <c r="C126" s="46" t="inlineStr">
        <is>
          <t>Avg Loan Amt for RUM SB</t>
        </is>
      </c>
      <c r="D126" s="51" t="n">
        <v>156433</v>
      </c>
      <c r="E126" s="51" t="n">
        <v>171212</v>
      </c>
      <c r="F126" s="24">
        <f>IFERROR((D126/E126)-1,0)</f>
        <v/>
      </c>
    </row>
    <row r="127">
      <c r="B127" s="42" t="inlineStr">
        <is>
          <t>Orlando-Kissimmee-Sanford, FL</t>
        </is>
      </c>
      <c r="C127" s="46" t="inlineStr">
        <is>
          <t>SB Loans</t>
        </is>
      </c>
      <c r="D127" s="25" t="n">
        <v>4353</v>
      </c>
      <c r="E127" s="25" t="n">
        <v>449021</v>
      </c>
    </row>
    <row r="128">
      <c r="C128" s="46" t="inlineStr">
        <is>
          <t>#LMICT</t>
        </is>
      </c>
      <c r="D128" s="46" t="n">
        <v>64</v>
      </c>
      <c r="E128" s="25" t="n">
        <v>8285</v>
      </c>
      <c r="F128" s="24">
        <f>IFERROR((D128/D127)-(E128/E127),0)</f>
        <v/>
      </c>
    </row>
    <row r="129">
      <c r="C129" s="46" t="inlineStr">
        <is>
          <t>Avg SB LMICT Loan Amount</t>
        </is>
      </c>
      <c r="D129" s="51" t="n">
        <v>16906</v>
      </c>
      <c r="E129" s="51" t="n">
        <v>13348</v>
      </c>
      <c r="F129" s="24">
        <f>IFERROR((D129/E129)-1,0)</f>
        <v/>
      </c>
    </row>
    <row r="130">
      <c r="C130" s="46" t="inlineStr">
        <is>
          <t>Loans Rev Under $1m</t>
        </is>
      </c>
      <c r="D130" s="25" t="n">
        <v>2422</v>
      </c>
      <c r="E130" s="25" t="n">
        <v>225827</v>
      </c>
      <c r="F130" s="24">
        <f>IFERROR((D130/D127)-(E130/E127),0)</f>
        <v/>
      </c>
    </row>
    <row r="131">
      <c r="C131" s="46" t="inlineStr">
        <is>
          <t>Avg Loan Amt for RUM SB</t>
        </is>
      </c>
      <c r="D131" s="51" t="n">
        <v>445782</v>
      </c>
      <c r="E131" s="51" t="n">
        <v>194217</v>
      </c>
      <c r="F131" s="24">
        <f>IFERROR((D131/E131)-1,0)</f>
        <v/>
      </c>
    </row>
    <row r="132">
      <c r="B132" s="42" t="inlineStr">
        <is>
          <t>Palm Bay-Melbourne-Titusville, FL</t>
        </is>
      </c>
      <c r="C132" s="46" t="inlineStr">
        <is>
          <t>SB Loans</t>
        </is>
      </c>
      <c r="D132" s="25" t="n">
        <v>2040</v>
      </c>
      <c r="E132" s="25" t="n">
        <v>72750</v>
      </c>
    </row>
    <row r="133">
      <c r="C133" s="46" t="inlineStr">
        <is>
          <t>#LMICT</t>
        </is>
      </c>
      <c r="D133" s="46" t="n">
        <v>34</v>
      </c>
      <c r="E133" s="25" t="n">
        <v>3642</v>
      </c>
      <c r="F133" s="24">
        <f>IFERROR((D133/D132)-(E133/E132),0)</f>
        <v/>
      </c>
    </row>
    <row r="134">
      <c r="C134" s="46" t="inlineStr">
        <is>
          <t>Avg SB LMICT Loan Amount</t>
        </is>
      </c>
      <c r="D134" s="51" t="n">
        <v>13794</v>
      </c>
      <c r="E134" s="51" t="n">
        <v>4441</v>
      </c>
      <c r="F134" s="24">
        <f>IFERROR((D134/E134)-1,0)</f>
        <v/>
      </c>
    </row>
    <row r="135">
      <c r="C135" s="46" t="inlineStr">
        <is>
          <t>Loans Rev Under $1m</t>
        </is>
      </c>
      <c r="D135" s="25" t="n">
        <v>1254</v>
      </c>
      <c r="E135" s="25" t="n">
        <v>37126</v>
      </c>
      <c r="F135" s="24">
        <f>IFERROR((D135/D132)-(E135/E132),0)</f>
        <v/>
      </c>
    </row>
    <row r="136">
      <c r="C136" s="46" t="inlineStr">
        <is>
          <t>Avg Loan Amt for RUM SB</t>
        </is>
      </c>
      <c r="D136" s="51" t="n">
        <v>429240</v>
      </c>
      <c r="E136" s="51" t="n">
        <v>82816</v>
      </c>
      <c r="F136" s="24">
        <f>IFERROR((D136/E136)-1,0)</f>
        <v/>
      </c>
    </row>
    <row r="137">
      <c r="B137" s="42" t="inlineStr">
        <is>
          <t>Port St. Lucie, FL</t>
        </is>
      </c>
      <c r="C137" s="46" t="inlineStr">
        <is>
          <t>SB Loans</t>
        </is>
      </c>
      <c r="D137" s="25" t="n">
        <v>2894</v>
      </c>
      <c r="E137" s="25" t="n">
        <v>75490</v>
      </c>
    </row>
    <row r="138">
      <c r="C138" s="46" t="inlineStr">
        <is>
          <t>#LMICT</t>
        </is>
      </c>
      <c r="D138" s="46" t="n">
        <v>20</v>
      </c>
      <c r="E138" s="25" t="n">
        <v>1558</v>
      </c>
      <c r="F138" s="24">
        <f>IFERROR((D138/D137)-(E138/E137),0)</f>
        <v/>
      </c>
    </row>
    <row r="139">
      <c r="C139" s="46" t="inlineStr">
        <is>
          <t>Avg SB LMICT Loan Amount</t>
        </is>
      </c>
      <c r="D139" s="51" t="n">
        <v>44850</v>
      </c>
      <c r="E139" s="51" t="n">
        <v>10816</v>
      </c>
      <c r="F139" s="24">
        <f>IFERROR((D139/E139)-1,0)</f>
        <v/>
      </c>
    </row>
    <row r="140">
      <c r="C140" s="46" t="inlineStr">
        <is>
          <t>Loans Rev Under $1m</t>
        </is>
      </c>
      <c r="D140" s="25" t="n">
        <v>1908</v>
      </c>
      <c r="E140" s="25" t="n">
        <v>37982</v>
      </c>
      <c r="F140" s="24">
        <f>IFERROR((D140/D137)-(E140/E137),0)</f>
        <v/>
      </c>
    </row>
    <row r="141">
      <c r="C141" s="46" t="inlineStr">
        <is>
          <t>Avg Loan Amt for RUM SB</t>
        </is>
      </c>
      <c r="D141" s="51" t="n">
        <v>871083</v>
      </c>
      <c r="E141" s="51" t="n">
        <v>147742</v>
      </c>
      <c r="F141" s="24">
        <f>IFERROR((D141/E141)-1,0)</f>
        <v/>
      </c>
    </row>
    <row r="142">
      <c r="B142" s="42" t="inlineStr">
        <is>
          <t>Punta Gorda, FL</t>
        </is>
      </c>
      <c r="C142" s="46" t="inlineStr">
        <is>
          <t>SB Loans</t>
        </is>
      </c>
      <c r="D142" s="46" t="n">
        <v>78</v>
      </c>
      <c r="E142" s="25" t="n">
        <v>23101</v>
      </c>
    </row>
    <row r="143">
      <c r="C143" s="46" t="inlineStr">
        <is>
          <t>#LMICT</t>
        </is>
      </c>
      <c r="D143" s="46" t="n">
        <v>10</v>
      </c>
      <c r="E143" s="46" t="n">
        <v>778</v>
      </c>
      <c r="F143" s="24">
        <f>IFERROR((D143/D142)-(E143/E142),0)</f>
        <v/>
      </c>
    </row>
    <row r="144">
      <c r="C144" s="46" t="inlineStr">
        <is>
          <t>Avg SB LMICT Loan Amount</t>
        </is>
      </c>
      <c r="D144" s="51" t="n">
        <v>1900</v>
      </c>
      <c r="E144" s="51" t="n">
        <v>4746</v>
      </c>
      <c r="F144" s="24">
        <f>IFERROR((D144/E144)-1,0)</f>
        <v/>
      </c>
    </row>
    <row r="145">
      <c r="C145" s="46" t="inlineStr">
        <is>
          <t>Loans Rev Under $1m</t>
        </is>
      </c>
      <c r="D145" s="46" t="n">
        <v>61</v>
      </c>
      <c r="E145" s="25" t="n">
        <v>12140</v>
      </c>
      <c r="F145" s="24">
        <f>IFERROR((D145/D142)-(E145/E142),0)</f>
        <v/>
      </c>
    </row>
    <row r="146">
      <c r="C146" s="46" t="inlineStr">
        <is>
          <t>Avg Loan Amt for RUM SB</t>
        </is>
      </c>
      <c r="D146" s="51" t="n">
        <v>26033</v>
      </c>
      <c r="E146" s="51" t="n">
        <v>90491</v>
      </c>
      <c r="F146" s="24">
        <f>IFERROR((D146/E146)-1,0)</f>
        <v/>
      </c>
    </row>
    <row r="147">
      <c r="B147" s="42" t="inlineStr">
        <is>
          <t>Sebastian-Vero Beach, FL</t>
        </is>
      </c>
      <c r="C147" s="46" t="inlineStr">
        <is>
          <t>SB Loans</t>
        </is>
      </c>
      <c r="D147" s="25" t="n">
        <v>1234</v>
      </c>
      <c r="E147" s="25" t="n">
        <v>24033</v>
      </c>
    </row>
    <row r="148">
      <c r="C148" s="46" t="inlineStr">
        <is>
          <t>#LMICT</t>
        </is>
      </c>
      <c r="D148" s="46" t="n">
        <v>10</v>
      </c>
      <c r="E148" s="46" t="n">
        <v>683</v>
      </c>
      <c r="F148" s="24">
        <f>IFERROR((D148/D147)-(E148/E147),0)</f>
        <v/>
      </c>
    </row>
    <row r="149">
      <c r="C149" s="46" t="inlineStr">
        <is>
          <t>Avg SB LMICT Loan Amount</t>
        </is>
      </c>
      <c r="D149" s="51" t="n">
        <v>33100</v>
      </c>
      <c r="E149" s="51" t="n">
        <v>7852</v>
      </c>
      <c r="F149" s="24">
        <f>IFERROR((D149/E149)-1,0)</f>
        <v/>
      </c>
    </row>
    <row r="150">
      <c r="C150" s="46" t="inlineStr">
        <is>
          <t>Loans Rev Under $1m</t>
        </is>
      </c>
      <c r="D150" s="46" t="n">
        <v>782</v>
      </c>
      <c r="E150" s="25" t="n">
        <v>11741</v>
      </c>
      <c r="F150" s="24">
        <f>IFERROR((D150/D147)-(E150/E147),0)</f>
        <v/>
      </c>
    </row>
    <row r="151">
      <c r="C151" s="46" t="inlineStr">
        <is>
          <t>Avg Loan Amt for RUM SB</t>
        </is>
      </c>
      <c r="D151" s="51" t="n">
        <v>887633</v>
      </c>
      <c r="E151" s="51" t="n">
        <v>109576</v>
      </c>
      <c r="F151" s="24">
        <f>IFERROR((D151/E151)-1,0)</f>
        <v/>
      </c>
    </row>
    <row r="152">
      <c r="B152" s="42" t="inlineStr">
        <is>
          <t>Tampa-St. Petersburg-Clearwater, FL</t>
        </is>
      </c>
      <c r="C152" s="46" t="inlineStr">
        <is>
          <t>SB Loans</t>
        </is>
      </c>
      <c r="D152" s="25" t="n">
        <v>4692</v>
      </c>
      <c r="E152" s="25" t="n">
        <v>472193</v>
      </c>
    </row>
    <row r="153">
      <c r="C153" s="46" t="inlineStr">
        <is>
          <t>#LMICT</t>
        </is>
      </c>
      <c r="D153" s="46" t="n">
        <v>90</v>
      </c>
      <c r="E153" s="25" t="n">
        <v>12568</v>
      </c>
      <c r="F153" s="24">
        <f>IFERROR((D153/D152)-(E153/E152),0)</f>
        <v/>
      </c>
    </row>
    <row r="154">
      <c r="C154" s="46" t="inlineStr">
        <is>
          <t>Avg SB LMICT Loan Amount</t>
        </is>
      </c>
      <c r="D154" s="51" t="n">
        <v>11633</v>
      </c>
      <c r="E154" s="51" t="n">
        <v>8279</v>
      </c>
      <c r="F154" s="24">
        <f>IFERROR((D154/E154)-1,0)</f>
        <v/>
      </c>
    </row>
    <row r="155">
      <c r="C155" s="46" t="inlineStr">
        <is>
          <t>Loans Rev Under $1m</t>
        </is>
      </c>
      <c r="D155" s="25" t="n">
        <v>2842</v>
      </c>
      <c r="E155" s="25" t="n">
        <v>236989</v>
      </c>
      <c r="F155" s="24">
        <f>IFERROR((D155/D152)-(E155/E152),0)</f>
        <v/>
      </c>
    </row>
    <row r="156">
      <c r="C156" s="46" t="inlineStr">
        <is>
          <t>Avg Loan Amt for RUM SB</t>
        </is>
      </c>
      <c r="D156" s="51" t="n">
        <v>386667</v>
      </c>
      <c r="E156" s="51" t="n">
        <v>171111</v>
      </c>
      <c r="F156" s="24">
        <f>IFERROR((D156/E156)-1,0)</f>
        <v/>
      </c>
    </row>
    <row r="157">
      <c r="A157" s="46" t="inlineStr">
        <is>
          <t>Georgia</t>
        </is>
      </c>
      <c r="B157" s="42" t="inlineStr">
        <is>
          <t>Atlanta-Sandy Springs-Alpharetta, GA</t>
        </is>
      </c>
      <c r="C157" s="46" t="inlineStr">
        <is>
          <t>SB Loans</t>
        </is>
      </c>
      <c r="D157" s="25" t="n">
        <v>9262</v>
      </c>
      <c r="E157" s="25" t="n">
        <v>938337</v>
      </c>
    </row>
    <row r="158">
      <c r="C158" s="46" t="inlineStr">
        <is>
          <t>#LMICT</t>
        </is>
      </c>
      <c r="D158" s="46" t="n">
        <v>216</v>
      </c>
      <c r="E158" s="25" t="n">
        <v>24373</v>
      </c>
      <c r="F158" s="24">
        <f>IFERROR((D158/D157)-(E158/E157),0)</f>
        <v/>
      </c>
    </row>
    <row r="159">
      <c r="C159" s="46" t="inlineStr">
        <is>
          <t>Avg SB LMICT Loan Amount</t>
        </is>
      </c>
      <c r="D159" s="51" t="n">
        <v>8954</v>
      </c>
      <c r="E159" s="51" t="n">
        <v>8423</v>
      </c>
      <c r="F159" s="24">
        <f>IFERROR((D159/E159)-1,0)</f>
        <v/>
      </c>
    </row>
    <row r="160">
      <c r="C160" s="46" t="inlineStr">
        <is>
          <t>Loans Rev Under $1m</t>
        </is>
      </c>
      <c r="D160" s="25" t="n">
        <v>5996</v>
      </c>
      <c r="E160" s="25" t="n">
        <v>443450</v>
      </c>
      <c r="F160" s="24">
        <f>IFERROR((D160/D157)-(E160/E157),0)</f>
        <v/>
      </c>
    </row>
    <row r="161">
      <c r="C161" s="46" t="inlineStr">
        <is>
          <t>Avg Loan Amt for RUM SB</t>
        </is>
      </c>
      <c r="D161" s="51" t="n">
        <v>265119</v>
      </c>
      <c r="E161" s="51" t="n">
        <v>157924</v>
      </c>
      <c r="F161" s="24">
        <f>IFERROR((D161/E161)-1,0)</f>
        <v/>
      </c>
    </row>
    <row r="162">
      <c r="B162" s="42" t="inlineStr">
        <is>
          <t>Georgia Non-MSA</t>
        </is>
      </c>
      <c r="C162" s="46" t="inlineStr">
        <is>
          <t>SB Loans</t>
        </is>
      </c>
      <c r="D162" s="46" t="n">
        <v>245</v>
      </c>
      <c r="E162" s="25" t="n">
        <v>7645</v>
      </c>
    </row>
    <row r="163">
      <c r="C163" s="46" t="inlineStr">
        <is>
          <t>#LMICT</t>
        </is>
      </c>
      <c r="D163" s="46" t="n">
        <v>30</v>
      </c>
      <c r="E163" s="46" t="n">
        <v>922</v>
      </c>
      <c r="F163" s="24">
        <f>IFERROR((D163/D162)-(E163/E162),0)</f>
        <v/>
      </c>
    </row>
    <row r="164">
      <c r="C164" s="46" t="inlineStr">
        <is>
          <t>Avg SB LMICT Loan Amount</t>
        </is>
      </c>
      <c r="D164" s="51" t="n">
        <v>2167</v>
      </c>
      <c r="E164" s="51" t="n">
        <v>1913</v>
      </c>
      <c r="F164" s="24">
        <f>IFERROR((D164/E164)-1,0)</f>
        <v/>
      </c>
    </row>
    <row r="165">
      <c r="C165" s="46" t="inlineStr">
        <is>
          <t>Loans Rev Under $1m</t>
        </is>
      </c>
      <c r="D165" s="46" t="n">
        <v>143</v>
      </c>
      <c r="E165" s="25" t="n">
        <v>3243</v>
      </c>
      <c r="F165" s="24">
        <f>IFERROR((D165/D162)-(E165/E162),0)</f>
        <v/>
      </c>
    </row>
    <row r="166">
      <c r="C166" s="46" t="inlineStr">
        <is>
          <t>Avg Loan Amt for RUM SB</t>
        </is>
      </c>
      <c r="D166" s="51" t="n">
        <v>26711</v>
      </c>
      <c r="E166" s="51" t="n">
        <v>41423</v>
      </c>
      <c r="F166" s="24">
        <f>IFERROR((D166/E166)-1,0)</f>
        <v/>
      </c>
    </row>
    <row r="167">
      <c r="A167" s="46" t="inlineStr">
        <is>
          <t>Illinois</t>
        </is>
      </c>
      <c r="B167" s="42" t="inlineStr">
        <is>
          <t>Bloomington, IL</t>
        </is>
      </c>
      <c r="C167" s="46" t="inlineStr">
        <is>
          <t>SB Loans</t>
        </is>
      </c>
      <c r="D167" s="46" t="n">
        <v>561</v>
      </c>
      <c r="E167" s="25" t="n">
        <v>11958</v>
      </c>
    </row>
    <row r="168">
      <c r="C168" s="46" t="inlineStr">
        <is>
          <t>#LMICT</t>
        </is>
      </c>
      <c r="D168" s="46" t="n">
        <v>10</v>
      </c>
      <c r="E168" s="46" t="n">
        <v>588</v>
      </c>
      <c r="F168" s="24">
        <f>IFERROR((D168/D167)-(E168/E167),0)</f>
        <v/>
      </c>
    </row>
    <row r="169">
      <c r="C169" s="46" t="inlineStr">
        <is>
          <t>Avg SB LMICT Loan Amount</t>
        </is>
      </c>
      <c r="D169" s="51" t="n">
        <v>14900</v>
      </c>
      <c r="E169" s="51" t="n">
        <v>4304</v>
      </c>
      <c r="F169" s="24">
        <f>IFERROR((D169/E169)-1,0)</f>
        <v/>
      </c>
    </row>
    <row r="170">
      <c r="C170" s="46" t="inlineStr">
        <is>
          <t>Loans Rev Under $1m</t>
        </is>
      </c>
      <c r="D170" s="46" t="n">
        <v>352</v>
      </c>
      <c r="E170" s="25" t="n">
        <v>5545</v>
      </c>
      <c r="F170" s="24">
        <f>IFERROR((D170/D167)-(E170/E167),0)</f>
        <v/>
      </c>
    </row>
    <row r="171">
      <c r="C171" s="46" t="inlineStr">
        <is>
          <t>Avg Loan Amt for RUM SB</t>
        </is>
      </c>
      <c r="D171" s="51" t="n">
        <v>318333</v>
      </c>
      <c r="E171" s="51" t="n">
        <v>126299</v>
      </c>
      <c r="F171" s="24">
        <f>IFERROR((D171/E171)-1,0)</f>
        <v/>
      </c>
    </row>
    <row r="172">
      <c r="B172" s="42" t="inlineStr">
        <is>
          <t>Champaign-Urbana, IL</t>
        </is>
      </c>
      <c r="C172" s="46" t="inlineStr">
        <is>
          <t>SB Loans</t>
        </is>
      </c>
      <c r="D172" s="46" t="n">
        <v>445</v>
      </c>
      <c r="E172" s="25" t="n">
        <v>14019</v>
      </c>
    </row>
    <row r="173">
      <c r="C173" s="46" t="inlineStr">
        <is>
          <t>#LMICT</t>
        </is>
      </c>
      <c r="D173" s="46" t="n">
        <v>10</v>
      </c>
      <c r="E173" s="46" t="n">
        <v>608</v>
      </c>
      <c r="F173" s="24">
        <f>IFERROR((D173/D172)-(E173/E172),0)</f>
        <v/>
      </c>
    </row>
    <row r="174">
      <c r="C174" s="46" t="inlineStr">
        <is>
          <t>Avg SB LMICT Loan Amount</t>
        </is>
      </c>
      <c r="D174" s="51" t="n">
        <v>17800</v>
      </c>
      <c r="E174" s="51" t="n">
        <v>6283</v>
      </c>
      <c r="F174" s="24">
        <f>IFERROR((D174/E174)-1,0)</f>
        <v/>
      </c>
    </row>
    <row r="175">
      <c r="C175" s="46" t="inlineStr">
        <is>
          <t>Loans Rev Under $1m</t>
        </is>
      </c>
      <c r="D175" s="46" t="n">
        <v>272</v>
      </c>
      <c r="E175" s="25" t="n">
        <v>6588</v>
      </c>
      <c r="F175" s="24">
        <f>IFERROR((D175/D172)-(E175/E172),0)</f>
        <v/>
      </c>
    </row>
    <row r="176">
      <c r="C176" s="46" t="inlineStr">
        <is>
          <t>Avg Loan Amt for RUM SB</t>
        </is>
      </c>
      <c r="D176" s="51" t="n">
        <v>284667</v>
      </c>
      <c r="E176" s="51" t="n">
        <v>113348</v>
      </c>
      <c r="F176" s="24">
        <f>IFERROR((D176/E176)-1,0)</f>
        <v/>
      </c>
    </row>
    <row r="177">
      <c r="B177" s="42" t="inlineStr">
        <is>
          <t>Chicago-Naperville-Elgin, IL-IN-WI</t>
        </is>
      </c>
      <c r="C177" s="46" t="inlineStr">
        <is>
          <t>SB Loans</t>
        </is>
      </c>
      <c r="D177" s="25" t="n">
        <v>33966</v>
      </c>
      <c r="E177" s="25" t="n">
        <v>1245354</v>
      </c>
    </row>
    <row r="178">
      <c r="C178" s="46" t="inlineStr">
        <is>
          <t>#LMICT</t>
        </is>
      </c>
      <c r="D178" s="46" t="n">
        <v>190</v>
      </c>
      <c r="E178" s="25" t="n">
        <v>29497</v>
      </c>
      <c r="F178" s="24">
        <f>IFERROR((D178/D177)-(E178/E177),0)</f>
        <v/>
      </c>
    </row>
    <row r="179">
      <c r="C179" s="46" t="inlineStr">
        <is>
          <t>Avg SB LMICT Loan Amount</t>
        </is>
      </c>
      <c r="D179" s="51" t="n">
        <v>25095</v>
      </c>
      <c r="E179" s="51" t="n">
        <v>8363</v>
      </c>
      <c r="F179" s="24">
        <f>IFERROR((D179/E179)-1,0)</f>
        <v/>
      </c>
    </row>
    <row r="180">
      <c r="C180" s="46" t="inlineStr">
        <is>
          <t>Loans Rev Under $1m</t>
        </is>
      </c>
      <c r="D180" s="25" t="n">
        <v>16856</v>
      </c>
      <c r="E180" s="25" t="n">
        <v>604868</v>
      </c>
      <c r="F180" s="24">
        <f>IFERROR((D180/D177)-(E180/E177),0)</f>
        <v/>
      </c>
    </row>
    <row r="181">
      <c r="C181" s="46" t="inlineStr">
        <is>
          <t>Avg Loan Amt for RUM SB</t>
        </is>
      </c>
      <c r="D181" s="51" t="n">
        <v>1104186</v>
      </c>
      <c r="E181" s="51" t="n">
        <v>233488</v>
      </c>
      <c r="F181" s="24">
        <f>IFERROR((D181/E181)-1,0)</f>
        <v/>
      </c>
    </row>
    <row r="182">
      <c r="B182" s="42" t="inlineStr">
        <is>
          <t>Decatur, IL</t>
        </is>
      </c>
      <c r="C182" s="46" t="inlineStr">
        <is>
          <t>SB Loans</t>
        </is>
      </c>
      <c r="D182" s="46" t="n">
        <v>201</v>
      </c>
      <c r="E182" s="25" t="n">
        <v>5627</v>
      </c>
    </row>
    <row r="183">
      <c r="C183" s="46" t="inlineStr">
        <is>
          <t>#LMICT</t>
        </is>
      </c>
      <c r="D183" s="46" t="n">
        <v>10</v>
      </c>
      <c r="E183" s="46" t="n">
        <v>442</v>
      </c>
      <c r="F183" s="24">
        <f>IFERROR((D183/D182)-(E183/E182),0)</f>
        <v/>
      </c>
    </row>
    <row r="184">
      <c r="C184" s="46" t="inlineStr">
        <is>
          <t>Avg SB LMICT Loan Amount</t>
        </is>
      </c>
      <c r="D184" s="51" t="n">
        <v>10000</v>
      </c>
      <c r="E184" s="51" t="n">
        <v>4821</v>
      </c>
      <c r="F184" s="24">
        <f>IFERROR((D184/E184)-1,0)</f>
        <v/>
      </c>
    </row>
    <row r="185">
      <c r="C185" s="46" t="inlineStr">
        <is>
          <t>Loans Rev Under $1m</t>
        </is>
      </c>
      <c r="D185" s="46" t="n">
        <v>105</v>
      </c>
      <c r="E185" s="25" t="n">
        <v>2782</v>
      </c>
      <c r="F185" s="24">
        <f>IFERROR((D185/D182)-(E185/E182),0)</f>
        <v/>
      </c>
    </row>
    <row r="186">
      <c r="C186" s="46" t="inlineStr">
        <is>
          <t>Avg Loan Amt for RUM SB</t>
        </is>
      </c>
      <c r="D186" s="51" t="n">
        <v>72367</v>
      </c>
      <c r="E186" s="51" t="n">
        <v>75845</v>
      </c>
      <c r="F186" s="24">
        <f>IFERROR((D186/E186)-1,0)</f>
        <v/>
      </c>
    </row>
    <row r="187">
      <c r="B187" s="42" t="inlineStr">
        <is>
          <t>Illinois Non-MSA</t>
        </is>
      </c>
      <c r="C187" s="46" t="inlineStr">
        <is>
          <t>SB Loans</t>
        </is>
      </c>
      <c r="D187" s="46" t="n">
        <v>11</v>
      </c>
      <c r="E187" s="25" t="n">
        <v>2297</v>
      </c>
    </row>
    <row r="188">
      <c r="C188" s="46" t="inlineStr">
        <is>
          <t>#LMICT</t>
        </is>
      </c>
      <c r="D188" s="46" t="n">
        <v>8</v>
      </c>
      <c r="E188" s="46" t="n">
        <v>340</v>
      </c>
      <c r="F188" s="24">
        <f>IFERROR((D188/D187)-(E188/E187),0)</f>
        <v/>
      </c>
    </row>
    <row r="189">
      <c r="C189" s="46" t="inlineStr">
        <is>
          <t>Avg SB LMICT Loan Amount</t>
        </is>
      </c>
      <c r="D189" s="51" t="n">
        <v>125</v>
      </c>
      <c r="E189" s="51" t="n">
        <v>1962</v>
      </c>
      <c r="F189" s="24">
        <f>IFERROR((D189/E189)-1,0)</f>
        <v/>
      </c>
    </row>
    <row r="190">
      <c r="C190" s="46" t="inlineStr">
        <is>
          <t>Loans Rev Under $1m</t>
        </is>
      </c>
      <c r="D190" s="46" t="n">
        <v>5</v>
      </c>
      <c r="E190" s="25" t="n">
        <v>1216</v>
      </c>
      <c r="F190" s="24">
        <f>IFERROR((D190/D187)-(E190/E187),0)</f>
        <v/>
      </c>
    </row>
    <row r="191">
      <c r="C191" s="46" t="inlineStr">
        <is>
          <t>Avg Loan Amt for RUM SB</t>
        </is>
      </c>
      <c r="D191" s="51" t="n">
        <v>19583</v>
      </c>
      <c r="E191" s="51" t="n">
        <v>24738</v>
      </c>
      <c r="F191" s="24">
        <f>IFERROR((D191/E191)-1,0)</f>
        <v/>
      </c>
    </row>
    <row r="192">
      <c r="B192" s="42" t="inlineStr">
        <is>
          <t>Kankakee, IL</t>
        </is>
      </c>
      <c r="C192" s="46" t="inlineStr">
        <is>
          <t>SB Loans</t>
        </is>
      </c>
      <c r="D192" s="46" t="n">
        <v>214</v>
      </c>
      <c r="E192" s="25" t="n">
        <v>6179</v>
      </c>
    </row>
    <row r="193">
      <c r="C193" s="46" t="inlineStr">
        <is>
          <t>#LMICT</t>
        </is>
      </c>
      <c r="D193" s="46" t="n">
        <v>10</v>
      </c>
      <c r="E193" s="46" t="n">
        <v>546</v>
      </c>
      <c r="F193" s="24">
        <f>IFERROR((D193/D192)-(E193/E192),0)</f>
        <v/>
      </c>
    </row>
    <row r="194">
      <c r="C194" s="46" t="inlineStr">
        <is>
          <t>Avg SB LMICT Loan Amount</t>
        </is>
      </c>
      <c r="D194" s="51" t="n">
        <v>7500</v>
      </c>
      <c r="E194" s="51" t="n">
        <v>3209</v>
      </c>
      <c r="F194" s="24">
        <f>IFERROR((D194/E194)-1,0)</f>
        <v/>
      </c>
    </row>
    <row r="195">
      <c r="C195" s="46" t="inlineStr">
        <is>
          <t>Loans Rev Under $1m</t>
        </is>
      </c>
      <c r="D195" s="46" t="n">
        <v>123</v>
      </c>
      <c r="E195" s="25" t="n">
        <v>2721</v>
      </c>
      <c r="F195" s="24">
        <f>IFERROR((D195/D192)-(E195/E192),0)</f>
        <v/>
      </c>
    </row>
    <row r="196">
      <c r="C196" s="46" t="inlineStr">
        <is>
          <t>Avg Loan Amt for RUM SB</t>
        </is>
      </c>
      <c r="D196" s="51" t="n">
        <v>55433</v>
      </c>
      <c r="E196" s="51" t="n">
        <v>35664</v>
      </c>
      <c r="F196" s="24">
        <f>IFERROR((D196/E196)-1,0)</f>
        <v/>
      </c>
    </row>
    <row r="197">
      <c r="B197" s="42" t="inlineStr">
        <is>
          <t>Peoria, IL</t>
        </is>
      </c>
      <c r="C197" s="46" t="inlineStr">
        <is>
          <t>SB Loans</t>
        </is>
      </c>
      <c r="D197" s="46" t="n">
        <v>859</v>
      </c>
      <c r="E197" s="25" t="n">
        <v>22927</v>
      </c>
    </row>
    <row r="198">
      <c r="C198" s="46" t="inlineStr">
        <is>
          <t>#LMICT</t>
        </is>
      </c>
      <c r="D198" s="46" t="n">
        <v>20</v>
      </c>
      <c r="E198" s="25" t="n">
        <v>1014</v>
      </c>
      <c r="F198" s="24">
        <f>IFERROR((D198/D197)-(E198/E197),0)</f>
        <v/>
      </c>
    </row>
    <row r="199">
      <c r="C199" s="46" t="inlineStr">
        <is>
          <t>Avg SB LMICT Loan Amount</t>
        </is>
      </c>
      <c r="D199" s="51" t="n">
        <v>13900</v>
      </c>
      <c r="E199" s="51" t="n">
        <v>5210</v>
      </c>
      <c r="F199" s="24">
        <f>IFERROR((D199/E199)-1,0)</f>
        <v/>
      </c>
    </row>
    <row r="200">
      <c r="C200" s="46" t="inlineStr">
        <is>
          <t>Loans Rev Under $1m</t>
        </is>
      </c>
      <c r="D200" s="46" t="n">
        <v>510</v>
      </c>
      <c r="E200" s="25" t="n">
        <v>11102</v>
      </c>
      <c r="F200" s="24">
        <f>IFERROR((D200/D197)-(E200/E197),0)</f>
        <v/>
      </c>
    </row>
    <row r="201">
      <c r="C201" s="46" t="inlineStr">
        <is>
          <t>Avg Loan Amt for RUM SB</t>
        </is>
      </c>
      <c r="D201" s="51" t="n">
        <v>303967</v>
      </c>
      <c r="E201" s="51" t="n">
        <v>164448</v>
      </c>
      <c r="F201" s="24">
        <f>IFERROR((D201/E201)-1,0)</f>
        <v/>
      </c>
    </row>
    <row r="202">
      <c r="B202" s="42" t="inlineStr">
        <is>
          <t>Rockford, IL</t>
        </is>
      </c>
      <c r="C202" s="46" t="inlineStr">
        <is>
          <t>SB Loans</t>
        </is>
      </c>
      <c r="D202" s="46" t="n">
        <v>681</v>
      </c>
      <c r="E202" s="25" t="n">
        <v>25533</v>
      </c>
    </row>
    <row r="203">
      <c r="C203" s="46" t="inlineStr">
        <is>
          <t>#LMICT</t>
        </is>
      </c>
      <c r="D203" s="46" t="n">
        <v>20</v>
      </c>
      <c r="E203" s="25" t="n">
        <v>1126</v>
      </c>
      <c r="F203" s="24">
        <f>IFERROR((D203/D202)-(E203/E202),0)</f>
        <v/>
      </c>
    </row>
    <row r="204">
      <c r="C204" s="46" t="inlineStr">
        <is>
          <t>Avg SB LMICT Loan Amount</t>
        </is>
      </c>
      <c r="D204" s="51" t="n">
        <v>12000</v>
      </c>
      <c r="E204" s="51" t="n">
        <v>5728</v>
      </c>
      <c r="F204" s="24">
        <f>IFERROR((D204/E204)-1,0)</f>
        <v/>
      </c>
    </row>
    <row r="205">
      <c r="C205" s="46" t="inlineStr">
        <is>
          <t>Loans Rev Under $1m</t>
        </is>
      </c>
      <c r="D205" s="46" t="n">
        <v>422</v>
      </c>
      <c r="E205" s="25" t="n">
        <v>11965</v>
      </c>
      <c r="F205" s="24">
        <f>IFERROR((D205/D202)-(E205/E202),0)</f>
        <v/>
      </c>
    </row>
    <row r="206">
      <c r="C206" s="46" t="inlineStr">
        <is>
          <t>Avg Loan Amt for RUM SB</t>
        </is>
      </c>
      <c r="D206" s="51" t="n">
        <v>156950</v>
      </c>
      <c r="E206" s="51" t="n">
        <v>98750</v>
      </c>
      <c r="F206" s="24">
        <f>IFERROR((D206/E206)-1,0)</f>
        <v/>
      </c>
    </row>
    <row r="207">
      <c r="B207" s="42" t="inlineStr">
        <is>
          <t>Springfield, IL</t>
        </is>
      </c>
      <c r="C207" s="46" t="inlineStr">
        <is>
          <t>SB Loans</t>
        </is>
      </c>
      <c r="D207" s="46" t="n">
        <v>471</v>
      </c>
      <c r="E207" s="25" t="n">
        <v>13408</v>
      </c>
    </row>
    <row r="208">
      <c r="C208" s="46" t="inlineStr">
        <is>
          <t>#LMICT</t>
        </is>
      </c>
      <c r="D208" s="46" t="n">
        <v>10</v>
      </c>
      <c r="E208" s="46" t="n">
        <v>588</v>
      </c>
      <c r="F208" s="24">
        <f>IFERROR((D208/D207)-(E208/E207),0)</f>
        <v/>
      </c>
    </row>
    <row r="209">
      <c r="C209" s="46" t="inlineStr">
        <is>
          <t>Avg SB LMICT Loan Amount</t>
        </is>
      </c>
      <c r="D209" s="51" t="n">
        <v>21100</v>
      </c>
      <c r="E209" s="51" t="n">
        <v>6435</v>
      </c>
      <c r="F209" s="24">
        <f>IFERROR((D209/E209)-1,0)</f>
        <v/>
      </c>
    </row>
    <row r="210">
      <c r="C210" s="46" t="inlineStr">
        <is>
          <t>Loans Rev Under $1m</t>
        </is>
      </c>
      <c r="D210" s="46" t="n">
        <v>308</v>
      </c>
      <c r="E210" s="25" t="n">
        <v>7257</v>
      </c>
      <c r="F210" s="24">
        <f>IFERROR((D210/D207)-(E210/E207),0)</f>
        <v/>
      </c>
    </row>
    <row r="211">
      <c r="C211" s="46" t="inlineStr">
        <is>
          <t>Avg Loan Amt for RUM SB</t>
        </is>
      </c>
      <c r="D211" s="51" t="n">
        <v>269267</v>
      </c>
      <c r="E211" s="51" t="n">
        <v>140776</v>
      </c>
      <c r="F211" s="24">
        <f>IFERROR((D211/E211)-1,0)</f>
        <v/>
      </c>
    </row>
    <row r="212">
      <c r="B212" s="42" t="inlineStr">
        <is>
          <t>St. Louis, MO-IL</t>
        </is>
      </c>
      <c r="C212" s="46" t="inlineStr">
        <is>
          <t>SB Loans</t>
        </is>
      </c>
      <c r="D212" s="46" t="n">
        <v>239</v>
      </c>
      <c r="E212" s="25" t="n">
        <v>19331</v>
      </c>
    </row>
    <row r="213">
      <c r="C213" s="46" t="inlineStr">
        <is>
          <t>#LMICT</t>
        </is>
      </c>
      <c r="D213" s="46" t="n">
        <v>10</v>
      </c>
      <c r="E213" s="46" t="n">
        <v>684</v>
      </c>
      <c r="F213" s="24">
        <f>IFERROR((D213/D212)-(E213/E212),0)</f>
        <v/>
      </c>
    </row>
    <row r="214">
      <c r="C214" s="46" t="inlineStr">
        <is>
          <t>Avg SB LMICT Loan Amount</t>
        </is>
      </c>
      <c r="D214" s="51" t="n">
        <v>5400</v>
      </c>
      <c r="E214" s="51" t="n">
        <v>7379</v>
      </c>
      <c r="F214" s="24">
        <f>IFERROR((D214/E214)-1,0)</f>
        <v/>
      </c>
    </row>
    <row r="215">
      <c r="C215" s="46" t="inlineStr">
        <is>
          <t>Loans Rev Under $1m</t>
        </is>
      </c>
      <c r="D215" s="46" t="n">
        <v>136</v>
      </c>
      <c r="E215" s="25" t="n">
        <v>10074</v>
      </c>
      <c r="F215" s="24">
        <f>IFERROR((D215/D212)-(E215/E212),0)</f>
        <v/>
      </c>
    </row>
    <row r="216">
      <c r="C216" s="46" t="inlineStr">
        <is>
          <t>Avg Loan Amt for RUM SB</t>
        </is>
      </c>
      <c r="D216" s="51" t="n">
        <v>80967</v>
      </c>
      <c r="E216" s="51" t="n">
        <v>151253</v>
      </c>
      <c r="F216" s="24">
        <f>IFERROR((D216/E216)-1,0)</f>
        <v/>
      </c>
    </row>
    <row r="217">
      <c r="A217" s="46" t="inlineStr">
        <is>
          <t>Indiana</t>
        </is>
      </c>
      <c r="B217" s="42" t="inlineStr">
        <is>
          <t>Bloomington, IN</t>
        </is>
      </c>
      <c r="C217" s="46" t="inlineStr">
        <is>
          <t>SB Loans</t>
        </is>
      </c>
      <c r="D217" s="46" t="n">
        <v>30</v>
      </c>
      <c r="E217" s="25" t="n">
        <v>11041</v>
      </c>
    </row>
    <row r="218">
      <c r="C218" s="46" t="inlineStr">
        <is>
          <t>#LMICT</t>
        </is>
      </c>
      <c r="D218" s="46" t="n">
        <v>10</v>
      </c>
      <c r="E218" s="46" t="n">
        <v>513</v>
      </c>
      <c r="F218" s="24">
        <f>IFERROR((D218/D217)-(E218/E217),0)</f>
        <v/>
      </c>
    </row>
    <row r="219">
      <c r="C219" s="46" t="inlineStr">
        <is>
          <t>Avg SB LMICT Loan Amount</t>
        </is>
      </c>
      <c r="D219" s="51" t="n">
        <v>1100</v>
      </c>
      <c r="E219" s="51" t="n">
        <v>5684</v>
      </c>
      <c r="F219" s="24">
        <f>IFERROR((D219/E219)-1,0)</f>
        <v/>
      </c>
    </row>
    <row r="220">
      <c r="C220" s="46" t="inlineStr">
        <is>
          <t>Loans Rev Under $1m</t>
        </is>
      </c>
      <c r="D220" s="46" t="n">
        <v>17</v>
      </c>
      <c r="E220" s="25" t="n">
        <v>4613</v>
      </c>
      <c r="F220" s="24">
        <f>IFERROR((D220/D217)-(E220/E217),0)</f>
        <v/>
      </c>
    </row>
    <row r="221">
      <c r="C221" s="46" t="inlineStr">
        <is>
          <t>Avg Loan Amt for RUM SB</t>
        </is>
      </c>
      <c r="D221" s="51" t="n">
        <v>45267</v>
      </c>
      <c r="E221" s="51" t="n">
        <v>119197</v>
      </c>
      <c r="F221" s="24">
        <f>IFERROR((D221/E221)-1,0)</f>
        <v/>
      </c>
    </row>
    <row r="222">
      <c r="B222" s="42" t="inlineStr">
        <is>
          <t>Chicago-Naperville-Elgin, IL-IN-WI</t>
        </is>
      </c>
      <c r="C222" s="46" t="inlineStr">
        <is>
          <t>SB Loans</t>
        </is>
      </c>
      <c r="D222" s="46" t="n">
        <v>558</v>
      </c>
      <c r="E222" s="25" t="n">
        <v>46322</v>
      </c>
    </row>
    <row r="223">
      <c r="C223" s="46" t="inlineStr">
        <is>
          <t>#LMICT</t>
        </is>
      </c>
      <c r="D223" s="46" t="n">
        <v>16</v>
      </c>
      <c r="E223" s="25" t="n">
        <v>1346</v>
      </c>
      <c r="F223" s="24">
        <f>IFERROR((D223/D222)-(E223/E222),0)</f>
        <v/>
      </c>
    </row>
    <row r="224">
      <c r="C224" s="46" t="inlineStr">
        <is>
          <t>Avg SB LMICT Loan Amount</t>
        </is>
      </c>
      <c r="D224" s="51" t="n">
        <v>11625</v>
      </c>
      <c r="E224" s="51" t="n">
        <v>7287</v>
      </c>
      <c r="F224" s="24">
        <f>IFERROR((D224/E224)-1,0)</f>
        <v/>
      </c>
    </row>
    <row r="225">
      <c r="C225" s="46" t="inlineStr">
        <is>
          <t>Loans Rev Under $1m</t>
        </is>
      </c>
      <c r="D225" s="46" t="n">
        <v>305</v>
      </c>
      <c r="E225" s="25" t="n">
        <v>21387</v>
      </c>
      <c r="F225" s="24">
        <f>IFERROR((D225/D222)-(E225/E222),0)</f>
        <v/>
      </c>
    </row>
    <row r="226">
      <c r="C226" s="46" t="inlineStr">
        <is>
          <t>Avg Loan Amt for RUM SB</t>
        </is>
      </c>
      <c r="D226" s="51" t="n">
        <v>239188</v>
      </c>
      <c r="E226" s="51" t="n">
        <v>154413</v>
      </c>
      <c r="F226" s="24">
        <f>IFERROR((D226/E226)-1,0)</f>
        <v/>
      </c>
    </row>
    <row r="227">
      <c r="B227" s="42" t="inlineStr">
        <is>
          <t>Columbus, IN</t>
        </is>
      </c>
      <c r="C227" s="46" t="inlineStr">
        <is>
          <t>SB Loans</t>
        </is>
      </c>
      <c r="D227" s="46" t="n">
        <v>204</v>
      </c>
      <c r="E227" s="25" t="n">
        <v>6054</v>
      </c>
    </row>
    <row r="228">
      <c r="C228" s="46" t="inlineStr">
        <is>
          <t>#LMICT</t>
        </is>
      </c>
      <c r="D228" s="46" t="n">
        <v>10</v>
      </c>
      <c r="E228" s="46" t="n">
        <v>488</v>
      </c>
      <c r="F228" s="24">
        <f>IFERROR((D228/D227)-(E228/E227),0)</f>
        <v/>
      </c>
    </row>
    <row r="229">
      <c r="C229" s="46" t="inlineStr">
        <is>
          <t>Avg SB LMICT Loan Amount</t>
        </is>
      </c>
      <c r="D229" s="51" t="n">
        <v>7300</v>
      </c>
      <c r="E229" s="51" t="n">
        <v>3564</v>
      </c>
      <c r="F229" s="24">
        <f>IFERROR((D229/E229)-1,0)</f>
        <v/>
      </c>
    </row>
    <row r="230">
      <c r="C230" s="46" t="inlineStr">
        <is>
          <t>Loans Rev Under $1m</t>
        </is>
      </c>
      <c r="D230" s="46" t="n">
        <v>122</v>
      </c>
      <c r="E230" s="25" t="n">
        <v>2582</v>
      </c>
      <c r="F230" s="24">
        <f>IFERROR((D230/D227)-(E230/E227),0)</f>
        <v/>
      </c>
    </row>
    <row r="231">
      <c r="C231" s="46" t="inlineStr">
        <is>
          <t>Avg Loan Amt for RUM SB</t>
        </is>
      </c>
      <c r="D231" s="51" t="n">
        <v>110167</v>
      </c>
      <c r="E231" s="51" t="n">
        <v>62656</v>
      </c>
      <c r="F231" s="24">
        <f>IFERROR((D231/E231)-1,0)</f>
        <v/>
      </c>
    </row>
    <row r="232">
      <c r="B232" s="42" t="inlineStr">
        <is>
          <t>Elkhart-Goshen, IN</t>
        </is>
      </c>
      <c r="C232" s="46" t="inlineStr">
        <is>
          <t>SB Loans</t>
        </is>
      </c>
      <c r="D232" s="46" t="n">
        <v>240</v>
      </c>
      <c r="E232" s="25" t="n">
        <v>15711</v>
      </c>
    </row>
    <row r="233">
      <c r="C233" s="46" t="inlineStr">
        <is>
          <t>#LMICT</t>
        </is>
      </c>
      <c r="D233" s="46" t="n">
        <v>10</v>
      </c>
      <c r="E233" s="46" t="n">
        <v>570</v>
      </c>
      <c r="F233" s="24">
        <f>IFERROR((D233/D232)-(E233/E232),0)</f>
        <v/>
      </c>
    </row>
    <row r="234">
      <c r="C234" s="46" t="inlineStr">
        <is>
          <t>Avg SB LMICT Loan Amount</t>
        </is>
      </c>
      <c r="D234" s="51" t="n">
        <v>5800</v>
      </c>
      <c r="E234" s="51" t="n">
        <v>4305</v>
      </c>
      <c r="F234" s="24">
        <f>IFERROR((D234/E234)-1,0)</f>
        <v/>
      </c>
    </row>
    <row r="235">
      <c r="C235" s="46" t="inlineStr">
        <is>
          <t>Loans Rev Under $1m</t>
        </is>
      </c>
      <c r="D235" s="46" t="n">
        <v>126</v>
      </c>
      <c r="E235" s="25" t="n">
        <v>6378</v>
      </c>
      <c r="F235" s="24">
        <f>IFERROR((D235/D232)-(E235/E232),0)</f>
        <v/>
      </c>
    </row>
    <row r="236">
      <c r="C236" s="46" t="inlineStr">
        <is>
          <t>Avg Loan Amt for RUM SB</t>
        </is>
      </c>
      <c r="D236" s="51" t="n">
        <v>223233</v>
      </c>
      <c r="E236" s="51" t="n">
        <v>152010</v>
      </c>
      <c r="F236" s="24">
        <f>IFERROR((D236/E236)-1,0)</f>
        <v/>
      </c>
    </row>
    <row r="237">
      <c r="B237" s="42" t="inlineStr">
        <is>
          <t>Fort Wayne, IN</t>
        </is>
      </c>
      <c r="C237" s="46" t="inlineStr">
        <is>
          <t>SB Loans</t>
        </is>
      </c>
      <c r="D237" s="25" t="n">
        <v>2023</v>
      </c>
      <c r="E237" s="25" t="n">
        <v>35907</v>
      </c>
    </row>
    <row r="238">
      <c r="C238" s="46" t="inlineStr">
        <is>
          <t>#LMICT</t>
        </is>
      </c>
      <c r="D238" s="46" t="n">
        <v>30</v>
      </c>
      <c r="E238" s="25" t="n">
        <v>1534</v>
      </c>
      <c r="F238" s="24">
        <f>IFERROR((D238/D237)-(E238/E237),0)</f>
        <v/>
      </c>
    </row>
    <row r="239">
      <c r="C239" s="46" t="inlineStr">
        <is>
          <t>Avg SB LMICT Loan Amount</t>
        </is>
      </c>
      <c r="D239" s="51" t="n">
        <v>22167</v>
      </c>
      <c r="E239" s="51" t="n">
        <v>5063</v>
      </c>
      <c r="F239" s="24">
        <f>IFERROR((D239/E239)-1,0)</f>
        <v/>
      </c>
    </row>
    <row r="240">
      <c r="C240" s="46" t="inlineStr">
        <is>
          <t>Loans Rev Under $1m</t>
        </is>
      </c>
      <c r="D240" s="25" t="n">
        <v>1180</v>
      </c>
      <c r="E240" s="25" t="n">
        <v>16860</v>
      </c>
      <c r="F240" s="24">
        <f>IFERROR((D240/D237)-(E240/E237),0)</f>
        <v/>
      </c>
    </row>
    <row r="241">
      <c r="C241" s="46" t="inlineStr">
        <is>
          <t>Avg Loan Amt for RUM SB</t>
        </is>
      </c>
      <c r="D241" s="51" t="n">
        <v>407289</v>
      </c>
      <c r="E241" s="51" t="n">
        <v>129311</v>
      </c>
      <c r="F241" s="24">
        <f>IFERROR((D241/E241)-1,0)</f>
        <v/>
      </c>
    </row>
    <row r="242">
      <c r="B242" s="42" t="inlineStr">
        <is>
          <t>Indiana Non-MSA</t>
        </is>
      </c>
      <c r="C242" s="46" t="inlineStr">
        <is>
          <t>SB Loans</t>
        </is>
      </c>
      <c r="D242" s="25" t="n">
        <v>1030</v>
      </c>
      <c r="E242" s="25" t="n">
        <v>24759</v>
      </c>
    </row>
    <row r="243">
      <c r="C243" s="46" t="inlineStr">
        <is>
          <t>#LMICT</t>
        </is>
      </c>
      <c r="D243" s="46" t="n">
        <v>90</v>
      </c>
      <c r="E243" s="25" t="n">
        <v>3110</v>
      </c>
      <c r="F243" s="24">
        <f>IFERROR((D243/D242)-(E243/E242),0)</f>
        <v/>
      </c>
    </row>
    <row r="244">
      <c r="C244" s="46" t="inlineStr">
        <is>
          <t>Avg SB LMICT Loan Amount</t>
        </is>
      </c>
      <c r="D244" s="51" t="n">
        <v>2544</v>
      </c>
      <c r="E244" s="51" t="n">
        <v>1084</v>
      </c>
      <c r="F244" s="24">
        <f>IFERROR((D244/E244)-1,0)</f>
        <v/>
      </c>
    </row>
    <row r="245">
      <c r="C245" s="46" t="inlineStr">
        <is>
          <t>Loans Rev Under $1m</t>
        </is>
      </c>
      <c r="D245" s="46" t="n">
        <v>646</v>
      </c>
      <c r="E245" s="25" t="n">
        <v>11683</v>
      </c>
      <c r="F245" s="24">
        <f>IFERROR((D245/D242)-(E245/E242),0)</f>
        <v/>
      </c>
    </row>
    <row r="246">
      <c r="C246" s="46" t="inlineStr">
        <is>
          <t>Avg Loan Amt for RUM SB</t>
        </is>
      </c>
      <c r="D246" s="51" t="n">
        <v>63259</v>
      </c>
      <c r="E246" s="51" t="n">
        <v>41877</v>
      </c>
      <c r="F246" s="24">
        <f>IFERROR((D246/E246)-1,0)</f>
        <v/>
      </c>
    </row>
    <row r="247">
      <c r="B247" s="42" t="inlineStr">
        <is>
          <t>Indianapolis-Carmel-Anderson, IN</t>
        </is>
      </c>
      <c r="C247" s="46" t="inlineStr">
        <is>
          <t>SB Loans</t>
        </is>
      </c>
      <c r="D247" s="25" t="n">
        <v>10624</v>
      </c>
      <c r="E247" s="25" t="n">
        <v>193349</v>
      </c>
    </row>
    <row r="248">
      <c r="C248" s="46" t="inlineStr">
        <is>
          <t>#LMICT</t>
        </is>
      </c>
      <c r="D248" s="46" t="n">
        <v>124</v>
      </c>
      <c r="E248" s="25" t="n">
        <v>9354</v>
      </c>
      <c r="F248" s="24">
        <f>IFERROR((D248/D247)-(E248/E247),0)</f>
        <v/>
      </c>
    </row>
    <row r="249">
      <c r="C249" s="46" t="inlineStr">
        <is>
          <t>Avg SB LMICT Loan Amount</t>
        </is>
      </c>
      <c r="D249" s="51" t="n">
        <v>20024</v>
      </c>
      <c r="E249" s="51" t="n">
        <v>4181</v>
      </c>
      <c r="F249" s="24">
        <f>IFERROR((D249/E249)-1,0)</f>
        <v/>
      </c>
    </row>
    <row r="250">
      <c r="C250" s="46" t="inlineStr">
        <is>
          <t>Loans Rev Under $1m</t>
        </is>
      </c>
      <c r="D250" s="25" t="n">
        <v>6347</v>
      </c>
      <c r="E250" s="25" t="n">
        <v>91019</v>
      </c>
      <c r="F250" s="24">
        <f>IFERROR((D250/D247)-(E250/E247),0)</f>
        <v/>
      </c>
    </row>
    <row r="251">
      <c r="C251" s="46" t="inlineStr">
        <is>
          <t>Avg Loan Amt for RUM SB</t>
        </is>
      </c>
      <c r="D251" s="51" t="n">
        <v>539165</v>
      </c>
      <c r="E251" s="51" t="n">
        <v>113656</v>
      </c>
      <c r="F251" s="24">
        <f>IFERROR((D251/E251)-1,0)</f>
        <v/>
      </c>
    </row>
    <row r="252">
      <c r="B252" s="42" t="inlineStr">
        <is>
          <t>Kokomo, IN</t>
        </is>
      </c>
      <c r="C252" s="46" t="inlineStr">
        <is>
          <t>SB Loans</t>
        </is>
      </c>
      <c r="D252" s="46" t="n">
        <v>168</v>
      </c>
      <c r="E252" s="25" t="n">
        <v>4601</v>
      </c>
    </row>
    <row r="253">
      <c r="C253" s="46" t="inlineStr">
        <is>
          <t>#LMICT</t>
        </is>
      </c>
      <c r="D253" s="46" t="n">
        <v>10</v>
      </c>
      <c r="E253" s="46" t="n">
        <v>430</v>
      </c>
      <c r="F253" s="24">
        <f>IFERROR((D253/D252)-(E253/E252),0)</f>
        <v/>
      </c>
    </row>
    <row r="254">
      <c r="C254" s="46" t="inlineStr">
        <is>
          <t>Avg SB LMICT Loan Amount</t>
        </is>
      </c>
      <c r="D254" s="51" t="n">
        <v>3500</v>
      </c>
      <c r="E254" s="51" t="n">
        <v>2940</v>
      </c>
      <c r="F254" s="24">
        <f>IFERROR((D254/E254)-1,0)</f>
        <v/>
      </c>
    </row>
    <row r="255">
      <c r="C255" s="46" t="inlineStr">
        <is>
          <t>Loans Rev Under $1m</t>
        </is>
      </c>
      <c r="D255" s="46" t="n">
        <v>125</v>
      </c>
      <c r="E255" s="25" t="n">
        <v>2043</v>
      </c>
      <c r="F255" s="24">
        <f>IFERROR((D255/D252)-(E255/E252),0)</f>
        <v/>
      </c>
    </row>
    <row r="256">
      <c r="C256" s="46" t="inlineStr">
        <is>
          <t>Avg Loan Amt for RUM SB</t>
        </is>
      </c>
      <c r="D256" s="51" t="n">
        <v>80900</v>
      </c>
      <c r="E256" s="51" t="n">
        <v>48231</v>
      </c>
      <c r="F256" s="24">
        <f>IFERROR((D256/E256)-1,0)</f>
        <v/>
      </c>
    </row>
    <row r="257">
      <c r="B257" s="42" t="inlineStr">
        <is>
          <t>Lafayette-West Lafayette, IN</t>
        </is>
      </c>
      <c r="C257" s="46" t="inlineStr">
        <is>
          <t>SB Loans</t>
        </is>
      </c>
      <c r="D257" s="46" t="n">
        <v>47</v>
      </c>
      <c r="E257" s="25" t="n">
        <v>11797</v>
      </c>
    </row>
    <row r="258">
      <c r="C258" s="46" t="inlineStr">
        <is>
          <t>#LMICT</t>
        </is>
      </c>
      <c r="D258" s="46" t="n">
        <v>10</v>
      </c>
      <c r="E258" s="46" t="n">
        <v>580</v>
      </c>
      <c r="F258" s="24">
        <f>IFERROR((D258/D257)-(E258/E257),0)</f>
        <v/>
      </c>
    </row>
    <row r="259">
      <c r="C259" s="46" t="inlineStr">
        <is>
          <t>Avg SB LMICT Loan Amount</t>
        </is>
      </c>
      <c r="D259" s="51" t="n">
        <v>3200</v>
      </c>
      <c r="E259" s="51" t="n">
        <v>6559</v>
      </c>
      <c r="F259" s="24">
        <f>IFERROR((D259/E259)-1,0)</f>
        <v/>
      </c>
    </row>
    <row r="260">
      <c r="C260" s="46" t="inlineStr">
        <is>
          <t>Loans Rev Under $1m</t>
        </is>
      </c>
      <c r="D260" s="46" t="n">
        <v>24</v>
      </c>
      <c r="E260" s="25" t="n">
        <v>5723</v>
      </c>
      <c r="F260" s="24">
        <f>IFERROR((D260/D257)-(E260/E257),0)</f>
        <v/>
      </c>
    </row>
    <row r="261">
      <c r="C261" s="46" t="inlineStr">
        <is>
          <t>Avg Loan Amt for RUM SB</t>
        </is>
      </c>
      <c r="D261" s="51" t="n">
        <v>99733</v>
      </c>
      <c r="E261" s="51" t="n">
        <v>110263</v>
      </c>
      <c r="F261" s="24">
        <f>IFERROR((D261/E261)-1,0)</f>
        <v/>
      </c>
    </row>
    <row r="262">
      <c r="B262" s="42" t="inlineStr">
        <is>
          <t>Louisville/Jefferson County, KY-IN</t>
        </is>
      </c>
      <c r="C262" s="46" t="inlineStr">
        <is>
          <t>SB Loans</t>
        </is>
      </c>
      <c r="D262" s="25" t="n">
        <v>1261</v>
      </c>
      <c r="E262" s="25" t="n">
        <v>16426</v>
      </c>
    </row>
    <row r="263">
      <c r="C263" s="46" t="inlineStr">
        <is>
          <t>#LMICT</t>
        </is>
      </c>
      <c r="D263" s="46" t="n">
        <v>30</v>
      </c>
      <c r="E263" s="25" t="n">
        <v>1214</v>
      </c>
      <c r="F263" s="24">
        <f>IFERROR((D263/D262)-(E263/E262),0)</f>
        <v/>
      </c>
    </row>
    <row r="264">
      <c r="C264" s="46" t="inlineStr">
        <is>
          <t>Avg SB LMICT Loan Amount</t>
        </is>
      </c>
      <c r="D264" s="51" t="n">
        <v>15100</v>
      </c>
      <c r="E264" s="51" t="n">
        <v>3114</v>
      </c>
      <c r="F264" s="24">
        <f>IFERROR((D264/E264)-1,0)</f>
        <v/>
      </c>
    </row>
    <row r="265">
      <c r="C265" s="46" t="inlineStr">
        <is>
          <t>Loans Rev Under $1m</t>
        </is>
      </c>
      <c r="D265" s="46" t="n">
        <v>753</v>
      </c>
      <c r="E265" s="25" t="n">
        <v>7387</v>
      </c>
      <c r="F265" s="24">
        <f>IFERROR((D265/D262)-(E265/E262),0)</f>
        <v/>
      </c>
    </row>
    <row r="266">
      <c r="C266" s="46" t="inlineStr">
        <is>
          <t>Avg Loan Amt for RUM SB</t>
        </is>
      </c>
      <c r="D266" s="51" t="n">
        <v>219189</v>
      </c>
      <c r="E266" s="51" t="n">
        <v>64837</v>
      </c>
      <c r="F266" s="24">
        <f>IFERROR((D266/E266)-1,0)</f>
        <v/>
      </c>
    </row>
    <row r="267">
      <c r="B267" s="42" t="inlineStr">
        <is>
          <t>South Bend-Mishawaka, IN-MI</t>
        </is>
      </c>
      <c r="C267" s="46" t="inlineStr">
        <is>
          <t>SB Loans</t>
        </is>
      </c>
      <c r="D267" s="46" t="n">
        <v>716</v>
      </c>
      <c r="E267" s="25" t="n">
        <v>20296</v>
      </c>
    </row>
    <row r="268">
      <c r="C268" s="46" t="inlineStr">
        <is>
          <t>#LMICT</t>
        </is>
      </c>
      <c r="D268" s="46" t="n">
        <v>10</v>
      </c>
      <c r="E268" s="46" t="n">
        <v>702</v>
      </c>
      <c r="F268" s="24">
        <f>IFERROR((D268/D267)-(E268/E267),0)</f>
        <v/>
      </c>
    </row>
    <row r="269">
      <c r="C269" s="46" t="inlineStr">
        <is>
          <t>Avg SB LMICT Loan Amount</t>
        </is>
      </c>
      <c r="D269" s="51" t="n">
        <v>23400</v>
      </c>
      <c r="E269" s="51" t="n">
        <v>7537</v>
      </c>
      <c r="F269" s="24">
        <f>IFERROR((D269/E269)-1,0)</f>
        <v/>
      </c>
    </row>
    <row r="270">
      <c r="C270" s="46" t="inlineStr">
        <is>
          <t>Loans Rev Under $1m</t>
        </is>
      </c>
      <c r="D270" s="46" t="n">
        <v>404</v>
      </c>
      <c r="E270" s="25" t="n">
        <v>9285</v>
      </c>
      <c r="F270" s="24">
        <f>IFERROR((D270/D267)-(E270/E267),0)</f>
        <v/>
      </c>
    </row>
    <row r="271">
      <c r="C271" s="46" t="inlineStr">
        <is>
          <t>Avg Loan Amt for RUM SB</t>
        </is>
      </c>
      <c r="D271" s="51" t="n">
        <v>457133</v>
      </c>
      <c r="E271" s="51" t="n">
        <v>146080</v>
      </c>
      <c r="F271" s="24">
        <f>IFERROR((D271/E271)-1,0)</f>
        <v/>
      </c>
    </row>
    <row r="272">
      <c r="A272" s="46" t="inlineStr">
        <is>
          <t>Kansas</t>
        </is>
      </c>
      <c r="B272" s="42" t="inlineStr">
        <is>
          <t>Kansas City, MO-KS</t>
        </is>
      </c>
      <c r="C272" s="46" t="inlineStr">
        <is>
          <t>SB Loans</t>
        </is>
      </c>
      <c r="D272" s="46" t="n">
        <v>41</v>
      </c>
      <c r="E272" s="25" t="n">
        <v>84782</v>
      </c>
    </row>
    <row r="273">
      <c r="C273" s="46" t="inlineStr">
        <is>
          <t>#LMICT</t>
        </is>
      </c>
      <c r="D273" s="46" t="n">
        <v>34</v>
      </c>
      <c r="E273" s="25" t="n">
        <v>4244</v>
      </c>
      <c r="F273" s="24">
        <f>IFERROR((D273/D272)-(E273/E272),0)</f>
        <v/>
      </c>
    </row>
    <row r="274">
      <c r="C274" s="46" t="inlineStr">
        <is>
          <t>Avg SB LMICT Loan Amount</t>
        </is>
      </c>
      <c r="D274" s="51" t="n">
        <v>59</v>
      </c>
      <c r="E274" s="51" t="n">
        <v>1465</v>
      </c>
      <c r="F274" s="24">
        <f>IFERROR((D274/E274)-1,0)</f>
        <v/>
      </c>
    </row>
    <row r="275">
      <c r="C275" s="46" t="inlineStr">
        <is>
          <t>Loans Rev Under $1m</t>
        </is>
      </c>
      <c r="D275" s="46" t="n">
        <v>27</v>
      </c>
      <c r="E275" s="25" t="n">
        <v>40655</v>
      </c>
      <c r="F275" s="24">
        <f>IFERROR((D275/D272)-(E275/E272),0)</f>
        <v/>
      </c>
    </row>
    <row r="276">
      <c r="C276" s="46" t="inlineStr">
        <is>
          <t>Avg Loan Amt for RUM SB</t>
        </is>
      </c>
      <c r="D276" s="51" t="n">
        <v>27600</v>
      </c>
      <c r="E276" s="51" t="n">
        <v>137485</v>
      </c>
      <c r="F276" s="24">
        <f>IFERROR((D276/E276)-1,0)</f>
        <v/>
      </c>
    </row>
    <row r="277">
      <c r="A277" s="46" t="inlineStr">
        <is>
          <t>Kentucky</t>
        </is>
      </c>
      <c r="B277" s="42" t="inlineStr">
        <is>
          <t>Bowling Green, KY</t>
        </is>
      </c>
      <c r="C277" s="46" t="inlineStr">
        <is>
          <t>SB Loans</t>
        </is>
      </c>
      <c r="D277" s="46" t="n">
        <v>306</v>
      </c>
      <c r="E277" s="25" t="n">
        <v>13717</v>
      </c>
    </row>
    <row r="278">
      <c r="C278" s="46" t="inlineStr">
        <is>
          <t>#LMICT</t>
        </is>
      </c>
      <c r="D278" s="46" t="n">
        <v>10</v>
      </c>
      <c r="E278" s="46" t="n">
        <v>558</v>
      </c>
      <c r="F278" s="24">
        <f>IFERROR((D278/D277)-(E278/E277),0)</f>
        <v/>
      </c>
    </row>
    <row r="279">
      <c r="C279" s="46" t="inlineStr">
        <is>
          <t>Avg SB LMICT Loan Amount</t>
        </is>
      </c>
      <c r="D279" s="51" t="n">
        <v>11100</v>
      </c>
      <c r="E279" s="51" t="n">
        <v>5629</v>
      </c>
      <c r="F279" s="24">
        <f>IFERROR((D279/E279)-1,0)</f>
        <v/>
      </c>
    </row>
    <row r="280">
      <c r="C280" s="46" t="inlineStr">
        <is>
          <t>Loans Rev Under $1m</t>
        </is>
      </c>
      <c r="D280" s="46" t="n">
        <v>192</v>
      </c>
      <c r="E280" s="25" t="n">
        <v>7083</v>
      </c>
      <c r="F280" s="24">
        <f>IFERROR((D280/D277)-(E280/E277),0)</f>
        <v/>
      </c>
    </row>
    <row r="281">
      <c r="C281" s="46" t="inlineStr">
        <is>
          <t>Avg Loan Amt for RUM SB</t>
        </is>
      </c>
      <c r="D281" s="51" t="n">
        <v>178833</v>
      </c>
      <c r="E281" s="51" t="n">
        <v>158795</v>
      </c>
      <c r="F281" s="24">
        <f>IFERROR((D281/E281)-1,0)</f>
        <v/>
      </c>
    </row>
    <row r="282">
      <c r="B282" s="42" t="inlineStr">
        <is>
          <t>Cincinnati, OH-KY-IN</t>
        </is>
      </c>
      <c r="C282" s="46" t="inlineStr">
        <is>
          <t>SB Loans</t>
        </is>
      </c>
      <c r="D282" s="25" t="n">
        <v>1534</v>
      </c>
      <c r="E282" s="25" t="n">
        <v>31780</v>
      </c>
    </row>
    <row r="283">
      <c r="C283" s="46" t="inlineStr">
        <is>
          <t>#LMICT</t>
        </is>
      </c>
      <c r="D283" s="46" t="n">
        <v>30</v>
      </c>
      <c r="E283" s="25" t="n">
        <v>1478</v>
      </c>
      <c r="F283" s="24">
        <f>IFERROR((D283/D282)-(E283/E282),0)</f>
        <v/>
      </c>
    </row>
    <row r="284">
      <c r="C284" s="46" t="inlineStr">
        <is>
          <t>Avg SB LMICT Loan Amount</t>
        </is>
      </c>
      <c r="D284" s="51" t="n">
        <v>14933</v>
      </c>
      <c r="E284" s="51" t="n">
        <v>4830</v>
      </c>
      <c r="F284" s="24">
        <f>IFERROR((D284/E284)-1,0)</f>
        <v/>
      </c>
    </row>
    <row r="285">
      <c r="C285" s="46" t="inlineStr">
        <is>
          <t>Loans Rev Under $1m</t>
        </is>
      </c>
      <c r="D285" s="46" t="n">
        <v>905</v>
      </c>
      <c r="E285" s="25" t="n">
        <v>16854</v>
      </c>
      <c r="F285" s="24">
        <f>IFERROR((D285/D282)-(E285/E282),0)</f>
        <v/>
      </c>
    </row>
    <row r="286">
      <c r="C286" s="46" t="inlineStr">
        <is>
          <t>Avg Loan Amt for RUM SB</t>
        </is>
      </c>
      <c r="D286" s="51" t="n">
        <v>312733</v>
      </c>
      <c r="E286" s="51" t="n">
        <v>107852</v>
      </c>
      <c r="F286" s="24">
        <f>IFERROR((D286/E286)-1,0)</f>
        <v/>
      </c>
    </row>
    <row r="287">
      <c r="B287" s="42" t="inlineStr">
        <is>
          <t>Elizabethtown-Fort Knox, KY</t>
        </is>
      </c>
      <c r="C287" s="46" t="inlineStr">
        <is>
          <t>SB Loans</t>
        </is>
      </c>
      <c r="D287" s="46" t="n">
        <v>216</v>
      </c>
      <c r="E287" s="25" t="n">
        <v>6015</v>
      </c>
    </row>
    <row r="288">
      <c r="C288" s="46" t="inlineStr">
        <is>
          <t>#LMICT</t>
        </is>
      </c>
      <c r="D288" s="46" t="n">
        <v>10</v>
      </c>
      <c r="E288" s="46" t="n">
        <v>432</v>
      </c>
      <c r="F288" s="24">
        <f>IFERROR((D288/D287)-(E288/E287),0)</f>
        <v/>
      </c>
    </row>
    <row r="289">
      <c r="C289" s="46" t="inlineStr">
        <is>
          <t>Avg SB LMICT Loan Amount</t>
        </is>
      </c>
      <c r="D289" s="51" t="n">
        <v>5900</v>
      </c>
      <c r="E289" s="51" t="n">
        <v>2958</v>
      </c>
      <c r="F289" s="24">
        <f>IFERROR((D289/E289)-1,0)</f>
        <v/>
      </c>
    </row>
    <row r="290">
      <c r="C290" s="46" t="inlineStr">
        <is>
          <t>Loans Rev Under $1m</t>
        </is>
      </c>
      <c r="D290" s="46" t="n">
        <v>113</v>
      </c>
      <c r="E290" s="25" t="n">
        <v>2842</v>
      </c>
      <c r="F290" s="24">
        <f>IFERROR((D290/D287)-(E290/E287),0)</f>
        <v/>
      </c>
    </row>
    <row r="291">
      <c r="C291" s="46" t="inlineStr">
        <is>
          <t>Avg Loan Amt for RUM SB</t>
        </is>
      </c>
      <c r="D291" s="51" t="n">
        <v>165367</v>
      </c>
      <c r="E291" s="51" t="n">
        <v>53825</v>
      </c>
      <c r="F291" s="24">
        <f>IFERROR((D291/E291)-1,0)</f>
        <v/>
      </c>
    </row>
    <row r="292">
      <c r="B292" s="42" t="inlineStr">
        <is>
          <t>Huntington-Ashland, WV-KY-OH</t>
        </is>
      </c>
      <c r="C292" s="46" t="inlineStr">
        <is>
          <t>SB Loans</t>
        </is>
      </c>
      <c r="D292" s="46" t="n">
        <v>315</v>
      </c>
      <c r="E292" s="25" t="n">
        <v>4593</v>
      </c>
    </row>
    <row r="293">
      <c r="C293" s="46" t="inlineStr">
        <is>
          <t>#LMICT</t>
        </is>
      </c>
      <c r="D293" s="46" t="n">
        <v>20</v>
      </c>
      <c r="E293" s="46" t="n">
        <v>630</v>
      </c>
      <c r="F293" s="24">
        <f>IFERROR((D293/D292)-(E293/E292),0)</f>
        <v/>
      </c>
    </row>
    <row r="294">
      <c r="C294" s="46" t="inlineStr">
        <is>
          <t>Avg SB LMICT Loan Amount</t>
        </is>
      </c>
      <c r="D294" s="51" t="n">
        <v>7050</v>
      </c>
      <c r="E294" s="51" t="n">
        <v>1840</v>
      </c>
      <c r="F294" s="24">
        <f>IFERROR((D294/E294)-1,0)</f>
        <v/>
      </c>
    </row>
    <row r="295">
      <c r="C295" s="46" t="inlineStr">
        <is>
          <t>Loans Rev Under $1m</t>
        </is>
      </c>
      <c r="D295" s="46" t="n">
        <v>216</v>
      </c>
      <c r="E295" s="25" t="n">
        <v>2139</v>
      </c>
      <c r="F295" s="24">
        <f>IFERROR((D295/D292)-(E295/E292),0)</f>
        <v/>
      </c>
    </row>
    <row r="296">
      <c r="C296" s="46" t="inlineStr">
        <is>
          <t>Avg Loan Amt for RUM SB</t>
        </is>
      </c>
      <c r="D296" s="51" t="n">
        <v>100250</v>
      </c>
      <c r="E296" s="51" t="n">
        <v>37722</v>
      </c>
      <c r="F296" s="24">
        <f>IFERROR((D296/E296)-1,0)</f>
        <v/>
      </c>
    </row>
    <row r="297">
      <c r="B297" s="42" t="inlineStr">
        <is>
          <t>Kentucky Non-MSA</t>
        </is>
      </c>
      <c r="C297" s="46" t="inlineStr">
        <is>
          <t>SB Loans</t>
        </is>
      </c>
      <c r="D297" s="25" t="n">
        <v>1110</v>
      </c>
      <c r="E297" s="25" t="n">
        <v>22838</v>
      </c>
    </row>
    <row r="298">
      <c r="C298" s="46" t="inlineStr">
        <is>
          <t>#LMICT</t>
        </is>
      </c>
      <c r="D298" s="46" t="n">
        <v>70</v>
      </c>
      <c r="E298" s="25" t="n">
        <v>2334</v>
      </c>
      <c r="F298" s="24">
        <f>IFERROR((D298/D297)-(E298/E297),0)</f>
        <v/>
      </c>
    </row>
    <row r="299">
      <c r="C299" s="46" t="inlineStr">
        <is>
          <t>Avg SB LMICT Loan Amount</t>
        </is>
      </c>
      <c r="D299" s="51" t="n">
        <v>4400</v>
      </c>
      <c r="E299" s="51" t="n">
        <v>1580</v>
      </c>
      <c r="F299" s="24">
        <f>IFERROR((D299/E299)-1,0)</f>
        <v/>
      </c>
    </row>
    <row r="300">
      <c r="C300" s="46" t="inlineStr">
        <is>
          <t>Loans Rev Under $1m</t>
        </is>
      </c>
      <c r="D300" s="46" t="n">
        <v>662</v>
      </c>
      <c r="E300" s="25" t="n">
        <v>10493</v>
      </c>
      <c r="F300" s="24">
        <f>IFERROR((D300/D297)-(E300/E297),0)</f>
        <v/>
      </c>
    </row>
    <row r="301">
      <c r="C301" s="46" t="inlineStr">
        <is>
          <t>Avg Loan Amt for RUM SB</t>
        </is>
      </c>
      <c r="D301" s="51" t="n">
        <v>73667</v>
      </c>
      <c r="E301" s="51" t="n">
        <v>39449</v>
      </c>
      <c r="F301" s="24">
        <f>IFERROR((D301/E301)-1,0)</f>
        <v/>
      </c>
    </row>
    <row r="302">
      <c r="B302" s="42" t="inlineStr">
        <is>
          <t>Lexington-Fayette, KY</t>
        </is>
      </c>
      <c r="C302" s="46" t="inlineStr">
        <is>
          <t>SB Loans</t>
        </is>
      </c>
      <c r="D302" s="25" t="n">
        <v>2007</v>
      </c>
      <c r="E302" s="25" t="n">
        <v>54423</v>
      </c>
    </row>
    <row r="303">
      <c r="C303" s="46" t="inlineStr">
        <is>
          <t>#LMICT</t>
        </is>
      </c>
      <c r="D303" s="46" t="n">
        <v>50</v>
      </c>
      <c r="E303" s="25" t="n">
        <v>2318</v>
      </c>
      <c r="F303" s="24">
        <f>IFERROR((D303/D302)-(E303/E302),0)</f>
        <v/>
      </c>
    </row>
    <row r="304">
      <c r="C304" s="46" t="inlineStr">
        <is>
          <t>Avg SB LMICT Loan Amount</t>
        </is>
      </c>
      <c r="D304" s="51" t="n">
        <v>13320</v>
      </c>
      <c r="E304" s="51" t="n">
        <v>5321</v>
      </c>
      <c r="F304" s="24">
        <f>IFERROR((D304/E304)-1,0)</f>
        <v/>
      </c>
    </row>
    <row r="305">
      <c r="C305" s="46" t="inlineStr">
        <is>
          <t>Loans Rev Under $1m</t>
        </is>
      </c>
      <c r="D305" s="25" t="n">
        <v>1216</v>
      </c>
      <c r="E305" s="25" t="n">
        <v>26829</v>
      </c>
      <c r="F305" s="24">
        <f>IFERROR((D305/D302)-(E305/E302),0)</f>
        <v/>
      </c>
    </row>
    <row r="306">
      <c r="C306" s="46" t="inlineStr">
        <is>
          <t>Avg Loan Amt for RUM SB</t>
        </is>
      </c>
      <c r="D306" s="51" t="n">
        <v>261507</v>
      </c>
      <c r="E306" s="51" t="n">
        <v>132674</v>
      </c>
      <c r="F306" s="24">
        <f>IFERROR((D306/E306)-1,0)</f>
        <v/>
      </c>
    </row>
    <row r="307">
      <c r="B307" s="42" t="inlineStr">
        <is>
          <t>Louisville/Jefferson County, KY-IN</t>
        </is>
      </c>
      <c r="C307" s="46" t="inlineStr">
        <is>
          <t>SB Loans</t>
        </is>
      </c>
      <c r="D307" s="25" t="n">
        <v>8008</v>
      </c>
      <c r="E307" s="25" t="n">
        <v>89647</v>
      </c>
    </row>
    <row r="308">
      <c r="C308" s="46" t="inlineStr">
        <is>
          <t>#LMICT</t>
        </is>
      </c>
      <c r="D308" s="46" t="n">
        <v>54</v>
      </c>
      <c r="E308" s="25" t="n">
        <v>4230</v>
      </c>
      <c r="F308" s="24">
        <f>IFERROR((D308/D307)-(E308/E307),0)</f>
        <v/>
      </c>
    </row>
    <row r="309">
      <c r="C309" s="46" t="inlineStr">
        <is>
          <t>Avg SB LMICT Loan Amount</t>
        </is>
      </c>
      <c r="D309" s="51" t="n">
        <v>25333</v>
      </c>
      <c r="E309" s="51" t="n">
        <v>3684</v>
      </c>
      <c r="F309" s="24">
        <f>IFERROR((D309/E309)-1,0)</f>
        <v/>
      </c>
    </row>
    <row r="310">
      <c r="C310" s="46" t="inlineStr">
        <is>
          <t>Loans Rev Under $1m</t>
        </is>
      </c>
      <c r="D310" s="25" t="n">
        <v>4620</v>
      </c>
      <c r="E310" s="25" t="n">
        <v>41533</v>
      </c>
      <c r="F310" s="24">
        <f>IFERROR((D310/D307)-(E310/E307),0)</f>
        <v/>
      </c>
    </row>
    <row r="311">
      <c r="C311" s="46" t="inlineStr">
        <is>
          <t>Avg Loan Amt for RUM SB</t>
        </is>
      </c>
      <c r="D311" s="51" t="n">
        <v>1042267</v>
      </c>
      <c r="E311" s="51" t="n">
        <v>144211</v>
      </c>
      <c r="F311" s="24">
        <f>IFERROR((D311/E311)-1,0)</f>
        <v/>
      </c>
    </row>
    <row r="312">
      <c r="B312" s="42" t="inlineStr">
        <is>
          <t>Owensboro, KY</t>
        </is>
      </c>
      <c r="C312" s="46" t="inlineStr">
        <is>
          <t>SB Loans</t>
        </is>
      </c>
      <c r="D312" s="46" t="n">
        <v>171</v>
      </c>
      <c r="E312" s="25" t="n">
        <v>8969</v>
      </c>
    </row>
    <row r="313">
      <c r="C313" s="46" t="inlineStr">
        <is>
          <t>#LMICT</t>
        </is>
      </c>
      <c r="D313" s="46" t="n">
        <v>10</v>
      </c>
      <c r="E313" s="46" t="n">
        <v>438</v>
      </c>
      <c r="F313" s="24">
        <f>IFERROR((D313/D312)-(E313/E312),0)</f>
        <v/>
      </c>
    </row>
    <row r="314">
      <c r="C314" s="46" t="inlineStr">
        <is>
          <t>Avg SB LMICT Loan Amount</t>
        </is>
      </c>
      <c r="D314" s="51" t="n">
        <v>7600</v>
      </c>
      <c r="E314" s="51" t="n">
        <v>5384</v>
      </c>
      <c r="F314" s="24">
        <f>IFERROR((D314/E314)-1,0)</f>
        <v/>
      </c>
    </row>
    <row r="315">
      <c r="C315" s="46" t="inlineStr">
        <is>
          <t>Loans Rev Under $1m</t>
        </is>
      </c>
      <c r="D315" s="46" t="n">
        <v>74</v>
      </c>
      <c r="E315" s="25" t="n">
        <v>4699</v>
      </c>
      <c r="F315" s="24">
        <f>IFERROR((D315/D312)-(E315/E312),0)</f>
        <v/>
      </c>
    </row>
    <row r="316">
      <c r="C316" s="46" t="inlineStr">
        <is>
          <t>Avg Loan Amt for RUM SB</t>
        </is>
      </c>
      <c r="D316" s="51" t="n">
        <v>71167</v>
      </c>
      <c r="E316" s="51" t="n">
        <v>169786</v>
      </c>
      <c r="F316" s="24">
        <f>IFERROR((D316/E316)-1,0)</f>
        <v/>
      </c>
    </row>
    <row r="317">
      <c r="A317" s="46" t="inlineStr">
        <is>
          <t>Maryland</t>
        </is>
      </c>
      <c r="B317" s="42" t="inlineStr">
        <is>
          <t>Baltimore-Columbia-Towson, MD</t>
        </is>
      </c>
      <c r="C317" s="46" t="inlineStr">
        <is>
          <t>SB Loans</t>
        </is>
      </c>
      <c r="D317" s="25" t="n">
        <v>12155</v>
      </c>
      <c r="E317" s="25" t="n">
        <v>280363</v>
      </c>
    </row>
    <row r="318">
      <c r="C318" s="46" t="inlineStr">
        <is>
          <t>#LMICT</t>
        </is>
      </c>
      <c r="D318" s="46" t="n">
        <v>108</v>
      </c>
      <c r="E318" s="25" t="n">
        <v>10264</v>
      </c>
      <c r="F318" s="24">
        <f>IFERROR((D318/D317)-(E318/E317),0)</f>
        <v/>
      </c>
    </row>
    <row r="319">
      <c r="C319" s="46" t="inlineStr">
        <is>
          <t>Avg SB LMICT Loan Amount</t>
        </is>
      </c>
      <c r="D319" s="51" t="n">
        <v>9787</v>
      </c>
      <c r="E319" s="51" t="n">
        <v>2963</v>
      </c>
      <c r="F319" s="24">
        <f>IFERROR((D319/E319)-1,0)</f>
        <v/>
      </c>
    </row>
    <row r="320">
      <c r="C320" s="46" t="inlineStr">
        <is>
          <t>Loans Rev Under $1m</t>
        </is>
      </c>
      <c r="D320" s="25" t="n">
        <v>6916</v>
      </c>
      <c r="E320" s="25" t="n">
        <v>141515</v>
      </c>
      <c r="F320" s="24">
        <f>IFERROR((D320/D317)-(E320/E317),0)</f>
        <v/>
      </c>
    </row>
    <row r="321">
      <c r="C321" s="46" t="inlineStr">
        <is>
          <t>Avg Loan Amt for RUM SB</t>
        </is>
      </c>
      <c r="D321" s="51" t="n">
        <v>1009611</v>
      </c>
      <c r="E321" s="51" t="n">
        <v>134872</v>
      </c>
      <c r="F321" s="24">
        <f>IFERROR((D321/E321)-1,0)</f>
        <v/>
      </c>
    </row>
    <row r="322">
      <c r="B322" s="42" t="inlineStr">
        <is>
          <t>California-Lexington Park, MD</t>
        </is>
      </c>
      <c r="C322" s="46" t="inlineStr">
        <is>
          <t>SB Loans</t>
        </is>
      </c>
      <c r="D322" s="46" t="n">
        <v>731</v>
      </c>
      <c r="E322" s="25" t="n">
        <v>8410</v>
      </c>
    </row>
    <row r="323">
      <c r="C323" s="46" t="inlineStr">
        <is>
          <t>#LMICT</t>
        </is>
      </c>
      <c r="D323" s="46" t="n">
        <v>10</v>
      </c>
      <c r="E323" s="46" t="n">
        <v>448</v>
      </c>
      <c r="F323" s="24">
        <f>IFERROR((D323/D322)-(E323/E322),0)</f>
        <v/>
      </c>
    </row>
    <row r="324">
      <c r="C324" s="46" t="inlineStr">
        <is>
          <t>Avg SB LMICT Loan Amount</t>
        </is>
      </c>
      <c r="D324" s="51" t="n">
        <v>11600</v>
      </c>
      <c r="E324" s="51" t="n">
        <v>1873</v>
      </c>
      <c r="F324" s="24">
        <f>IFERROR((D324/E324)-1,0)</f>
        <v/>
      </c>
    </row>
    <row r="325">
      <c r="C325" s="46" t="inlineStr">
        <is>
          <t>Loans Rev Under $1m</t>
        </is>
      </c>
      <c r="D325" s="46" t="n">
        <v>429</v>
      </c>
      <c r="E325" s="25" t="n">
        <v>4145</v>
      </c>
      <c r="F325" s="24">
        <f>IFERROR((D325/D322)-(E325/E322),0)</f>
        <v/>
      </c>
    </row>
    <row r="326">
      <c r="C326" s="46" t="inlineStr">
        <is>
          <t>Avg Loan Amt for RUM SB</t>
        </is>
      </c>
      <c r="D326" s="51" t="n">
        <v>442367</v>
      </c>
      <c r="E326" s="51" t="n">
        <v>91917</v>
      </c>
      <c r="F326" s="24">
        <f>IFERROR((D326/E326)-1,0)</f>
        <v/>
      </c>
    </row>
    <row r="327">
      <c r="B327" s="42" t="inlineStr">
        <is>
          <t>Cumberland, MD-WV</t>
        </is>
      </c>
      <c r="C327" s="46" t="inlineStr">
        <is>
          <t>SB Loans</t>
        </is>
      </c>
      <c r="D327" s="46" t="n">
        <v>25</v>
      </c>
      <c r="E327" s="25" t="n">
        <v>4754</v>
      </c>
    </row>
    <row r="328">
      <c r="C328" s="46" t="inlineStr">
        <is>
          <t>#LMICT</t>
        </is>
      </c>
      <c r="D328" s="46" t="n">
        <v>10</v>
      </c>
      <c r="E328" s="46" t="n">
        <v>384</v>
      </c>
      <c r="F328" s="24">
        <f>IFERROR((D328/D327)-(E328/E327),0)</f>
        <v/>
      </c>
    </row>
    <row r="329">
      <c r="C329" s="46" t="inlineStr">
        <is>
          <t>Avg SB LMICT Loan Amount</t>
        </is>
      </c>
      <c r="D329" s="51" t="n">
        <v>300</v>
      </c>
      <c r="E329" s="51" t="n">
        <v>1479</v>
      </c>
      <c r="F329" s="24">
        <f>IFERROR((D329/E329)-1,0)</f>
        <v/>
      </c>
    </row>
    <row r="330">
      <c r="C330" s="46" t="inlineStr">
        <is>
          <t>Loans Rev Under $1m</t>
        </is>
      </c>
      <c r="D330" s="46" t="n">
        <v>18</v>
      </c>
      <c r="E330" s="25" t="n">
        <v>2244</v>
      </c>
      <c r="F330" s="24">
        <f>IFERROR((D330/D327)-(E330/E327),0)</f>
        <v/>
      </c>
    </row>
    <row r="331">
      <c r="C331" s="46" t="inlineStr">
        <is>
          <t>Avg Loan Amt for RUM SB</t>
        </is>
      </c>
      <c r="D331" s="51" t="n">
        <v>20667</v>
      </c>
      <c r="E331" s="51" t="n">
        <v>59370</v>
      </c>
      <c r="F331" s="24">
        <f>IFERROR((D331/E331)-1,0)</f>
        <v/>
      </c>
    </row>
    <row r="332">
      <c r="B332" s="42" t="inlineStr">
        <is>
          <t>Hagerstown-Martinsburg, MD-WV</t>
        </is>
      </c>
      <c r="C332" s="46" t="inlineStr">
        <is>
          <t>SB Loans</t>
        </is>
      </c>
      <c r="D332" s="46" t="n">
        <v>459</v>
      </c>
      <c r="E332" s="25" t="n">
        <v>14193</v>
      </c>
    </row>
    <row r="333">
      <c r="C333" s="46" t="inlineStr">
        <is>
          <t>#LMICT</t>
        </is>
      </c>
      <c r="D333" s="46" t="n">
        <v>10</v>
      </c>
      <c r="E333" s="46" t="n">
        <v>582</v>
      </c>
      <c r="F333" s="24">
        <f>IFERROR((D333/D332)-(E333/E332),0)</f>
        <v/>
      </c>
    </row>
    <row r="334">
      <c r="C334" s="46" t="inlineStr">
        <is>
          <t>Avg SB LMICT Loan Amount</t>
        </is>
      </c>
      <c r="D334" s="51" t="n">
        <v>11900</v>
      </c>
      <c r="E334" s="51" t="n">
        <v>5308</v>
      </c>
      <c r="F334" s="24">
        <f>IFERROR((D334/E334)-1,0)</f>
        <v/>
      </c>
    </row>
    <row r="335">
      <c r="C335" s="46" t="inlineStr">
        <is>
          <t>Loans Rev Under $1m</t>
        </is>
      </c>
      <c r="D335" s="46" t="n">
        <v>299</v>
      </c>
      <c r="E335" s="25" t="n">
        <v>6589</v>
      </c>
      <c r="F335" s="24">
        <f>IFERROR((D335/D332)-(E335/E332),0)</f>
        <v/>
      </c>
    </row>
    <row r="336">
      <c r="C336" s="46" t="inlineStr">
        <is>
          <t>Avg Loan Amt for RUM SB</t>
        </is>
      </c>
      <c r="D336" s="51" t="n">
        <v>228233</v>
      </c>
      <c r="E336" s="51" t="n">
        <v>98173</v>
      </c>
      <c r="F336" s="24">
        <f>IFERROR((D336/E336)-1,0)</f>
        <v/>
      </c>
    </row>
    <row r="337">
      <c r="B337" s="42" t="inlineStr">
        <is>
          <t>Maryland Non-MSA</t>
        </is>
      </c>
      <c r="C337" s="46" t="inlineStr">
        <is>
          <t>SB Loans</t>
        </is>
      </c>
      <c r="D337" s="46" t="n">
        <v>775</v>
      </c>
      <c r="E337" s="25" t="n">
        <v>10098</v>
      </c>
    </row>
    <row r="338">
      <c r="C338" s="46" t="inlineStr">
        <is>
          <t>#LMICT</t>
        </is>
      </c>
      <c r="D338" s="46" t="n">
        <v>30</v>
      </c>
      <c r="E338" s="25" t="n">
        <v>1002</v>
      </c>
      <c r="F338" s="24">
        <f>IFERROR((D338/D337)-(E338/E337),0)</f>
        <v/>
      </c>
    </row>
    <row r="339">
      <c r="C339" s="46" t="inlineStr">
        <is>
          <t>Avg SB LMICT Loan Amount</t>
        </is>
      </c>
      <c r="D339" s="51" t="n">
        <v>5633</v>
      </c>
      <c r="E339" s="51" t="n">
        <v>1619</v>
      </c>
      <c r="F339" s="24">
        <f>IFERROR((D339/E339)-1,0)</f>
        <v/>
      </c>
    </row>
    <row r="340">
      <c r="C340" s="46" t="inlineStr">
        <is>
          <t>Loans Rev Under $1m</t>
        </is>
      </c>
      <c r="D340" s="46" t="n">
        <v>452</v>
      </c>
      <c r="E340" s="25" t="n">
        <v>4820</v>
      </c>
      <c r="F340" s="24">
        <f>IFERROR((D340/D337)-(E340/E337),0)</f>
        <v/>
      </c>
    </row>
    <row r="341">
      <c r="C341" s="46" t="inlineStr">
        <is>
          <t>Avg Loan Amt for RUM SB</t>
        </is>
      </c>
      <c r="D341" s="51" t="n">
        <v>181356</v>
      </c>
      <c r="E341" s="51" t="n">
        <v>51885</v>
      </c>
      <c r="F341" s="24">
        <f>IFERROR((D341/E341)-1,0)</f>
        <v/>
      </c>
    </row>
    <row r="342">
      <c r="B342" s="42" t="inlineStr">
        <is>
          <t>Philadelphia-Camden-Wilmington, PA-NJ-DE-MD</t>
        </is>
      </c>
      <c r="C342" s="46" t="inlineStr">
        <is>
          <t>SB Loans</t>
        </is>
      </c>
      <c r="D342" s="46" t="n">
        <v>842</v>
      </c>
      <c r="E342" s="25" t="n">
        <v>6896</v>
      </c>
    </row>
    <row r="343">
      <c r="C343" s="46" t="inlineStr">
        <is>
          <t>#LMICT</t>
        </is>
      </c>
      <c r="D343" s="46" t="n">
        <v>10</v>
      </c>
      <c r="E343" s="46" t="n">
        <v>504</v>
      </c>
      <c r="F343" s="24">
        <f>IFERROR((D343/D342)-(E343/E342),0)</f>
        <v/>
      </c>
    </row>
    <row r="344">
      <c r="C344" s="46" t="inlineStr">
        <is>
          <t>Avg SB LMICT Loan Amount</t>
        </is>
      </c>
      <c r="D344" s="51" t="n">
        <v>14600</v>
      </c>
      <c r="E344" s="51" t="n">
        <v>2415</v>
      </c>
      <c r="F344" s="24">
        <f>IFERROR((D344/E344)-1,0)</f>
        <v/>
      </c>
    </row>
    <row r="345">
      <c r="C345" s="46" t="inlineStr">
        <is>
          <t>Loans Rev Under $1m</t>
        </is>
      </c>
      <c r="D345" s="46" t="n">
        <v>496</v>
      </c>
      <c r="E345" s="25" t="n">
        <v>3419</v>
      </c>
      <c r="F345" s="24">
        <f>IFERROR((D345/D342)-(E345/E342),0)</f>
        <v/>
      </c>
    </row>
    <row r="346">
      <c r="C346" s="46" t="inlineStr">
        <is>
          <t>Avg Loan Amt for RUM SB</t>
        </is>
      </c>
      <c r="D346" s="51" t="n">
        <v>420333</v>
      </c>
      <c r="E346" s="51" t="n">
        <v>49841</v>
      </c>
      <c r="F346" s="24">
        <f>IFERROR((D346/E346)-1,0)</f>
        <v/>
      </c>
    </row>
    <row r="347">
      <c r="B347" s="42" t="inlineStr">
        <is>
          <t>Salisbury, MD-DE</t>
        </is>
      </c>
      <c r="C347" s="46" t="inlineStr">
        <is>
          <t>SB Loans</t>
        </is>
      </c>
      <c r="D347" s="25" t="n">
        <v>1377</v>
      </c>
      <c r="E347" s="25" t="n">
        <v>19717</v>
      </c>
    </row>
    <row r="348">
      <c r="C348" s="46" t="inlineStr">
        <is>
          <t>#LMICT</t>
        </is>
      </c>
      <c r="D348" s="46" t="n">
        <v>30</v>
      </c>
      <c r="E348" s="25" t="n">
        <v>1218</v>
      </c>
      <c r="F348" s="24">
        <f>IFERROR((D348/D347)-(E348/E347),0)</f>
        <v/>
      </c>
    </row>
    <row r="349">
      <c r="C349" s="46" t="inlineStr">
        <is>
          <t>Avg SB LMICT Loan Amount</t>
        </is>
      </c>
      <c r="D349" s="51" t="n">
        <v>12467</v>
      </c>
      <c r="E349" s="51" t="n">
        <v>2590</v>
      </c>
      <c r="F349" s="24">
        <f>IFERROR((D349/E349)-1,0)</f>
        <v/>
      </c>
    </row>
    <row r="350">
      <c r="C350" s="46" t="inlineStr">
        <is>
          <t>Loans Rev Under $1m</t>
        </is>
      </c>
      <c r="D350" s="46" t="n">
        <v>834</v>
      </c>
      <c r="E350" s="25" t="n">
        <v>9180</v>
      </c>
      <c r="F350" s="24">
        <f>IFERROR((D350/D347)-(E350/E347),0)</f>
        <v/>
      </c>
    </row>
    <row r="351">
      <c r="C351" s="46" t="inlineStr">
        <is>
          <t>Avg Loan Amt for RUM SB</t>
        </is>
      </c>
      <c r="D351" s="51" t="n">
        <v>420722</v>
      </c>
      <c r="E351" s="51" t="n">
        <v>76733</v>
      </c>
      <c r="F351" s="24">
        <f>IFERROR((D351/E351)-1,0)</f>
        <v/>
      </c>
    </row>
    <row r="352">
      <c r="B352" s="42" t="inlineStr">
        <is>
          <t>Washington-Arlington-Alexandria, DC-VA-MD-WV</t>
        </is>
      </c>
      <c r="C352" s="46" t="inlineStr">
        <is>
          <t>SB Loans</t>
        </is>
      </c>
      <c r="D352" s="25" t="n">
        <v>10773</v>
      </c>
      <c r="E352" s="25" t="n">
        <v>317402</v>
      </c>
    </row>
    <row r="353">
      <c r="C353" s="46" t="inlineStr">
        <is>
          <t>#LMICT</t>
        </is>
      </c>
      <c r="D353" s="46" t="n">
        <v>98</v>
      </c>
      <c r="E353" s="25" t="n">
        <v>10054</v>
      </c>
      <c r="F353" s="24">
        <f>IFERROR((D353/D352)-(E353/E352),0)</f>
        <v/>
      </c>
    </row>
    <row r="354">
      <c r="C354" s="46" t="inlineStr">
        <is>
          <t>Avg SB LMICT Loan Amount</t>
        </is>
      </c>
      <c r="D354" s="51" t="n">
        <v>32143</v>
      </c>
      <c r="E354" s="51" t="n">
        <v>8557</v>
      </c>
      <c r="F354" s="24">
        <f>IFERROR((D354/E354)-1,0)</f>
        <v/>
      </c>
    </row>
    <row r="355">
      <c r="C355" s="46" t="inlineStr">
        <is>
          <t>Loans Rev Under $1m</t>
        </is>
      </c>
      <c r="D355" s="25" t="n">
        <v>6534</v>
      </c>
      <c r="E355" s="25" t="n">
        <v>162822</v>
      </c>
      <c r="F355" s="24">
        <f>IFERROR((D355/D352)-(E355/E352),0)</f>
        <v/>
      </c>
    </row>
    <row r="356">
      <c r="C356" s="46" t="inlineStr">
        <is>
          <t>Avg Loan Amt for RUM SB</t>
        </is>
      </c>
      <c r="D356" s="51" t="n">
        <v>977083</v>
      </c>
      <c r="E356" s="51" t="n">
        <v>138101</v>
      </c>
      <c r="F356" s="24">
        <f>IFERROR((D356/E356)-1,0)</f>
        <v/>
      </c>
    </row>
    <row r="357">
      <c r="A357" s="46" t="inlineStr">
        <is>
          <t>Massachusetts</t>
        </is>
      </c>
      <c r="B357" s="42" t="inlineStr">
        <is>
          <t>Boston-Cambridge-Newton, MA-NH</t>
        </is>
      </c>
      <c r="C357" s="46" t="inlineStr">
        <is>
          <t>SB Loans</t>
        </is>
      </c>
      <c r="D357" s="46" t="n">
        <v>214</v>
      </c>
      <c r="E357" s="25" t="n">
        <v>581105</v>
      </c>
    </row>
    <row r="358">
      <c r="C358" s="46" t="inlineStr">
        <is>
          <t>#LMICT</t>
        </is>
      </c>
      <c r="D358" s="46" t="n">
        <v>136</v>
      </c>
      <c r="E358" s="25" t="n">
        <v>19742</v>
      </c>
      <c r="F358" s="24">
        <f>IFERROR((D358/D357)-(E358/E357),0)</f>
        <v/>
      </c>
    </row>
    <row r="359">
      <c r="C359" s="46" t="inlineStr">
        <is>
          <t>Avg SB LMICT Loan Amount</t>
        </is>
      </c>
      <c r="D359" s="51" t="n">
        <v>257</v>
      </c>
      <c r="E359" s="51" t="n">
        <v>6010</v>
      </c>
      <c r="F359" s="24">
        <f>IFERROR((D359/E359)-1,0)</f>
        <v/>
      </c>
    </row>
    <row r="360">
      <c r="C360" s="46" t="inlineStr">
        <is>
          <t>Loans Rev Under $1m</t>
        </is>
      </c>
      <c r="D360" s="46" t="n">
        <v>102</v>
      </c>
      <c r="E360" s="25" t="n">
        <v>256439</v>
      </c>
      <c r="F360" s="24">
        <f>IFERROR((D360/D357)-(E360/E357),0)</f>
        <v/>
      </c>
    </row>
    <row r="361">
      <c r="C361" s="46" t="inlineStr">
        <is>
          <t>Avg Loan Amt for RUM SB</t>
        </is>
      </c>
      <c r="D361" s="51" t="n">
        <v>24313</v>
      </c>
      <c r="E361" s="51" t="n">
        <v>158286</v>
      </c>
      <c r="F361" s="24">
        <f>IFERROR((D361/E361)-1,0)</f>
        <v/>
      </c>
    </row>
    <row r="362">
      <c r="A362" s="46" t="inlineStr">
        <is>
          <t>Michigan</t>
        </is>
      </c>
      <c r="B362" s="42" t="inlineStr">
        <is>
          <t>Ann Arbor, MI</t>
        </is>
      </c>
      <c r="C362" s="46" t="inlineStr">
        <is>
          <t>SB Loans</t>
        </is>
      </c>
      <c r="D362" s="25" t="n">
        <v>1534</v>
      </c>
      <c r="E362" s="25" t="n">
        <v>38020</v>
      </c>
    </row>
    <row r="363">
      <c r="C363" s="46" t="inlineStr">
        <is>
          <t>#LMICT</t>
        </is>
      </c>
      <c r="D363" s="46" t="n">
        <v>10</v>
      </c>
      <c r="E363" s="46" t="n">
        <v>764</v>
      </c>
      <c r="F363" s="24">
        <f>IFERROR((D363/D362)-(E363/E362),0)</f>
        <v/>
      </c>
    </row>
    <row r="364">
      <c r="C364" s="46" t="inlineStr">
        <is>
          <t>Avg SB LMICT Loan Amount</t>
        </is>
      </c>
      <c r="D364" s="51" t="n">
        <v>24300</v>
      </c>
      <c r="E364" s="51" t="n">
        <v>8047</v>
      </c>
      <c r="F364" s="24">
        <f>IFERROR((D364/E364)-1,0)</f>
        <v/>
      </c>
    </row>
    <row r="365">
      <c r="C365" s="46" t="inlineStr">
        <is>
          <t>Loans Rev Under $1m</t>
        </is>
      </c>
      <c r="D365" s="46" t="n">
        <v>953</v>
      </c>
      <c r="E365" s="25" t="n">
        <v>17889</v>
      </c>
      <c r="F365" s="24">
        <f>IFERROR((D365/D362)-(E365/E362),0)</f>
        <v/>
      </c>
    </row>
    <row r="366">
      <c r="C366" s="46" t="inlineStr">
        <is>
          <t>Avg Loan Amt for RUM SB</t>
        </is>
      </c>
      <c r="D366" s="51" t="n">
        <v>1068033</v>
      </c>
      <c r="E366" s="51" t="n">
        <v>197626</v>
      </c>
      <c r="F366" s="24">
        <f>IFERROR((D366/E366)-1,0)</f>
        <v/>
      </c>
    </row>
    <row r="367">
      <c r="B367" s="42" t="inlineStr">
        <is>
          <t>Battle Creek, MI</t>
        </is>
      </c>
      <c r="C367" s="46" t="inlineStr">
        <is>
          <t>SB Loans</t>
        </is>
      </c>
      <c r="D367" s="46" t="n">
        <v>285</v>
      </c>
      <c r="E367" s="25" t="n">
        <v>6209</v>
      </c>
    </row>
    <row r="368">
      <c r="C368" s="46" t="inlineStr">
        <is>
          <t>#LMICT</t>
        </is>
      </c>
      <c r="D368" s="46" t="n">
        <v>10</v>
      </c>
      <c r="E368" s="46" t="n">
        <v>482</v>
      </c>
      <c r="F368" s="24">
        <f>IFERROR((D368/D367)-(E368/E367),0)</f>
        <v/>
      </c>
    </row>
    <row r="369">
      <c r="C369" s="46" t="inlineStr">
        <is>
          <t>Avg SB LMICT Loan Amount</t>
        </is>
      </c>
      <c r="D369" s="51" t="n">
        <v>12800</v>
      </c>
      <c r="E369" s="51" t="n">
        <v>4170</v>
      </c>
      <c r="F369" s="24">
        <f>IFERROR((D369/E369)-1,0)</f>
        <v/>
      </c>
    </row>
    <row r="370">
      <c r="C370" s="46" t="inlineStr">
        <is>
          <t>Loans Rev Under $1m</t>
        </is>
      </c>
      <c r="D370" s="46" t="n">
        <v>141</v>
      </c>
      <c r="E370" s="25" t="n">
        <v>2724</v>
      </c>
      <c r="F370" s="24">
        <f>IFERROR((D370/D367)-(E370/E367),0)</f>
        <v/>
      </c>
    </row>
    <row r="371">
      <c r="C371" s="46" t="inlineStr">
        <is>
          <t>Avg Loan Amt for RUM SB</t>
        </is>
      </c>
      <c r="D371" s="51" t="n">
        <v>243067</v>
      </c>
      <c r="E371" s="51" t="n">
        <v>56265</v>
      </c>
      <c r="F371" s="24">
        <f>IFERROR((D371/E371)-1,0)</f>
        <v/>
      </c>
    </row>
    <row r="372">
      <c r="B372" s="42" t="inlineStr">
        <is>
          <t>Bay City, MI</t>
        </is>
      </c>
      <c r="C372" s="46" t="inlineStr">
        <is>
          <t>SB Loans</t>
        </is>
      </c>
      <c r="D372" s="46" t="n">
        <v>505</v>
      </c>
      <c r="E372" s="25" t="n">
        <v>5144</v>
      </c>
    </row>
    <row r="373">
      <c r="C373" s="46" t="inlineStr">
        <is>
          <t>#LMICT</t>
        </is>
      </c>
      <c r="D373" s="46" t="n">
        <v>10</v>
      </c>
      <c r="E373" s="46" t="n">
        <v>364</v>
      </c>
      <c r="F373" s="24">
        <f>IFERROR((D373/D372)-(E373/E372),0)</f>
        <v/>
      </c>
    </row>
    <row r="374">
      <c r="C374" s="46" t="inlineStr">
        <is>
          <t>Avg SB LMICT Loan Amount</t>
        </is>
      </c>
      <c r="D374" s="51" t="n">
        <v>18300</v>
      </c>
      <c r="E374" s="51" t="n">
        <v>3753</v>
      </c>
      <c r="F374" s="24">
        <f>IFERROR((D374/E374)-1,0)</f>
        <v/>
      </c>
    </row>
    <row r="375">
      <c r="C375" s="46" t="inlineStr">
        <is>
          <t>Loans Rev Under $1m</t>
        </is>
      </c>
      <c r="D375" s="46" t="n">
        <v>266</v>
      </c>
      <c r="E375" s="25" t="n">
        <v>2411</v>
      </c>
      <c r="F375" s="24">
        <f>IFERROR((D375/D372)-(E375/E372),0)</f>
        <v/>
      </c>
    </row>
    <row r="376">
      <c r="C376" s="46" t="inlineStr">
        <is>
          <t>Avg Loan Amt for RUM SB</t>
        </is>
      </c>
      <c r="D376" s="51" t="n">
        <v>227133</v>
      </c>
      <c r="E376" s="51" t="n">
        <v>62588</v>
      </c>
      <c r="F376" s="24">
        <f>IFERROR((D376/E376)-1,0)</f>
        <v/>
      </c>
    </row>
    <row r="377">
      <c r="B377" s="42" t="inlineStr">
        <is>
          <t>Detroit-Warren-Dearborn, MI</t>
        </is>
      </c>
      <c r="C377" s="46" t="inlineStr">
        <is>
          <t>SB Loans</t>
        </is>
      </c>
      <c r="D377" s="25" t="n">
        <v>17295</v>
      </c>
      <c r="E377" s="25" t="n">
        <v>469482</v>
      </c>
    </row>
    <row r="378">
      <c r="C378" s="46" t="inlineStr">
        <is>
          <t>#LMICT</t>
        </is>
      </c>
      <c r="D378" s="46" t="n">
        <v>122</v>
      </c>
      <c r="E378" s="25" t="n">
        <v>13430</v>
      </c>
      <c r="F378" s="24">
        <f>IFERROR((D378/D377)-(E378/E377),0)</f>
        <v/>
      </c>
    </row>
    <row r="379">
      <c r="C379" s="46" t="inlineStr">
        <is>
          <t>Avg SB LMICT Loan Amount</t>
        </is>
      </c>
      <c r="D379" s="51" t="n">
        <v>31213</v>
      </c>
      <c r="E379" s="51" t="n">
        <v>8200</v>
      </c>
      <c r="F379" s="24">
        <f>IFERROR((D379/E379)-1,0)</f>
        <v/>
      </c>
    </row>
    <row r="380">
      <c r="C380" s="46" t="inlineStr">
        <is>
          <t>Loans Rev Under $1m</t>
        </is>
      </c>
      <c r="D380" s="25" t="n">
        <v>9591</v>
      </c>
      <c r="E380" s="25" t="n">
        <v>228461</v>
      </c>
      <c r="F380" s="24">
        <f>IFERROR((D380/D377)-(E380/E377),0)</f>
        <v/>
      </c>
    </row>
    <row r="381">
      <c r="C381" s="46" t="inlineStr">
        <is>
          <t>Avg Loan Amt for RUM SB</t>
        </is>
      </c>
      <c r="D381" s="51" t="n">
        <v>1357898</v>
      </c>
      <c r="E381" s="51" t="n">
        <v>182550</v>
      </c>
      <c r="F381" s="24">
        <f>IFERROR((D381/E381)-1,0)</f>
        <v/>
      </c>
    </row>
    <row r="382">
      <c r="B382" s="42" t="inlineStr">
        <is>
          <t>Flint, MI</t>
        </is>
      </c>
      <c r="C382" s="46" t="inlineStr">
        <is>
          <t>SB Loans</t>
        </is>
      </c>
      <c r="D382" s="46" t="n">
        <v>743</v>
      </c>
      <c r="E382" s="25" t="n">
        <v>24634</v>
      </c>
    </row>
    <row r="383">
      <c r="C383" s="46" t="inlineStr">
        <is>
          <t>#LMICT</t>
        </is>
      </c>
      <c r="D383" s="46" t="n">
        <v>10</v>
      </c>
      <c r="E383" s="46" t="n">
        <v>664</v>
      </c>
      <c r="F383" s="24">
        <f>IFERROR((D383/D382)-(E383/E382),0)</f>
        <v/>
      </c>
    </row>
    <row r="384">
      <c r="C384" s="46" t="inlineStr">
        <is>
          <t>Avg SB LMICT Loan Amount</t>
        </is>
      </c>
      <c r="D384" s="51" t="n">
        <v>23900</v>
      </c>
      <c r="E384" s="51" t="n">
        <v>7148</v>
      </c>
      <c r="F384" s="24">
        <f>IFERROR((D384/E384)-1,0)</f>
        <v/>
      </c>
    </row>
    <row r="385">
      <c r="C385" s="46" t="inlineStr">
        <is>
          <t>Loans Rev Under $1m</t>
        </is>
      </c>
      <c r="D385" s="46" t="n">
        <v>336</v>
      </c>
      <c r="E385" s="25" t="n">
        <v>11656</v>
      </c>
      <c r="F385" s="24">
        <f>IFERROR((D385/D382)-(E385/E382),0)</f>
        <v/>
      </c>
    </row>
    <row r="386">
      <c r="C386" s="46" t="inlineStr">
        <is>
          <t>Avg Loan Amt for RUM SB</t>
        </is>
      </c>
      <c r="D386" s="51" t="n">
        <v>483600</v>
      </c>
      <c r="E386" s="51" t="n">
        <v>130640</v>
      </c>
      <c r="F386" s="24">
        <f>IFERROR((D386/E386)-1,0)</f>
        <v/>
      </c>
    </row>
    <row r="387" ht="15" customHeight="1" s="47">
      <c r="B387" s="42" t="inlineStr">
        <is>
          <t>Grand Rapids-Kentwood, MI</t>
        </is>
      </c>
      <c r="C387" s="46" t="inlineStr">
        <is>
          <t>SB Loans</t>
        </is>
      </c>
      <c r="D387" s="25" t="n">
        <v>2722</v>
      </c>
      <c r="E387" s="25" t="n">
        <v>90981</v>
      </c>
    </row>
    <row r="388" ht="15" customHeight="1" s="47">
      <c r="C388" s="46" t="inlineStr">
        <is>
          <t>#LMICT</t>
        </is>
      </c>
      <c r="D388" s="46" t="n">
        <v>54</v>
      </c>
      <c r="E388" s="25" t="n">
        <v>4152</v>
      </c>
      <c r="F388" s="24">
        <f>IFERROR((D388/D387)-(E388/E387),0)</f>
        <v/>
      </c>
    </row>
    <row r="389" ht="15" customHeight="1" s="47">
      <c r="C389" s="46" t="inlineStr">
        <is>
          <t>Avg SB LMICT Loan Amount</t>
        </is>
      </c>
      <c r="D389" s="51" t="n">
        <v>7889</v>
      </c>
      <c r="E389" s="51" t="n">
        <v>3408</v>
      </c>
      <c r="F389" s="24">
        <f>IFERROR((D389/E389)-1,0)</f>
        <v/>
      </c>
    </row>
    <row r="390" ht="15" customHeight="1" s="47">
      <c r="C390" s="46" t="inlineStr">
        <is>
          <t>Loans Rev Under $1m</t>
        </is>
      </c>
      <c r="D390" s="25" t="n">
        <v>1370</v>
      </c>
      <c r="E390" s="25" t="n">
        <v>41121</v>
      </c>
      <c r="F390" s="24">
        <f>IFERROR((D390/D387)-(E390/E387),0)</f>
        <v/>
      </c>
    </row>
    <row r="391" ht="15" customHeight="1" s="47">
      <c r="C391" s="46" t="inlineStr">
        <is>
          <t>Avg Loan Amt for RUM SB</t>
        </is>
      </c>
      <c r="D391" s="51" t="n">
        <v>471948</v>
      </c>
      <c r="E391" s="51" t="n">
        <v>149196</v>
      </c>
      <c r="F391" s="24">
        <f>IFERROR((D391/E391)-1,0)</f>
        <v/>
      </c>
    </row>
    <row r="392" ht="15" customHeight="1" s="47">
      <c r="B392" s="42" t="inlineStr">
        <is>
          <t>Jackson, MI</t>
        </is>
      </c>
      <c r="C392" s="46" t="inlineStr">
        <is>
          <t>SB Loans</t>
        </is>
      </c>
      <c r="D392" s="46" t="n">
        <v>213</v>
      </c>
      <c r="E392" s="25" t="n">
        <v>8832</v>
      </c>
    </row>
    <row r="393" ht="15" customHeight="1" s="47">
      <c r="C393" s="46" t="inlineStr">
        <is>
          <t>#LMICT</t>
        </is>
      </c>
      <c r="D393" s="46" t="n">
        <v>10</v>
      </c>
      <c r="E393" s="46" t="n">
        <v>450</v>
      </c>
      <c r="F393" s="24">
        <f>IFERROR((D393/D392)-(E393/E392),0)</f>
        <v/>
      </c>
    </row>
    <row r="394" ht="15" customHeight="1" s="47">
      <c r="C394" s="46" t="inlineStr">
        <is>
          <t>Avg SB LMICT Loan Amount</t>
        </is>
      </c>
      <c r="D394" s="51" t="n">
        <v>9200</v>
      </c>
      <c r="E394" s="51" t="n">
        <v>6804</v>
      </c>
      <c r="F394" s="24">
        <f>IFERROR((D394/E394)-1,0)</f>
        <v/>
      </c>
    </row>
    <row r="395" ht="15" customHeight="1" s="47">
      <c r="C395" s="46" t="inlineStr">
        <is>
          <t>Loans Rev Under $1m</t>
        </is>
      </c>
      <c r="D395" s="46" t="n">
        <v>126</v>
      </c>
      <c r="E395" s="25" t="n">
        <v>4084</v>
      </c>
      <c r="F395" s="24">
        <f>IFERROR((D395/D392)-(E395/E392),0)</f>
        <v/>
      </c>
    </row>
    <row r="396" ht="15" customHeight="1" s="47">
      <c r="C396" s="46" t="inlineStr">
        <is>
          <t>Avg Loan Amt for RUM SB</t>
        </is>
      </c>
      <c r="D396" s="51" t="n">
        <v>120433</v>
      </c>
      <c r="E396" s="51" t="n">
        <v>90830</v>
      </c>
      <c r="F396" s="24">
        <f>IFERROR((D396/E396)-1,0)</f>
        <v/>
      </c>
    </row>
    <row r="397" ht="15" customHeight="1" s="47">
      <c r="B397" s="42" t="inlineStr">
        <is>
          <t>Kalamazoo-Portage, MI</t>
        </is>
      </c>
      <c r="C397" s="46" t="inlineStr">
        <is>
          <t>SB Loans</t>
        </is>
      </c>
      <c r="D397" s="25" t="n">
        <v>1763</v>
      </c>
      <c r="E397" s="25" t="n">
        <v>21317</v>
      </c>
    </row>
    <row r="398" ht="15" customHeight="1" s="47">
      <c r="C398" s="46" t="inlineStr">
        <is>
          <t>#LMICT</t>
        </is>
      </c>
      <c r="D398" s="46" t="n">
        <v>20</v>
      </c>
      <c r="E398" s="25" t="n">
        <v>1012</v>
      </c>
      <c r="F398" s="24">
        <f>IFERROR((D398/D397)-(E398/E397),0)</f>
        <v/>
      </c>
    </row>
    <row r="399" ht="15" customHeight="1" s="47">
      <c r="C399" s="46" t="inlineStr">
        <is>
          <t>Avg SB LMICT Loan Amount</t>
        </is>
      </c>
      <c r="D399" s="51" t="n">
        <v>23950</v>
      </c>
      <c r="E399" s="51" t="n">
        <v>4442</v>
      </c>
      <c r="F399" s="24">
        <f>IFERROR((D399/E399)-1,0)</f>
        <v/>
      </c>
    </row>
    <row r="400" ht="15" customHeight="1" s="47">
      <c r="C400" s="46" t="inlineStr">
        <is>
          <t>Loans Rev Under $1m</t>
        </is>
      </c>
      <c r="D400" s="25" t="n">
        <v>1030</v>
      </c>
      <c r="E400" s="25" t="n">
        <v>9904</v>
      </c>
      <c r="F400" s="24">
        <f>IFERROR((D400/D397)-(E400/E397),0)</f>
        <v/>
      </c>
    </row>
    <row r="401" ht="15" customHeight="1" s="47">
      <c r="C401" s="46" t="inlineStr">
        <is>
          <t>Avg Loan Amt for RUM SB</t>
        </is>
      </c>
      <c r="D401" s="51" t="n">
        <v>593633</v>
      </c>
      <c r="E401" s="51" t="n">
        <v>112736</v>
      </c>
      <c r="F401" s="24">
        <f>IFERROR((D401/E401)-1,0)</f>
        <v/>
      </c>
    </row>
    <row r="402" ht="15" customHeight="1" s="47">
      <c r="B402" s="42" t="inlineStr">
        <is>
          <t>Lansing-East Lansing, MI</t>
        </is>
      </c>
      <c r="C402" s="46" t="inlineStr">
        <is>
          <t>SB Loans</t>
        </is>
      </c>
      <c r="D402" s="25" t="n">
        <v>2480</v>
      </c>
      <c r="E402" s="25" t="n">
        <v>32478</v>
      </c>
    </row>
    <row r="403" ht="15" customHeight="1" s="47">
      <c r="C403" s="46" t="inlineStr">
        <is>
          <t>#LMICT</t>
        </is>
      </c>
      <c r="D403" s="46" t="n">
        <v>40</v>
      </c>
      <c r="E403" s="25" t="n">
        <v>1868</v>
      </c>
      <c r="F403" s="24">
        <f>IFERROR((D403/D402)-(E403/E402),0)</f>
        <v/>
      </c>
    </row>
    <row r="404" ht="15" customHeight="1" s="47">
      <c r="C404" s="46" t="inlineStr">
        <is>
          <t>Avg SB LMICT Loan Amount</t>
        </is>
      </c>
      <c r="D404" s="51" t="n">
        <v>20275</v>
      </c>
      <c r="E404" s="51" t="n">
        <v>4037</v>
      </c>
      <c r="F404" s="24">
        <f>IFERROR((D404/E404)-1,0)</f>
        <v/>
      </c>
    </row>
    <row r="405" ht="15" customHeight="1" s="47">
      <c r="C405" s="46" t="inlineStr">
        <is>
          <t>Loans Rev Under $1m</t>
        </is>
      </c>
      <c r="D405" s="25" t="n">
        <v>1229</v>
      </c>
      <c r="E405" s="25" t="n">
        <v>16052</v>
      </c>
      <c r="F405" s="24">
        <f>IFERROR((D405/D402)-(E405/E402),0)</f>
        <v/>
      </c>
    </row>
    <row r="406" ht="15" customHeight="1" s="47">
      <c r="C406" s="46" t="inlineStr">
        <is>
          <t>Avg Loan Amt for RUM SB</t>
        </is>
      </c>
      <c r="D406" s="51" t="n">
        <v>380533</v>
      </c>
      <c r="E406" s="51" t="n">
        <v>84046</v>
      </c>
      <c r="F406" s="24">
        <f>IFERROR((D406/E406)-1,0)</f>
        <v/>
      </c>
    </row>
    <row r="407" ht="15" customHeight="1" s="47">
      <c r="B407" s="42" t="inlineStr">
        <is>
          <t>Michigan Non-MSA</t>
        </is>
      </c>
      <c r="C407" s="46" t="inlineStr">
        <is>
          <t>SB Loans</t>
        </is>
      </c>
      <c r="D407" s="25" t="n">
        <v>2194</v>
      </c>
      <c r="E407" s="25" t="n">
        <v>54784</v>
      </c>
    </row>
    <row r="408" ht="15" customHeight="1" s="47">
      <c r="C408" s="46" t="inlineStr">
        <is>
          <t>#LMICT</t>
        </is>
      </c>
      <c r="D408" s="46" t="n">
        <v>172</v>
      </c>
      <c r="E408" s="25" t="n">
        <v>5640</v>
      </c>
      <c r="F408" s="24">
        <f>IFERROR((D408/D407)-(E408/E407),0)</f>
        <v/>
      </c>
    </row>
    <row r="409" ht="15" customHeight="1" s="47">
      <c r="C409" s="46" t="inlineStr">
        <is>
          <t>Avg SB LMICT Loan Amount</t>
        </is>
      </c>
      <c r="D409" s="51" t="n">
        <v>3314</v>
      </c>
      <c r="E409" s="51" t="n">
        <v>1255</v>
      </c>
      <c r="F409" s="24">
        <f>IFERROR((D409/E409)-1,0)</f>
        <v/>
      </c>
    </row>
    <row r="410" ht="15" customHeight="1" s="47">
      <c r="C410" s="46" t="inlineStr">
        <is>
          <t>Loans Rev Under $1m</t>
        </is>
      </c>
      <c r="D410" s="25" t="n">
        <v>1288</v>
      </c>
      <c r="E410" s="25" t="n">
        <v>27675</v>
      </c>
      <c r="F410" s="24">
        <f>IFERROR((D410/D407)-(E410/E407),0)</f>
        <v/>
      </c>
    </row>
    <row r="411" ht="15" customHeight="1" s="47">
      <c r="C411" s="46" t="inlineStr">
        <is>
          <t>Avg Loan Amt for RUM SB</t>
        </is>
      </c>
      <c r="D411" s="51" t="n">
        <v>74787</v>
      </c>
      <c r="E411" s="51" t="n">
        <v>54491</v>
      </c>
      <c r="F411" s="24">
        <f>IFERROR((D411/E411)-1,0)</f>
        <v/>
      </c>
    </row>
    <row r="412" ht="15" customHeight="1" s="47">
      <c r="B412" s="42" t="inlineStr">
        <is>
          <t>Midland, MI</t>
        </is>
      </c>
      <c r="C412" s="46" t="inlineStr">
        <is>
          <t>SB Loans</t>
        </is>
      </c>
      <c r="D412" s="46" t="n">
        <v>215</v>
      </c>
      <c r="E412" s="25" t="n">
        <v>5351</v>
      </c>
    </row>
    <row r="413" ht="15" customHeight="1" s="47">
      <c r="C413" s="46" t="inlineStr">
        <is>
          <t>#LMICT</t>
        </is>
      </c>
      <c r="D413" s="46" t="n">
        <v>10</v>
      </c>
      <c r="E413" s="46" t="n">
        <v>362</v>
      </c>
      <c r="F413" s="24">
        <f>IFERROR((D413/D412)-(E413/E412),0)</f>
        <v/>
      </c>
    </row>
    <row r="414" ht="15" customHeight="1" s="47">
      <c r="C414" s="46" t="inlineStr">
        <is>
          <t>Avg SB LMICT Loan Amount</t>
        </is>
      </c>
      <c r="D414" s="51" t="n">
        <v>6200</v>
      </c>
      <c r="E414" s="51" t="n">
        <v>3820</v>
      </c>
      <c r="F414" s="24">
        <f>IFERROR((D414/E414)-1,0)</f>
        <v/>
      </c>
    </row>
    <row r="415" ht="15" customHeight="1" s="47">
      <c r="C415" s="46" t="inlineStr">
        <is>
          <t>Loans Rev Under $1m</t>
        </is>
      </c>
      <c r="D415" s="46" t="n">
        <v>125</v>
      </c>
      <c r="E415" s="25" t="n">
        <v>2867</v>
      </c>
      <c r="F415" s="24">
        <f>IFERROR((D415/D412)-(E415/E412),0)</f>
        <v/>
      </c>
    </row>
    <row r="416" ht="15" customHeight="1" s="47">
      <c r="C416" s="46" t="inlineStr">
        <is>
          <t>Avg Loan Amt for RUM SB</t>
        </is>
      </c>
      <c r="D416" s="51" t="n">
        <v>172100</v>
      </c>
      <c r="E416" s="51" t="n">
        <v>90752</v>
      </c>
      <c r="F416" s="24">
        <f>IFERROR((D416/E416)-1,0)</f>
        <v/>
      </c>
    </row>
    <row r="417" ht="15" customHeight="1" s="47">
      <c r="B417" s="42" t="inlineStr">
        <is>
          <t>Monroe, MI</t>
        </is>
      </c>
      <c r="C417" s="46" t="inlineStr">
        <is>
          <t>SB Loans</t>
        </is>
      </c>
      <c r="D417" s="46" t="n">
        <v>345</v>
      </c>
      <c r="E417" s="25" t="n">
        <v>10443</v>
      </c>
    </row>
    <row r="418" ht="15" customHeight="1" s="47">
      <c r="C418" s="46" t="inlineStr">
        <is>
          <t>#LMICT</t>
        </is>
      </c>
      <c r="D418" s="46" t="n">
        <v>10</v>
      </c>
      <c r="E418" s="46" t="n">
        <v>510</v>
      </c>
      <c r="F418" s="24">
        <f>IFERROR((D418/D417)-(E418/E417),0)</f>
        <v/>
      </c>
    </row>
    <row r="419" ht="15" customHeight="1" s="47">
      <c r="C419" s="46" t="inlineStr">
        <is>
          <t>Avg SB LMICT Loan Amount</t>
        </is>
      </c>
      <c r="D419" s="51" t="n">
        <v>9000</v>
      </c>
      <c r="E419" s="51" t="n">
        <v>2782</v>
      </c>
      <c r="F419" s="24">
        <f>IFERROR((D419/E419)-1,0)</f>
        <v/>
      </c>
    </row>
    <row r="420" ht="15" customHeight="1" s="47">
      <c r="C420" s="46" t="inlineStr">
        <is>
          <t>Loans Rev Under $1m</t>
        </is>
      </c>
      <c r="D420" s="46" t="n">
        <v>241</v>
      </c>
      <c r="E420" s="25" t="n">
        <v>5813</v>
      </c>
      <c r="F420" s="24">
        <f>IFERROR((D420/D417)-(E420/E417),0)</f>
        <v/>
      </c>
    </row>
    <row r="421" ht="15" customHeight="1" s="47">
      <c r="C421" s="46" t="inlineStr">
        <is>
          <t>Avg Loan Amt for RUM SB</t>
        </is>
      </c>
      <c r="D421" s="51" t="n">
        <v>216300</v>
      </c>
      <c r="E421" s="51" t="n">
        <v>108390</v>
      </c>
      <c r="F421" s="24">
        <f>IFERROR((D421/E421)-1,0)</f>
        <v/>
      </c>
    </row>
    <row r="422" ht="15" customHeight="1" s="47">
      <c r="B422" s="42" t="inlineStr">
        <is>
          <t>Muskegon, MI</t>
        </is>
      </c>
      <c r="C422" s="46" t="inlineStr">
        <is>
          <t>SB Loans</t>
        </is>
      </c>
      <c r="D422" s="46" t="n">
        <v>974</v>
      </c>
      <c r="E422" s="25" t="n">
        <v>9078</v>
      </c>
    </row>
    <row r="423" ht="15" customHeight="1" s="47">
      <c r="C423" s="46" t="inlineStr">
        <is>
          <t>#LMICT</t>
        </is>
      </c>
      <c r="D423" s="46" t="n">
        <v>10</v>
      </c>
      <c r="E423" s="46" t="n">
        <v>514</v>
      </c>
      <c r="F423" s="24">
        <f>IFERROR((D423/D422)-(E423/E422),0)</f>
        <v/>
      </c>
    </row>
    <row r="424" ht="15" customHeight="1" s="47">
      <c r="C424" s="46" t="inlineStr">
        <is>
          <t>Avg SB LMICT Loan Amount</t>
        </is>
      </c>
      <c r="D424" s="51" t="n">
        <v>41200</v>
      </c>
      <c r="E424" s="51" t="n">
        <v>5430</v>
      </c>
      <c r="F424" s="24">
        <f>IFERROR((D424/E424)-1,0)</f>
        <v/>
      </c>
    </row>
    <row r="425" ht="15" customHeight="1" s="47">
      <c r="C425" s="46" t="inlineStr">
        <is>
          <t>Loans Rev Under $1m</t>
        </is>
      </c>
      <c r="D425" s="46" t="n">
        <v>553</v>
      </c>
      <c r="E425" s="25" t="n">
        <v>4326</v>
      </c>
      <c r="F425" s="24">
        <f>IFERROR((D425/D422)-(E425/E422),0)</f>
        <v/>
      </c>
    </row>
    <row r="426" ht="15" customHeight="1" s="47">
      <c r="C426" s="46" t="inlineStr">
        <is>
          <t>Avg Loan Amt for RUM SB</t>
        </is>
      </c>
      <c r="D426" s="51" t="n">
        <v>635000</v>
      </c>
      <c r="E426" s="51" t="n">
        <v>93289</v>
      </c>
      <c r="F426" s="24">
        <f>IFERROR((D426/E426)-1,0)</f>
        <v/>
      </c>
    </row>
    <row r="427" ht="15" customHeight="1" s="47">
      <c r="B427" s="42" t="inlineStr">
        <is>
          <t>Saginaw, MI</t>
        </is>
      </c>
      <c r="C427" s="46" t="inlineStr">
        <is>
          <t>SB Loans</t>
        </is>
      </c>
      <c r="D427" s="46" t="n">
        <v>758</v>
      </c>
      <c r="E427" s="25" t="n">
        <v>10685</v>
      </c>
    </row>
    <row r="428" ht="15" customHeight="1" s="47">
      <c r="C428" s="46" t="inlineStr">
        <is>
          <t>#LMICT</t>
        </is>
      </c>
      <c r="D428" s="46" t="n">
        <v>10</v>
      </c>
      <c r="E428" s="46" t="n">
        <v>496</v>
      </c>
      <c r="F428" s="24">
        <f>IFERROR((D428/D427)-(E428/E427),0)</f>
        <v/>
      </c>
    </row>
    <row r="429" ht="15" customHeight="1" s="47">
      <c r="C429" s="46" t="inlineStr">
        <is>
          <t>Avg SB LMICT Loan Amount</t>
        </is>
      </c>
      <c r="D429" s="51" t="n">
        <v>13600</v>
      </c>
      <c r="E429" s="51" t="n">
        <v>4149</v>
      </c>
      <c r="F429" s="24">
        <f>IFERROR((D429/E429)-1,0)</f>
        <v/>
      </c>
    </row>
    <row r="430" ht="15" customHeight="1" s="47">
      <c r="C430" s="46" t="inlineStr">
        <is>
          <t>Loans Rev Under $1m</t>
        </is>
      </c>
      <c r="D430" s="46" t="n">
        <v>374</v>
      </c>
      <c r="E430" s="25" t="n">
        <v>4771</v>
      </c>
      <c r="F430" s="24">
        <f>IFERROR((D430/D427)-(E430/E427),0)</f>
        <v/>
      </c>
    </row>
    <row r="431" ht="15" customHeight="1" s="47">
      <c r="C431" s="46" t="inlineStr">
        <is>
          <t>Avg Loan Amt for RUM SB</t>
        </is>
      </c>
      <c r="D431" s="51" t="n">
        <v>396367</v>
      </c>
      <c r="E431" s="51" t="n">
        <v>104587</v>
      </c>
      <c r="F431" s="24">
        <f>IFERROR((D431/E431)-1,0)</f>
        <v/>
      </c>
    </row>
    <row r="432" ht="15" customHeight="1" s="47">
      <c r="A432" s="46" t="inlineStr">
        <is>
          <t>Missouri</t>
        </is>
      </c>
      <c r="B432" s="42" t="inlineStr">
        <is>
          <t>Kansas City, MO-KS</t>
        </is>
      </c>
      <c r="C432" s="46" t="inlineStr">
        <is>
          <t>SB Loans</t>
        </is>
      </c>
      <c r="D432" s="46" t="n">
        <v>86</v>
      </c>
      <c r="E432" s="25" t="n">
        <v>75263</v>
      </c>
    </row>
    <row r="433" ht="15" customHeight="1" s="47">
      <c r="C433" s="46" t="inlineStr">
        <is>
          <t>#LMICT</t>
        </is>
      </c>
      <c r="D433" s="46" t="n">
        <v>34</v>
      </c>
      <c r="E433" s="25" t="n">
        <v>4004</v>
      </c>
      <c r="F433" s="24">
        <f>IFERROR((D433/D432)-(E433/E432),0)</f>
        <v/>
      </c>
    </row>
    <row r="434" ht="15" customHeight="1" s="47">
      <c r="C434" s="46" t="inlineStr">
        <is>
          <t>Avg SB LMICT Loan Amount</t>
        </is>
      </c>
      <c r="D434" s="51" t="n">
        <v>676</v>
      </c>
      <c r="E434" s="51" t="n">
        <v>5821</v>
      </c>
      <c r="F434" s="24">
        <f>IFERROR((D434/E434)-1,0)</f>
        <v/>
      </c>
    </row>
    <row r="435" ht="15" customHeight="1" s="47">
      <c r="C435" s="46" t="inlineStr">
        <is>
          <t>Loans Rev Under $1m</t>
        </is>
      </c>
      <c r="D435" s="46" t="n">
        <v>55</v>
      </c>
      <c r="E435" s="25" t="n">
        <v>36111</v>
      </c>
      <c r="F435" s="24">
        <f>IFERROR((D435/D432)-(E435/E432),0)</f>
        <v/>
      </c>
    </row>
    <row r="436" ht="15" customHeight="1" s="47">
      <c r="C436" s="46" t="inlineStr">
        <is>
          <t>Avg Loan Amt for RUM SB</t>
        </is>
      </c>
      <c r="D436" s="51" t="n">
        <v>24747</v>
      </c>
      <c r="E436" s="51" t="n">
        <v>131858</v>
      </c>
      <c r="F436" s="24">
        <f>IFERROR((D436/E436)-1,0)</f>
        <v/>
      </c>
    </row>
    <row r="437" ht="15" customHeight="1" s="47">
      <c r="B437" s="42" t="inlineStr">
        <is>
          <t>St. Louis, MO-IL</t>
        </is>
      </c>
      <c r="C437" s="46" t="inlineStr">
        <is>
          <t>SB Loans</t>
        </is>
      </c>
      <c r="D437" s="25" t="n">
        <v>5102</v>
      </c>
      <c r="E437" s="25" t="n">
        <v>208402</v>
      </c>
    </row>
    <row r="438" ht="15" customHeight="1" s="47">
      <c r="C438" s="46" t="inlineStr">
        <is>
          <t>#LMICT</t>
        </is>
      </c>
      <c r="D438" s="46" t="n">
        <v>74</v>
      </c>
      <c r="E438" s="25" t="n">
        <v>6648</v>
      </c>
      <c r="F438" s="24">
        <f>IFERROR((D438/D437)-(E438/E437),0)</f>
        <v/>
      </c>
    </row>
    <row r="439" ht="15" customHeight="1" s="47">
      <c r="C439" s="46" t="inlineStr">
        <is>
          <t>Avg SB LMICT Loan Amount</t>
        </is>
      </c>
      <c r="D439" s="51" t="n">
        <v>10297</v>
      </c>
      <c r="E439" s="51" t="n">
        <v>4888</v>
      </c>
      <c r="F439" s="24">
        <f>IFERROR((D439/E439)-1,0)</f>
        <v/>
      </c>
    </row>
    <row r="440" ht="15" customHeight="1" s="47">
      <c r="C440" s="46" t="inlineStr">
        <is>
          <t>Loans Rev Under $1m</t>
        </is>
      </c>
      <c r="D440" s="25" t="n">
        <v>2986</v>
      </c>
      <c r="E440" s="25" t="n">
        <v>106361</v>
      </c>
      <c r="F440" s="24">
        <f>IFERROR((D440/D437)-(E440/E437),0)</f>
        <v/>
      </c>
    </row>
    <row r="441" ht="15" customHeight="1" s="47">
      <c r="C441" s="46" t="inlineStr">
        <is>
          <t>Avg Loan Amt for RUM SB</t>
        </is>
      </c>
      <c r="D441" s="51" t="n">
        <v>582015</v>
      </c>
      <c r="E441" s="51" t="n">
        <v>173492</v>
      </c>
      <c r="F441" s="24">
        <f>IFERROR((D441/E441)-1,0)</f>
        <v/>
      </c>
    </row>
    <row r="442" ht="15" customHeight="1" s="47">
      <c r="A442" s="46" t="inlineStr">
        <is>
          <t>New Jersey</t>
        </is>
      </c>
      <c r="B442" s="42" t="inlineStr">
        <is>
          <t>Allentown-Bethlehem-Easton, PA-NJ</t>
        </is>
      </c>
      <c r="C442" s="46" t="inlineStr">
        <is>
          <t>SB Loans</t>
        </is>
      </c>
      <c r="D442" s="25" t="n">
        <v>1296</v>
      </c>
      <c r="E442" s="25" t="n">
        <v>12839</v>
      </c>
    </row>
    <row r="443" ht="15" customHeight="1" s="47">
      <c r="C443" s="46" t="inlineStr">
        <is>
          <t>#LMICT</t>
        </is>
      </c>
      <c r="D443" s="46" t="n">
        <v>10</v>
      </c>
      <c r="E443" s="46" t="n">
        <v>604</v>
      </c>
      <c r="F443" s="24">
        <f>IFERROR((D443/D442)-(E443/E442),0)</f>
        <v/>
      </c>
    </row>
    <row r="444" ht="15" customHeight="1" s="47">
      <c r="C444" s="46" t="inlineStr">
        <is>
          <t>Avg SB LMICT Loan Amount</t>
        </is>
      </c>
      <c r="D444" s="51" t="n">
        <v>17200</v>
      </c>
      <c r="E444" s="51" t="n">
        <v>1535</v>
      </c>
      <c r="F444" s="24">
        <f>IFERROR((D444/E444)-1,0)</f>
        <v/>
      </c>
    </row>
    <row r="445" ht="15" customHeight="1" s="47">
      <c r="C445" s="46" t="inlineStr">
        <is>
          <t>Loans Rev Under $1m</t>
        </is>
      </c>
      <c r="D445" s="46" t="n">
        <v>840</v>
      </c>
      <c r="E445" s="25" t="n">
        <v>6719</v>
      </c>
      <c r="F445" s="24">
        <f>IFERROR((D445/D442)-(E445/E442),0)</f>
        <v/>
      </c>
    </row>
    <row r="446" ht="15" customHeight="1" s="47">
      <c r="C446" s="46" t="inlineStr">
        <is>
          <t>Avg Loan Amt for RUM SB</t>
        </is>
      </c>
      <c r="D446" s="51" t="n">
        <v>932200</v>
      </c>
      <c r="E446" s="51" t="n">
        <v>60753</v>
      </c>
      <c r="F446" s="24">
        <f>IFERROR((D446/E446)-1,0)</f>
        <v/>
      </c>
    </row>
    <row r="447" ht="15" customHeight="1" s="47">
      <c r="B447" s="42" t="inlineStr">
        <is>
          <t>Atlantic City-Hammonton, NJ</t>
        </is>
      </c>
      <c r="C447" s="46" t="inlineStr">
        <is>
          <t>SB Loans</t>
        </is>
      </c>
      <c r="D447" s="25" t="n">
        <v>1050</v>
      </c>
      <c r="E447" s="25" t="n">
        <v>32643</v>
      </c>
    </row>
    <row r="448" ht="15" customHeight="1" s="47">
      <c r="C448" s="46" t="inlineStr">
        <is>
          <t>#LMICT</t>
        </is>
      </c>
      <c r="D448" s="46" t="n">
        <v>10</v>
      </c>
      <c r="E448" s="46" t="n">
        <v>768</v>
      </c>
      <c r="F448" s="24">
        <f>IFERROR((D448/D447)-(E448/E447),0)</f>
        <v/>
      </c>
    </row>
    <row r="449" ht="15" customHeight="1" s="47">
      <c r="C449" s="46" t="inlineStr">
        <is>
          <t>Avg SB LMICT Loan Amount</t>
        </is>
      </c>
      <c r="D449" s="51" t="n">
        <v>32300</v>
      </c>
      <c r="E449" s="51" t="n">
        <v>10359</v>
      </c>
      <c r="F449" s="24">
        <f>IFERROR((D449/E449)-1,0)</f>
        <v/>
      </c>
    </row>
    <row r="450" ht="15" customHeight="1" s="47">
      <c r="C450" s="46" t="inlineStr">
        <is>
          <t>Loans Rev Under $1m</t>
        </is>
      </c>
      <c r="D450" s="46" t="n">
        <v>687</v>
      </c>
      <c r="E450" s="25" t="n">
        <v>15157</v>
      </c>
      <c r="F450" s="24">
        <f>IFERROR((D450/D447)-(E450/E447),0)</f>
        <v/>
      </c>
    </row>
    <row r="451" ht="15" customHeight="1" s="47">
      <c r="C451" s="46" t="inlineStr">
        <is>
          <t>Avg Loan Amt for RUM SB</t>
        </is>
      </c>
      <c r="D451" s="51" t="n">
        <v>727733</v>
      </c>
      <c r="E451" s="51" t="n">
        <v>137111</v>
      </c>
      <c r="F451" s="24">
        <f>IFERROR((D451/E451)-1,0)</f>
        <v/>
      </c>
    </row>
    <row r="452" ht="15" customHeight="1" s="47">
      <c r="B452" s="42" t="inlineStr">
        <is>
          <t>New York-Newark-Jersey City, NY-NJ-PA</t>
        </is>
      </c>
      <c r="C452" s="46" t="inlineStr">
        <is>
          <t>SB Loans</t>
        </is>
      </c>
      <c r="D452" s="25" t="n">
        <v>39036</v>
      </c>
      <c r="E452" s="25" t="n">
        <v>1183104</v>
      </c>
    </row>
    <row r="453" ht="15" customHeight="1" s="47">
      <c r="C453" s="46" t="inlineStr">
        <is>
          <t>#LMICT</t>
        </is>
      </c>
      <c r="D453" s="46" t="n">
        <v>324</v>
      </c>
      <c r="E453" s="25" t="n">
        <v>38359</v>
      </c>
      <c r="F453" s="24">
        <f>IFERROR((D453/D452)-(E453/E452),0)</f>
        <v/>
      </c>
    </row>
    <row r="454" ht="15" customHeight="1" s="47">
      <c r="C454" s="46" t="inlineStr">
        <is>
          <t>Avg SB LMICT Loan Amount</t>
        </is>
      </c>
      <c r="D454" s="51" t="n">
        <v>19198</v>
      </c>
      <c r="E454" s="51" t="n">
        <v>6073</v>
      </c>
      <c r="F454" s="24">
        <f>IFERROR((D454/E454)-1,0)</f>
        <v/>
      </c>
    </row>
    <row r="455" ht="15" customHeight="1" s="47">
      <c r="C455" s="46" t="inlineStr">
        <is>
          <t>Loans Rev Under $1m</t>
        </is>
      </c>
      <c r="D455" s="25" t="n">
        <v>23939</v>
      </c>
      <c r="E455" s="25" t="n">
        <v>556772</v>
      </c>
      <c r="F455" s="24">
        <f>IFERROR((D455/D452)-(E455/E452),0)</f>
        <v/>
      </c>
    </row>
    <row r="456" ht="15" customHeight="1" s="47">
      <c r="C456" s="46" t="inlineStr">
        <is>
          <t>Avg Loan Amt for RUM SB</t>
        </is>
      </c>
      <c r="D456" s="51" t="n">
        <v>1186171</v>
      </c>
      <c r="E456" s="51" t="n">
        <v>130149</v>
      </c>
      <c r="F456" s="24">
        <f>IFERROR((D456/E456)-1,0)</f>
        <v/>
      </c>
    </row>
    <row r="457" ht="15" customHeight="1" s="47">
      <c r="B457" s="42" t="inlineStr">
        <is>
          <t>Ocean City, NJ</t>
        </is>
      </c>
      <c r="C457" s="46" t="inlineStr">
        <is>
          <t>SB Loans</t>
        </is>
      </c>
      <c r="D457" s="46" t="n">
        <v>693</v>
      </c>
      <c r="E457" s="25" t="n">
        <v>16428</v>
      </c>
    </row>
    <row r="458" ht="15" customHeight="1" s="47">
      <c r="C458" s="46" t="inlineStr">
        <is>
          <t>#LMICT</t>
        </is>
      </c>
      <c r="D458" s="46" t="n">
        <v>10</v>
      </c>
      <c r="E458" s="46" t="n">
        <v>636</v>
      </c>
      <c r="F458" s="24">
        <f>IFERROR((D458/D457)-(E458/E457),0)</f>
        <v/>
      </c>
    </row>
    <row r="459" ht="15" customHeight="1" s="47">
      <c r="C459" s="46" t="inlineStr">
        <is>
          <t>Avg SB LMICT Loan Amount</t>
        </is>
      </c>
      <c r="D459" s="51" t="n">
        <v>14900</v>
      </c>
      <c r="E459" s="51" t="n">
        <v>3877</v>
      </c>
      <c r="F459" s="24">
        <f>IFERROR((D459/E459)-1,0)</f>
        <v/>
      </c>
    </row>
    <row r="460" ht="15" customHeight="1" s="47">
      <c r="C460" s="46" t="inlineStr">
        <is>
          <t>Loans Rev Under $1m</t>
        </is>
      </c>
      <c r="D460" s="46" t="n">
        <v>428</v>
      </c>
      <c r="E460" s="25" t="n">
        <v>7306</v>
      </c>
      <c r="F460" s="24">
        <f>IFERROR((D460/D457)-(E460/E457),0)</f>
        <v/>
      </c>
    </row>
    <row r="461" ht="15" customHeight="1" s="47">
      <c r="C461" s="46" t="inlineStr">
        <is>
          <t>Avg Loan Amt for RUM SB</t>
        </is>
      </c>
      <c r="D461" s="51" t="n">
        <v>478333</v>
      </c>
      <c r="E461" s="51" t="n">
        <v>108064</v>
      </c>
      <c r="F461" s="24">
        <f>IFERROR((D461/E461)-1,0)</f>
        <v/>
      </c>
    </row>
    <row r="462" ht="15" customHeight="1" s="47">
      <c r="B462" s="42" t="inlineStr">
        <is>
          <t>Philadelphia-Camden-Wilmington, PA-NJ-DE-MD</t>
        </is>
      </c>
      <c r="C462" s="46" t="inlineStr">
        <is>
          <t>SB Loans</t>
        </is>
      </c>
      <c r="D462" s="25" t="n">
        <v>5992</v>
      </c>
      <c r="E462" s="25" t="n">
        <v>147231</v>
      </c>
    </row>
    <row r="463" ht="15" customHeight="1" s="47">
      <c r="C463" s="46" t="inlineStr">
        <is>
          <t>#LMICT</t>
        </is>
      </c>
      <c r="D463" s="46" t="n">
        <v>54</v>
      </c>
      <c r="E463" s="25" t="n">
        <v>5290</v>
      </c>
      <c r="F463" s="24">
        <f>IFERROR((D463/D462)-(E463/E462),0)</f>
        <v/>
      </c>
    </row>
    <row r="464" ht="15" customHeight="1" s="47">
      <c r="C464" s="46" t="inlineStr">
        <is>
          <t>Avg SB LMICT Loan Amount</t>
        </is>
      </c>
      <c r="D464" s="51" t="n">
        <v>16704</v>
      </c>
      <c r="E464" s="51" t="n">
        <v>3891</v>
      </c>
      <c r="F464" s="24">
        <f>IFERROR((D464/E464)-1,0)</f>
        <v/>
      </c>
    </row>
    <row r="465" ht="15" customHeight="1" s="47">
      <c r="C465" s="46" t="inlineStr">
        <is>
          <t>Loans Rev Under $1m</t>
        </is>
      </c>
      <c r="D465" s="25" t="n">
        <v>3499</v>
      </c>
      <c r="E465" s="25" t="n">
        <v>69678</v>
      </c>
      <c r="F465" s="24">
        <f>IFERROR((D465/D462)-(E465/E462),0)</f>
        <v/>
      </c>
    </row>
    <row r="466" ht="15" customHeight="1" s="47">
      <c r="C466" s="46" t="inlineStr">
        <is>
          <t>Avg Loan Amt for RUM SB</t>
        </is>
      </c>
      <c r="D466" s="51" t="n">
        <v>1096415</v>
      </c>
      <c r="E466" s="51" t="n">
        <v>116871</v>
      </c>
      <c r="F466" s="24">
        <f>IFERROR((D466/E466)-1,0)</f>
        <v/>
      </c>
    </row>
    <row r="467" ht="15" customHeight="1" s="47">
      <c r="B467" s="42" t="inlineStr">
        <is>
          <t>Trenton-Princeton, NJ</t>
        </is>
      </c>
      <c r="C467" s="46" t="inlineStr">
        <is>
          <t>SB Loans</t>
        </is>
      </c>
      <c r="D467" s="25" t="n">
        <v>3370</v>
      </c>
      <c r="E467" s="25" t="n">
        <v>47075</v>
      </c>
    </row>
    <row r="468" ht="15" customHeight="1" s="47">
      <c r="C468" s="46" t="inlineStr">
        <is>
          <t>#LMICT</t>
        </is>
      </c>
      <c r="D468" s="46" t="n">
        <v>10</v>
      </c>
      <c r="E468" s="46" t="n">
        <v>950</v>
      </c>
      <c r="F468" s="24">
        <f>IFERROR((D468/D467)-(E468/E467),0)</f>
        <v/>
      </c>
    </row>
    <row r="469" ht="15" customHeight="1" s="47">
      <c r="C469" s="46" t="inlineStr">
        <is>
          <t>Avg SB LMICT Loan Amount</t>
        </is>
      </c>
      <c r="D469" s="51" t="n">
        <v>74400</v>
      </c>
      <c r="E469" s="51" t="n">
        <v>11773</v>
      </c>
      <c r="F469" s="24">
        <f>IFERROR((D469/E469)-1,0)</f>
        <v/>
      </c>
    </row>
    <row r="470" ht="15" customHeight="1" s="47">
      <c r="C470" s="46" t="inlineStr">
        <is>
          <t>Loans Rev Under $1m</t>
        </is>
      </c>
      <c r="D470" s="25" t="n">
        <v>2125</v>
      </c>
      <c r="E470" s="25" t="n">
        <v>21975</v>
      </c>
      <c r="F470" s="24">
        <f>IFERROR((D470/D467)-(E470/E467),0)</f>
        <v/>
      </c>
    </row>
    <row r="471" ht="15" customHeight="1" s="47">
      <c r="C471" s="46" t="inlineStr">
        <is>
          <t>Avg Loan Amt for RUM SB</t>
        </is>
      </c>
      <c r="D471" s="51" t="n">
        <v>2734633</v>
      </c>
      <c r="E471" s="51" t="n">
        <v>159505</v>
      </c>
      <c r="F471" s="24">
        <f>IFERROR((D471/E471)-1,0)</f>
        <v/>
      </c>
    </row>
    <row r="472" ht="15" customHeight="1" s="47">
      <c r="B472" s="42" t="inlineStr">
        <is>
          <t>Vineland-Bridgeton, NJ</t>
        </is>
      </c>
      <c r="C472" s="46" t="inlineStr">
        <is>
          <t>SB Loans</t>
        </is>
      </c>
      <c r="D472" s="46" t="n">
        <v>204</v>
      </c>
      <c r="E472" s="25" t="n">
        <v>12090</v>
      </c>
    </row>
    <row r="473" ht="15" customHeight="1" s="47">
      <c r="C473" s="46" t="inlineStr">
        <is>
          <t>#LMICT</t>
        </is>
      </c>
      <c r="D473" s="46" t="n">
        <v>10</v>
      </c>
      <c r="E473" s="46" t="n">
        <v>540</v>
      </c>
      <c r="F473" s="24">
        <f>IFERROR((D473/D472)-(E473/E472),0)</f>
        <v/>
      </c>
    </row>
    <row r="474" ht="15" customHeight="1" s="47">
      <c r="C474" s="46" t="inlineStr">
        <is>
          <t>Avg SB LMICT Loan Amount</t>
        </is>
      </c>
      <c r="D474" s="51" t="n">
        <v>6700</v>
      </c>
      <c r="E474" s="51" t="n">
        <v>5648</v>
      </c>
      <c r="F474" s="24">
        <f>IFERROR((D474/E474)-1,0)</f>
        <v/>
      </c>
    </row>
    <row r="475" ht="15" customHeight="1" s="47">
      <c r="C475" s="46" t="inlineStr">
        <is>
          <t>Loans Rev Under $1m</t>
        </is>
      </c>
      <c r="D475" s="46" t="n">
        <v>100</v>
      </c>
      <c r="E475" s="25" t="n">
        <v>5687</v>
      </c>
      <c r="F475" s="24">
        <f>IFERROR((D475/D472)-(E475/E472),0)</f>
        <v/>
      </c>
    </row>
    <row r="476" ht="15" customHeight="1" s="47">
      <c r="C476" s="46" t="inlineStr">
        <is>
          <t>Avg Loan Amt for RUM SB</t>
        </is>
      </c>
      <c r="D476" s="51" t="n">
        <v>146933</v>
      </c>
      <c r="E476" s="51" t="n">
        <v>70502</v>
      </c>
      <c r="F476" s="24">
        <f>IFERROR((D476/E476)-1,0)</f>
        <v/>
      </c>
    </row>
    <row r="477" ht="15" customHeight="1" s="47">
      <c r="A477" s="46" t="inlineStr">
        <is>
          <t>New York</t>
        </is>
      </c>
      <c r="B477" s="42" t="inlineStr">
        <is>
          <t>New York-Newark-Jersey City, NY-NJ-PA</t>
        </is>
      </c>
      <c r="C477" s="46" t="inlineStr">
        <is>
          <t>SB Loans</t>
        </is>
      </c>
      <c r="D477" s="25" t="n">
        <v>1148</v>
      </c>
      <c r="E477" s="25" t="n">
        <v>486427</v>
      </c>
    </row>
    <row r="478" ht="15" customHeight="1" s="47">
      <c r="C478" s="46" t="inlineStr">
        <is>
          <t>#LMICT</t>
        </is>
      </c>
      <c r="D478" s="46" t="n">
        <v>34</v>
      </c>
      <c r="E478" s="25" t="n">
        <v>8152</v>
      </c>
      <c r="F478" s="24">
        <f>IFERROR((D478/D477)-(E478/E477),0)</f>
        <v/>
      </c>
    </row>
    <row r="479" ht="15" customHeight="1" s="47">
      <c r="C479" s="46" t="inlineStr">
        <is>
          <t>Avg SB LMICT Loan Amount</t>
        </is>
      </c>
      <c r="D479" s="51" t="n">
        <v>2206</v>
      </c>
      <c r="E479" s="51" t="n">
        <v>5340</v>
      </c>
      <c r="F479" s="24">
        <f>IFERROR((D479/E479)-1,0)</f>
        <v/>
      </c>
    </row>
    <row r="480" ht="15" customHeight="1" s="47">
      <c r="C480" s="46" t="inlineStr">
        <is>
          <t>Loans Rev Under $1m</t>
        </is>
      </c>
      <c r="D480" s="46" t="n">
        <v>504</v>
      </c>
      <c r="E480" s="25" t="n">
        <v>185358</v>
      </c>
      <c r="F480" s="24">
        <f>IFERROR((D480/D477)-(E480/E477),0)</f>
        <v/>
      </c>
    </row>
    <row r="481" ht="15" customHeight="1" s="47">
      <c r="C481" s="46" t="inlineStr">
        <is>
          <t>Avg Loan Amt for RUM SB</t>
        </is>
      </c>
      <c r="D481" s="51" t="n">
        <v>440707</v>
      </c>
      <c r="E481" s="51" t="n">
        <v>220016</v>
      </c>
      <c r="F481" s="24">
        <f>IFERROR((D481/E481)-1,0)</f>
        <v/>
      </c>
    </row>
    <row r="482" ht="15" customHeight="1" s="47">
      <c r="A482" s="46" t="inlineStr">
        <is>
          <t>North Carolina</t>
        </is>
      </c>
      <c r="B482" s="42" t="inlineStr">
        <is>
          <t>Asheville, NC</t>
        </is>
      </c>
      <c r="C482" s="46" t="inlineStr">
        <is>
          <t>SB Loans</t>
        </is>
      </c>
      <c r="D482" s="25" t="n">
        <v>1013</v>
      </c>
      <c r="E482" s="25" t="n">
        <v>53607</v>
      </c>
    </row>
    <row r="483" ht="15" customHeight="1" s="47">
      <c r="C483" s="46" t="inlineStr">
        <is>
          <t>#LMICT</t>
        </is>
      </c>
      <c r="D483" s="46" t="n">
        <v>20</v>
      </c>
      <c r="E483" s="25" t="n">
        <v>1350</v>
      </c>
      <c r="F483" s="24">
        <f>IFERROR((D483/D482)-(E483/E482),0)</f>
        <v/>
      </c>
    </row>
    <row r="484" ht="15" customHeight="1" s="47">
      <c r="C484" s="46" t="inlineStr">
        <is>
          <t>Avg SB LMICT Loan Amount</t>
        </is>
      </c>
      <c r="D484" s="51" t="n">
        <v>12800</v>
      </c>
      <c r="E484" s="51" t="n">
        <v>7559</v>
      </c>
      <c r="F484" s="24">
        <f>IFERROR((D484/E484)-1,0)</f>
        <v/>
      </c>
    </row>
    <row r="485" ht="15" customHeight="1" s="47">
      <c r="C485" s="46" t="inlineStr">
        <is>
          <t>Loans Rev Under $1m</t>
        </is>
      </c>
      <c r="D485" s="46" t="n">
        <v>580</v>
      </c>
      <c r="E485" s="25" t="n">
        <v>27039</v>
      </c>
      <c r="F485" s="24">
        <f>IFERROR((D485/D482)-(E485/E482),0)</f>
        <v/>
      </c>
    </row>
    <row r="486" ht="15" customHeight="1" s="47">
      <c r="C486" s="46" t="inlineStr">
        <is>
          <t>Avg Loan Amt for RUM SB</t>
        </is>
      </c>
      <c r="D486" s="51" t="n">
        <v>401050</v>
      </c>
      <c r="E486" s="51" t="n">
        <v>191527</v>
      </c>
      <c r="F486" s="24">
        <f>IFERROR((D486/E486)-1,0)</f>
        <v/>
      </c>
    </row>
    <row r="487" ht="15" customHeight="1" s="47">
      <c r="B487" s="42" t="inlineStr">
        <is>
          <t>Burlington, NC</t>
        </is>
      </c>
      <c r="C487" s="46" t="inlineStr">
        <is>
          <t>SB Loans</t>
        </is>
      </c>
      <c r="D487" s="46" t="n">
        <v>206</v>
      </c>
      <c r="E487" s="25" t="n">
        <v>15594</v>
      </c>
    </row>
    <row r="488" ht="15" customHeight="1" s="47">
      <c r="C488" s="46" t="inlineStr">
        <is>
          <t>#LMICT</t>
        </is>
      </c>
      <c r="D488" s="46" t="n">
        <v>10</v>
      </c>
      <c r="E488" s="46" t="n">
        <v>608</v>
      </c>
      <c r="F488" s="24">
        <f>IFERROR((D488/D487)-(E488/E487),0)</f>
        <v/>
      </c>
    </row>
    <row r="489" ht="15" customHeight="1" s="47">
      <c r="C489" s="46" t="inlineStr">
        <is>
          <t>Avg SB LMICT Loan Amount</t>
        </is>
      </c>
      <c r="D489" s="51" t="n">
        <v>3500</v>
      </c>
      <c r="E489" s="51" t="n">
        <v>6311</v>
      </c>
      <c r="F489" s="24">
        <f>IFERROR((D489/E489)-1,0)</f>
        <v/>
      </c>
    </row>
    <row r="490" ht="15" customHeight="1" s="47">
      <c r="C490" s="46" t="inlineStr">
        <is>
          <t>Loans Rev Under $1m</t>
        </is>
      </c>
      <c r="D490" s="46" t="n">
        <v>117</v>
      </c>
      <c r="E490" s="25" t="n">
        <v>7671</v>
      </c>
      <c r="F490" s="24">
        <f>IFERROR((D490/D487)-(E490/E487),0)</f>
        <v/>
      </c>
    </row>
    <row r="491" ht="15" customHeight="1" s="47">
      <c r="C491" s="46" t="inlineStr">
        <is>
          <t>Avg Loan Amt for RUM SB</t>
        </is>
      </c>
      <c r="D491" s="51" t="n">
        <v>149967</v>
      </c>
      <c r="E491" s="51" t="n">
        <v>143498</v>
      </c>
      <c r="F491" s="24">
        <f>IFERROR((D491/E491)-1,0)</f>
        <v/>
      </c>
    </row>
    <row r="492" ht="15" customHeight="1" s="47">
      <c r="B492" s="42" t="inlineStr">
        <is>
          <t>Charlotte-Concord-Gastonia, NC-SC</t>
        </is>
      </c>
      <c r="C492" s="46" t="inlineStr">
        <is>
          <t>SB Loans</t>
        </is>
      </c>
      <c r="D492" s="25" t="n">
        <v>3377</v>
      </c>
      <c r="E492" s="25" t="n">
        <v>267535</v>
      </c>
    </row>
    <row r="493" ht="15" customHeight="1" s="47">
      <c r="C493" s="46" t="inlineStr">
        <is>
          <t>#LMICT</t>
        </is>
      </c>
      <c r="D493" s="46" t="n">
        <v>74</v>
      </c>
      <c r="E493" s="25" t="n">
        <v>7724</v>
      </c>
      <c r="F493" s="24">
        <f>IFERROR((D493/D492)-(E493/E492),0)</f>
        <v/>
      </c>
    </row>
    <row r="494" ht="15" customHeight="1" s="47">
      <c r="C494" s="46" t="inlineStr">
        <is>
          <t>Avg SB LMICT Loan Amount</t>
        </is>
      </c>
      <c r="D494" s="51" t="n">
        <v>11689</v>
      </c>
      <c r="E494" s="51" t="n">
        <v>8089</v>
      </c>
      <c r="F494" s="24">
        <f>IFERROR((D494/E494)-1,0)</f>
        <v/>
      </c>
    </row>
    <row r="495" ht="15" customHeight="1" s="47">
      <c r="C495" s="46" t="inlineStr">
        <is>
          <t>Loans Rev Under $1m</t>
        </is>
      </c>
      <c r="D495" s="25" t="n">
        <v>1621</v>
      </c>
      <c r="E495" s="25" t="n">
        <v>134021</v>
      </c>
      <c r="F495" s="24">
        <f>IFERROR((D495/D492)-(E495/E492),0)</f>
        <v/>
      </c>
    </row>
    <row r="496" ht="15" customHeight="1" s="47">
      <c r="C496" s="46" t="inlineStr">
        <is>
          <t>Avg Loan Amt for RUM SB</t>
        </is>
      </c>
      <c r="D496" s="51" t="n">
        <v>356918</v>
      </c>
      <c r="E496" s="51" t="n">
        <v>178902</v>
      </c>
      <c r="F496" s="24">
        <f>IFERROR((D496/E496)-1,0)</f>
        <v/>
      </c>
    </row>
    <row r="497" ht="15" customHeight="1" s="47">
      <c r="B497" s="42" t="inlineStr">
        <is>
          <t>Durham-Chapel Hill, NC</t>
        </is>
      </c>
      <c r="C497" s="46" t="inlineStr">
        <is>
          <t>SB Loans</t>
        </is>
      </c>
      <c r="D497" s="25" t="n">
        <v>1944</v>
      </c>
      <c r="E497" s="25" t="n">
        <v>68748</v>
      </c>
    </row>
    <row r="498" ht="15" customHeight="1" s="47">
      <c r="C498" s="46" t="inlineStr">
        <is>
          <t>#LMICT</t>
        </is>
      </c>
      <c r="D498" s="46" t="n">
        <v>40</v>
      </c>
      <c r="E498" s="25" t="n">
        <v>2374</v>
      </c>
      <c r="F498" s="24">
        <f>IFERROR((D498/D497)-(E498/E497),0)</f>
        <v/>
      </c>
    </row>
    <row r="499" ht="15" customHeight="1" s="47">
      <c r="C499" s="46" t="inlineStr">
        <is>
          <t>Avg SB LMICT Loan Amount</t>
        </is>
      </c>
      <c r="D499" s="51" t="n">
        <v>13550</v>
      </c>
      <c r="E499" s="51" t="n">
        <v>6496</v>
      </c>
      <c r="F499" s="24">
        <f>IFERROR((D499/E499)-1,0)</f>
        <v/>
      </c>
    </row>
    <row r="500" ht="15" customHeight="1" s="47">
      <c r="C500" s="46" t="inlineStr">
        <is>
          <t>Loans Rev Under $1m</t>
        </is>
      </c>
      <c r="D500" s="25" t="n">
        <v>1078</v>
      </c>
      <c r="E500" s="25" t="n">
        <v>35619</v>
      </c>
      <c r="F500" s="24">
        <f>IFERROR((D500/D497)-(E500/E497),0)</f>
        <v/>
      </c>
    </row>
    <row r="501" ht="15" customHeight="1" s="47">
      <c r="C501" s="46" t="inlineStr">
        <is>
          <t>Avg Loan Amt for RUM SB</t>
        </is>
      </c>
      <c r="D501" s="51" t="n">
        <v>319758</v>
      </c>
      <c r="E501" s="51" t="n">
        <v>125512</v>
      </c>
      <c r="F501" s="24">
        <f>IFERROR((D501/E501)-1,0)</f>
        <v/>
      </c>
    </row>
    <row r="502" ht="15" customHeight="1" s="47">
      <c r="B502" s="42" t="inlineStr">
        <is>
          <t>Fayetteville, NC</t>
        </is>
      </c>
      <c r="C502" s="46" t="inlineStr">
        <is>
          <t>SB Loans</t>
        </is>
      </c>
      <c r="D502" s="25" t="n">
        <v>1124</v>
      </c>
      <c r="E502" s="25" t="n">
        <v>37939</v>
      </c>
    </row>
    <row r="503" ht="15" customHeight="1" s="47">
      <c r="C503" s="46" t="inlineStr">
        <is>
          <t>#LMICT</t>
        </is>
      </c>
      <c r="D503" s="46" t="n">
        <v>30</v>
      </c>
      <c r="E503" s="25" t="n">
        <v>1466</v>
      </c>
      <c r="F503" s="24">
        <f>IFERROR((D503/D502)-(E503/E502),0)</f>
        <v/>
      </c>
    </row>
    <row r="504" ht="15" customHeight="1" s="47">
      <c r="C504" s="46" t="inlineStr">
        <is>
          <t>Avg SB LMICT Loan Amount</t>
        </is>
      </c>
      <c r="D504" s="51" t="n">
        <v>11833</v>
      </c>
      <c r="E504" s="51" t="n">
        <v>4700</v>
      </c>
      <c r="F504" s="24">
        <f>IFERROR((D504/E504)-1,0)</f>
        <v/>
      </c>
    </row>
    <row r="505" ht="15" customHeight="1" s="47">
      <c r="C505" s="46" t="inlineStr">
        <is>
          <t>Loans Rev Under $1m</t>
        </is>
      </c>
      <c r="D505" s="46" t="n">
        <v>753</v>
      </c>
      <c r="E505" s="25" t="n">
        <v>19483</v>
      </c>
      <c r="F505" s="24">
        <f>IFERROR((D505/D502)-(E505/E502),0)</f>
        <v/>
      </c>
    </row>
    <row r="506" ht="15" customHeight="1" s="47">
      <c r="C506" s="46" t="inlineStr">
        <is>
          <t>Avg Loan Amt for RUM SB</t>
        </is>
      </c>
      <c r="D506" s="51" t="n">
        <v>265222</v>
      </c>
      <c r="E506" s="51" t="n">
        <v>126776</v>
      </c>
      <c r="F506" s="24">
        <f>IFERROR((D506/E506)-1,0)</f>
        <v/>
      </c>
    </row>
    <row r="507" ht="15" customHeight="1" s="47">
      <c r="B507" s="42" t="inlineStr">
        <is>
          <t>Goldsboro, NC</t>
        </is>
      </c>
      <c r="C507" s="46" t="inlineStr">
        <is>
          <t>SB Loans</t>
        </is>
      </c>
      <c r="D507" s="46" t="n">
        <v>119</v>
      </c>
      <c r="E507" s="25" t="n">
        <v>7956</v>
      </c>
    </row>
    <row r="508" ht="15" customHeight="1" s="47">
      <c r="C508" s="46" t="inlineStr">
        <is>
          <t>#LMICT</t>
        </is>
      </c>
      <c r="D508" s="46" t="n">
        <v>10</v>
      </c>
      <c r="E508" s="46" t="n">
        <v>466</v>
      </c>
      <c r="F508" s="24">
        <f>IFERROR((D508/D507)-(E508/E507),0)</f>
        <v/>
      </c>
    </row>
    <row r="509" ht="15" customHeight="1" s="47">
      <c r="C509" s="46" t="inlineStr">
        <is>
          <t>Avg SB LMICT Loan Amount</t>
        </is>
      </c>
      <c r="D509" s="51" t="n">
        <v>5100</v>
      </c>
      <c r="E509" s="51" t="n">
        <v>5457</v>
      </c>
      <c r="F509" s="24">
        <f>IFERROR((D509/E509)-1,0)</f>
        <v/>
      </c>
    </row>
    <row r="510" ht="15" customHeight="1" s="47">
      <c r="C510" s="46" t="inlineStr">
        <is>
          <t>Loans Rev Under $1m</t>
        </is>
      </c>
      <c r="D510" s="46" t="n">
        <v>74</v>
      </c>
      <c r="E510" s="25" t="n">
        <v>3910</v>
      </c>
      <c r="F510" s="24">
        <f>IFERROR((D510/D507)-(E510/E507),0)</f>
        <v/>
      </c>
    </row>
    <row r="511" ht="15" customHeight="1" s="47">
      <c r="C511" s="46" t="inlineStr">
        <is>
          <t>Avg Loan Amt for RUM SB</t>
        </is>
      </c>
      <c r="D511" s="51" t="n">
        <v>50500</v>
      </c>
      <c r="E511" s="51" t="n">
        <v>96941</v>
      </c>
      <c r="F511" s="24">
        <f>IFERROR((D511/E511)-1,0)</f>
        <v/>
      </c>
    </row>
    <row r="512" ht="15" customHeight="1" s="47">
      <c r="B512" s="42" t="inlineStr">
        <is>
          <t>Greensboro-High Point, NC</t>
        </is>
      </c>
      <c r="C512" s="46" t="inlineStr">
        <is>
          <t>SB Loans</t>
        </is>
      </c>
      <c r="D512" s="25" t="n">
        <v>1052</v>
      </c>
      <c r="E512" s="25" t="n">
        <v>77516</v>
      </c>
    </row>
    <row r="513" ht="15" customHeight="1" s="47">
      <c r="C513" s="46" t="inlineStr">
        <is>
          <t>#LMICT</t>
        </is>
      </c>
      <c r="D513" s="46" t="n">
        <v>44</v>
      </c>
      <c r="E513" s="25" t="n">
        <v>3860</v>
      </c>
      <c r="F513" s="24">
        <f>IFERROR((D513/D512)-(E513/E512),0)</f>
        <v/>
      </c>
    </row>
    <row r="514" ht="15" customHeight="1" s="47">
      <c r="C514" s="46" t="inlineStr">
        <is>
          <t>Avg SB LMICT Loan Amount</t>
        </is>
      </c>
      <c r="D514" s="51" t="n">
        <v>6045</v>
      </c>
      <c r="E514" s="51" t="n">
        <v>4692</v>
      </c>
      <c r="F514" s="24">
        <f>IFERROR((D514/E514)-1,0)</f>
        <v/>
      </c>
    </row>
    <row r="515" ht="15" customHeight="1" s="47">
      <c r="C515" s="46" t="inlineStr">
        <is>
          <t>Loans Rev Under $1m</t>
        </is>
      </c>
      <c r="D515" s="46" t="n">
        <v>524</v>
      </c>
      <c r="E515" s="25" t="n">
        <v>38959</v>
      </c>
      <c r="F515" s="24">
        <f>IFERROR((D515/D512)-(E515/E512),0)</f>
        <v/>
      </c>
    </row>
    <row r="516" ht="15" customHeight="1" s="47">
      <c r="C516" s="46" t="inlineStr">
        <is>
          <t>Avg Loan Amt for RUM SB</t>
        </is>
      </c>
      <c r="D516" s="51" t="n">
        <v>163524</v>
      </c>
      <c r="E516" s="51" t="n">
        <v>137551</v>
      </c>
      <c r="F516" s="24">
        <f>IFERROR((D516/E516)-1,0)</f>
        <v/>
      </c>
    </row>
    <row r="517" ht="15" customHeight="1" s="47">
      <c r="B517" s="42" t="inlineStr">
        <is>
          <t>Greenville, NC</t>
        </is>
      </c>
      <c r="C517" s="46" t="inlineStr">
        <is>
          <t>SB Loans</t>
        </is>
      </c>
      <c r="D517" s="46" t="n">
        <v>340</v>
      </c>
      <c r="E517" s="25" t="n">
        <v>15457</v>
      </c>
    </row>
    <row r="518" ht="15" customHeight="1" s="47">
      <c r="C518" s="46" t="inlineStr">
        <is>
          <t>#LMICT</t>
        </is>
      </c>
      <c r="D518" s="46" t="n">
        <v>10</v>
      </c>
      <c r="E518" s="46" t="n">
        <v>536</v>
      </c>
      <c r="F518" s="24">
        <f>IFERROR((D518/D517)-(E518/E517),0)</f>
        <v/>
      </c>
    </row>
    <row r="519" ht="15" customHeight="1" s="47">
      <c r="C519" s="46" t="inlineStr">
        <is>
          <t>Avg SB LMICT Loan Amount</t>
        </is>
      </c>
      <c r="D519" s="51" t="n">
        <v>11900</v>
      </c>
      <c r="E519" s="51" t="n">
        <v>7050</v>
      </c>
      <c r="F519" s="24">
        <f>IFERROR((D519/E519)-1,0)</f>
        <v/>
      </c>
    </row>
    <row r="520" ht="15" customHeight="1" s="47">
      <c r="C520" s="46" t="inlineStr">
        <is>
          <t>Loans Rev Under $1m</t>
        </is>
      </c>
      <c r="D520" s="46" t="n">
        <v>218</v>
      </c>
      <c r="E520" s="25" t="n">
        <v>7705</v>
      </c>
      <c r="F520" s="24">
        <f>IFERROR((D520/D517)-(E520/E517),0)</f>
        <v/>
      </c>
    </row>
    <row r="521" ht="15" customHeight="1" s="47">
      <c r="C521" s="46" t="inlineStr">
        <is>
          <t>Avg Loan Amt for RUM SB</t>
        </is>
      </c>
      <c r="D521" s="51" t="n">
        <v>131800</v>
      </c>
      <c r="E521" s="51" t="n">
        <v>179834</v>
      </c>
      <c r="F521" s="24">
        <f>IFERROR((D521/E521)-1,0)</f>
        <v/>
      </c>
    </row>
    <row r="522" ht="15" customHeight="1" s="47">
      <c r="B522" s="42" t="inlineStr">
        <is>
          <t>Hickory-Lenoir-Morganton, NC</t>
        </is>
      </c>
      <c r="C522" s="46" t="inlineStr">
        <is>
          <t>SB Loans</t>
        </is>
      </c>
      <c r="D522" s="46" t="n">
        <v>387</v>
      </c>
      <c r="E522" s="25" t="n">
        <v>22319</v>
      </c>
    </row>
    <row r="523" ht="15" customHeight="1" s="47">
      <c r="C523" s="46" t="inlineStr">
        <is>
          <t>#LMICT</t>
        </is>
      </c>
      <c r="D523" s="46" t="n">
        <v>20</v>
      </c>
      <c r="E523" s="25" t="n">
        <v>1016</v>
      </c>
      <c r="F523" s="24">
        <f>IFERROR((D523/D522)-(E523/E522),0)</f>
        <v/>
      </c>
    </row>
    <row r="524" ht="15" customHeight="1" s="47">
      <c r="C524" s="46" t="inlineStr">
        <is>
          <t>Avg SB LMICT Loan Amount</t>
        </is>
      </c>
      <c r="D524" s="51" t="n">
        <v>4750</v>
      </c>
      <c r="E524" s="51" t="n">
        <v>4243</v>
      </c>
      <c r="F524" s="24">
        <f>IFERROR((D524/E524)-1,0)</f>
        <v/>
      </c>
    </row>
    <row r="525" ht="15" customHeight="1" s="47">
      <c r="C525" s="46" t="inlineStr">
        <is>
          <t>Loans Rev Under $1m</t>
        </is>
      </c>
      <c r="D525" s="46" t="n">
        <v>194</v>
      </c>
      <c r="E525" s="25" t="n">
        <v>10956</v>
      </c>
      <c r="F525" s="24">
        <f>IFERROR((D525/D522)-(E525/E522),0)</f>
        <v/>
      </c>
    </row>
    <row r="526" ht="15" customHeight="1" s="47">
      <c r="C526" s="46" t="inlineStr">
        <is>
          <t>Avg Loan Amt for RUM SB</t>
        </is>
      </c>
      <c r="D526" s="51" t="n">
        <v>135533</v>
      </c>
      <c r="E526" s="51" t="n">
        <v>113502</v>
      </c>
      <c r="F526" s="24">
        <f>IFERROR((D526/E526)-1,0)</f>
        <v/>
      </c>
    </row>
    <row r="527" ht="15" customHeight="1" s="47">
      <c r="B527" s="42" t="inlineStr">
        <is>
          <t>Jacksonville, NC</t>
        </is>
      </c>
      <c r="C527" s="46" t="inlineStr">
        <is>
          <t>SB Loans</t>
        </is>
      </c>
      <c r="D527" s="46" t="n">
        <v>325</v>
      </c>
      <c r="E527" s="25" t="n">
        <v>13557</v>
      </c>
    </row>
    <row r="528" ht="15" customHeight="1" s="47">
      <c r="C528" s="46" t="inlineStr">
        <is>
          <t>#LMICT</t>
        </is>
      </c>
      <c r="D528" s="46" t="n">
        <v>10</v>
      </c>
      <c r="E528" s="46" t="n">
        <v>546</v>
      </c>
      <c r="F528" s="24">
        <f>IFERROR((D528/D527)-(E528/E527),0)</f>
        <v/>
      </c>
    </row>
    <row r="529" ht="15" customHeight="1" s="47">
      <c r="C529" s="46" t="inlineStr">
        <is>
          <t>Avg SB LMICT Loan Amount</t>
        </is>
      </c>
      <c r="D529" s="51" t="n">
        <v>4900</v>
      </c>
      <c r="E529" s="51" t="n">
        <v>2996</v>
      </c>
      <c r="F529" s="24">
        <f>IFERROR((D529/E529)-1,0)</f>
        <v/>
      </c>
    </row>
    <row r="530" ht="15" customHeight="1" s="47">
      <c r="C530" s="46" t="inlineStr">
        <is>
          <t>Loans Rev Under $1m</t>
        </is>
      </c>
      <c r="D530" s="46" t="n">
        <v>215</v>
      </c>
      <c r="E530" s="25" t="n">
        <v>7259</v>
      </c>
      <c r="F530" s="24">
        <f>IFERROR((D530/D527)-(E530/E527),0)</f>
        <v/>
      </c>
    </row>
    <row r="531" ht="15" customHeight="1" s="47">
      <c r="C531" s="46" t="inlineStr">
        <is>
          <t>Avg Loan Amt for RUM SB</t>
        </is>
      </c>
      <c r="D531" s="51" t="n">
        <v>270167</v>
      </c>
      <c r="E531" s="51" t="n">
        <v>104010</v>
      </c>
      <c r="F531" s="24">
        <f>IFERROR((D531/E531)-1,0)</f>
        <v/>
      </c>
    </row>
    <row r="532" ht="15" customHeight="1" s="47">
      <c r="B532" s="42" t="inlineStr">
        <is>
          <t>Myrtle Beach-Conway-North Myrtle Beach, SC-NC</t>
        </is>
      </c>
      <c r="C532" s="46" t="inlineStr">
        <is>
          <t>SB Loans</t>
        </is>
      </c>
      <c r="D532" s="46" t="n">
        <v>144</v>
      </c>
      <c r="E532" s="25" t="n">
        <v>16742</v>
      </c>
    </row>
    <row r="533" ht="15" customHeight="1" s="47">
      <c r="C533" s="46" t="inlineStr">
        <is>
          <t>#LMICT</t>
        </is>
      </c>
      <c r="D533" s="46" t="n">
        <v>10</v>
      </c>
      <c r="E533" s="46" t="n">
        <v>584</v>
      </c>
      <c r="F533" s="24">
        <f>IFERROR((D533/D532)-(E533/E532),0)</f>
        <v/>
      </c>
    </row>
    <row r="534" ht="15" customHeight="1" s="47">
      <c r="C534" s="46" t="inlineStr">
        <is>
          <t>Avg SB LMICT Loan Amount</t>
        </is>
      </c>
      <c r="D534" s="51" t="n">
        <v>1600</v>
      </c>
      <c r="E534" s="51" t="n">
        <v>3860</v>
      </c>
      <c r="F534" s="24">
        <f>IFERROR((D534/E534)-1,0)</f>
        <v/>
      </c>
    </row>
    <row r="535" ht="15" customHeight="1" s="47">
      <c r="C535" s="46" t="inlineStr">
        <is>
          <t>Loans Rev Under $1m</t>
        </is>
      </c>
      <c r="D535" s="46" t="n">
        <v>94</v>
      </c>
      <c r="E535" s="25" t="n">
        <v>9037</v>
      </c>
      <c r="F535" s="24">
        <f>IFERROR((D535/D532)-(E535/E532),0)</f>
        <v/>
      </c>
    </row>
    <row r="536" ht="15" customHeight="1" s="47">
      <c r="C536" s="46" t="inlineStr">
        <is>
          <t>Avg Loan Amt for RUM SB</t>
        </is>
      </c>
      <c r="D536" s="51" t="n">
        <v>183867</v>
      </c>
      <c r="E536" s="51" t="n">
        <v>132737</v>
      </c>
      <c r="F536" s="24">
        <f>IFERROR((D536/E536)-1,0)</f>
        <v/>
      </c>
    </row>
    <row r="537" ht="15" customHeight="1" s="47">
      <c r="B537" s="42" t="inlineStr">
        <is>
          <t>New Bern, NC</t>
        </is>
      </c>
      <c r="C537" s="46" t="inlineStr">
        <is>
          <t>SB Loans</t>
        </is>
      </c>
      <c r="D537" s="46" t="n">
        <v>73</v>
      </c>
      <c r="E537" s="25" t="n">
        <v>8401</v>
      </c>
    </row>
    <row r="538" ht="15" customHeight="1" s="47">
      <c r="C538" s="46" t="inlineStr">
        <is>
          <t>#LMICT</t>
        </is>
      </c>
      <c r="D538" s="46" t="n">
        <v>10</v>
      </c>
      <c r="E538" s="46" t="n">
        <v>454</v>
      </c>
      <c r="F538" s="24">
        <f>IFERROR((D538/D537)-(E538/E537),0)</f>
        <v/>
      </c>
    </row>
    <row r="539" ht="15" customHeight="1" s="47">
      <c r="C539" s="46" t="inlineStr">
        <is>
          <t>Avg SB LMICT Loan Amount</t>
        </is>
      </c>
      <c r="D539" s="51" t="n">
        <v>900</v>
      </c>
      <c r="E539" s="51" t="n">
        <v>3075</v>
      </c>
      <c r="F539" s="24">
        <f>IFERROR((D539/E539)-1,0)</f>
        <v/>
      </c>
    </row>
    <row r="540" ht="15" customHeight="1" s="47">
      <c r="C540" s="46" t="inlineStr">
        <is>
          <t>Loans Rev Under $1m</t>
        </is>
      </c>
      <c r="D540" s="46" t="n">
        <v>51</v>
      </c>
      <c r="E540" s="25" t="n">
        <v>4570</v>
      </c>
      <c r="F540" s="24">
        <f>IFERROR((D540/D537)-(E540/E537),0)</f>
        <v/>
      </c>
    </row>
    <row r="541" ht="15" customHeight="1" s="47">
      <c r="C541" s="46" t="inlineStr">
        <is>
          <t>Avg Loan Amt for RUM SB</t>
        </is>
      </c>
      <c r="D541" s="51" t="n">
        <v>47900</v>
      </c>
      <c r="E541" s="51" t="n">
        <v>109936</v>
      </c>
      <c r="F541" s="24">
        <f>IFERROR((D541/E541)-1,0)</f>
        <v/>
      </c>
    </row>
    <row r="542" ht="15" customHeight="1" s="47">
      <c r="B542" s="42" t="inlineStr">
        <is>
          <t>North Carolina Non-MSA</t>
        </is>
      </c>
      <c r="C542" s="46" t="inlineStr">
        <is>
          <t>SB Loans</t>
        </is>
      </c>
      <c r="D542" s="25" t="n">
        <v>3145</v>
      </c>
      <c r="E542" s="25" t="n">
        <v>120629</v>
      </c>
    </row>
    <row r="543" ht="15" customHeight="1" s="47">
      <c r="C543" s="46" t="inlineStr">
        <is>
          <t>#LMICT</t>
        </is>
      </c>
      <c r="D543" s="46" t="n">
        <v>280</v>
      </c>
      <c r="E543" s="25" t="n">
        <v>10040</v>
      </c>
      <c r="F543" s="24">
        <f>IFERROR((D543/D542)-(E543/E542),0)</f>
        <v/>
      </c>
    </row>
    <row r="544" ht="15" customHeight="1" s="47">
      <c r="C544" s="46" t="inlineStr">
        <is>
          <t>Avg SB LMICT Loan Amount</t>
        </is>
      </c>
      <c r="D544" s="51" t="n">
        <v>2700</v>
      </c>
      <c r="E544" s="51" t="n">
        <v>1987</v>
      </c>
      <c r="F544" s="24">
        <f>IFERROR((D544/E544)-1,0)</f>
        <v/>
      </c>
    </row>
    <row r="545" ht="15" customHeight="1" s="47">
      <c r="C545" s="46" t="inlineStr">
        <is>
          <t>Loans Rev Under $1m</t>
        </is>
      </c>
      <c r="D545" s="25" t="n">
        <v>2016</v>
      </c>
      <c r="E545" s="25" t="n">
        <v>62722</v>
      </c>
      <c r="F545" s="24">
        <f>IFERROR((D545/D542)-(E545/E542),0)</f>
        <v/>
      </c>
    </row>
    <row r="546" ht="15" customHeight="1" s="47">
      <c r="C546" s="46" t="inlineStr">
        <is>
          <t>Avg Loan Amt for RUM SB</t>
        </is>
      </c>
      <c r="D546" s="51" t="n">
        <v>79092</v>
      </c>
      <c r="E546" s="51" t="n">
        <v>65244</v>
      </c>
      <c r="F546" s="24">
        <f>IFERROR((D546/E546)-1,0)</f>
        <v/>
      </c>
    </row>
    <row r="547" ht="15" customHeight="1" s="47">
      <c r="B547" s="42" t="inlineStr">
        <is>
          <t>Raleigh-Cary, NC</t>
        </is>
      </c>
      <c r="C547" s="46" t="inlineStr">
        <is>
          <t>SB Loans</t>
        </is>
      </c>
      <c r="D547" s="25" t="n">
        <v>3802</v>
      </c>
      <c r="E547" s="25" t="n">
        <v>184291</v>
      </c>
    </row>
    <row r="548" ht="15" customHeight="1" s="47">
      <c r="C548" s="46" t="inlineStr">
        <is>
          <t>#LMICT</t>
        </is>
      </c>
      <c r="D548" s="46" t="n">
        <v>44</v>
      </c>
      <c r="E548" s="25" t="n">
        <v>5206</v>
      </c>
      <c r="F548" s="24">
        <f>IFERROR((D548/D547)-(E548/E547),0)</f>
        <v/>
      </c>
    </row>
    <row r="549" ht="15" customHeight="1" s="47">
      <c r="C549" s="46" t="inlineStr">
        <is>
          <t>Avg SB LMICT Loan Amount</t>
        </is>
      </c>
      <c r="D549" s="51" t="n">
        <v>20114</v>
      </c>
      <c r="E549" s="51" t="n">
        <v>7860</v>
      </c>
      <c r="F549" s="24">
        <f>IFERROR((D549/E549)-1,0)</f>
        <v/>
      </c>
    </row>
    <row r="550" ht="15" customHeight="1" s="47">
      <c r="C550" s="46" t="inlineStr">
        <is>
          <t>Loans Rev Under $1m</t>
        </is>
      </c>
      <c r="D550" s="25" t="n">
        <v>2019</v>
      </c>
      <c r="E550" s="25" t="n">
        <v>92379</v>
      </c>
      <c r="F550" s="24">
        <f>IFERROR((D550/D547)-(E550/E547),0)</f>
        <v/>
      </c>
    </row>
    <row r="551" ht="15" customHeight="1" s="47">
      <c r="C551" s="46" t="inlineStr">
        <is>
          <t>Avg Loan Amt for RUM SB</t>
        </is>
      </c>
      <c r="D551" s="51" t="n">
        <v>603305</v>
      </c>
      <c r="E551" s="51" t="n">
        <v>224441</v>
      </c>
      <c r="F551" s="24">
        <f>IFERROR((D551/E551)-1,0)</f>
        <v/>
      </c>
    </row>
    <row r="552" ht="15" customHeight="1" s="47">
      <c r="B552" s="42" t="inlineStr">
        <is>
          <t>Rocky Mount, NC</t>
        </is>
      </c>
      <c r="C552" s="46" t="inlineStr">
        <is>
          <t>SB Loans</t>
        </is>
      </c>
      <c r="D552" s="46" t="n">
        <v>475</v>
      </c>
      <c r="E552" s="25" t="n">
        <v>10181</v>
      </c>
    </row>
    <row r="553" ht="15" customHeight="1" s="47">
      <c r="C553" s="46" t="inlineStr">
        <is>
          <t>#LMICT</t>
        </is>
      </c>
      <c r="D553" s="46" t="n">
        <v>20</v>
      </c>
      <c r="E553" s="46" t="n">
        <v>828</v>
      </c>
      <c r="F553" s="24">
        <f>IFERROR((D553/D552)-(E553/E552),0)</f>
        <v/>
      </c>
    </row>
    <row r="554" ht="15" customHeight="1" s="47">
      <c r="C554" s="46" t="inlineStr">
        <is>
          <t>Avg SB LMICT Loan Amount</t>
        </is>
      </c>
      <c r="D554" s="51" t="n">
        <v>3150</v>
      </c>
      <c r="E554" s="51" t="n">
        <v>1810</v>
      </c>
      <c r="F554" s="24">
        <f>IFERROR((D554/E554)-1,0)</f>
        <v/>
      </c>
    </row>
    <row r="555" ht="15" customHeight="1" s="47">
      <c r="C555" s="46" t="inlineStr">
        <is>
          <t>Loans Rev Under $1m</t>
        </is>
      </c>
      <c r="D555" s="46" t="n">
        <v>332</v>
      </c>
      <c r="E555" s="25" t="n">
        <v>4714</v>
      </c>
      <c r="F555" s="24">
        <f>IFERROR((D555/D552)-(E555/E552),0)</f>
        <v/>
      </c>
    </row>
    <row r="556" ht="15" customHeight="1" s="47">
      <c r="C556" s="46" t="inlineStr">
        <is>
          <t>Avg Loan Amt for RUM SB</t>
        </is>
      </c>
      <c r="D556" s="51" t="n">
        <v>168233</v>
      </c>
      <c r="E556" s="51" t="n">
        <v>46795</v>
      </c>
      <c r="F556" s="24">
        <f>IFERROR((D556/E556)-1,0)</f>
        <v/>
      </c>
    </row>
    <row r="557" ht="15" customHeight="1" s="47">
      <c r="B557" s="42" t="inlineStr">
        <is>
          <t>Virginia Beach-Norfolk-Newport News, VA-NC</t>
        </is>
      </c>
      <c r="C557" s="46" t="inlineStr">
        <is>
          <t>SB Loans</t>
        </is>
      </c>
      <c r="D557" s="46" t="n">
        <v>83</v>
      </c>
      <c r="E557" s="25" t="n">
        <v>3859</v>
      </c>
    </row>
    <row r="558" ht="15" customHeight="1" s="47">
      <c r="C558" s="46" t="inlineStr">
        <is>
          <t>#LMICT</t>
        </is>
      </c>
      <c r="D558" s="46" t="n">
        <v>10</v>
      </c>
      <c r="E558" s="46" t="n">
        <v>358</v>
      </c>
      <c r="F558" s="24">
        <f>IFERROR((D558/D557)-(E558/E557),0)</f>
        <v/>
      </c>
    </row>
    <row r="559" ht="15" customHeight="1" s="47">
      <c r="C559" s="46" t="inlineStr">
        <is>
          <t>Avg SB LMICT Loan Amount</t>
        </is>
      </c>
      <c r="D559" s="51" t="n">
        <v>2300</v>
      </c>
      <c r="E559" s="51" t="n">
        <v>1858</v>
      </c>
      <c r="F559" s="24">
        <f>IFERROR((D559/E559)-1,0)</f>
        <v/>
      </c>
    </row>
    <row r="560" ht="15" customHeight="1" s="47">
      <c r="C560" s="46" t="inlineStr">
        <is>
          <t>Loans Rev Under $1m</t>
        </is>
      </c>
      <c r="D560" s="46" t="n">
        <v>66</v>
      </c>
      <c r="E560" s="25" t="n">
        <v>2074</v>
      </c>
      <c r="F560" s="24">
        <f>IFERROR((D560/D557)-(E560/E557),0)</f>
        <v/>
      </c>
    </row>
    <row r="561" ht="15" customHeight="1" s="47">
      <c r="C561" s="46" t="inlineStr">
        <is>
          <t>Avg Loan Amt for RUM SB</t>
        </is>
      </c>
      <c r="D561" s="51" t="n">
        <v>40700</v>
      </c>
      <c r="E561" s="51" t="n">
        <v>49688</v>
      </c>
      <c r="F561" s="24">
        <f>IFERROR((D561/E561)-1,0)</f>
        <v/>
      </c>
    </row>
    <row r="562" ht="15" customHeight="1" s="47">
      <c r="B562" s="42" t="inlineStr">
        <is>
          <t>Wilmington, NC</t>
        </is>
      </c>
      <c r="C562" s="46" t="inlineStr">
        <is>
          <t>SB Loans</t>
        </is>
      </c>
      <c r="D562" s="25" t="n">
        <v>1149</v>
      </c>
      <c r="E562" s="25" t="n">
        <v>46641</v>
      </c>
    </row>
    <row r="563" ht="15" customHeight="1" s="47">
      <c r="C563" s="46" t="inlineStr">
        <is>
          <t>#LMICT</t>
        </is>
      </c>
      <c r="D563" s="46" t="n">
        <v>20</v>
      </c>
      <c r="E563" s="25" t="n">
        <v>1216</v>
      </c>
      <c r="F563" s="24">
        <f>IFERROR((D563/D562)-(E563/E562),0)</f>
        <v/>
      </c>
    </row>
    <row r="564" ht="15" customHeight="1" s="47">
      <c r="C564" s="46" t="inlineStr">
        <is>
          <t>Avg SB LMICT Loan Amount</t>
        </is>
      </c>
      <c r="D564" s="51" t="n">
        <v>18800</v>
      </c>
      <c r="E564" s="51" t="n">
        <v>10154</v>
      </c>
      <c r="F564" s="24">
        <f>IFERROR((D564/E564)-1,0)</f>
        <v/>
      </c>
    </row>
    <row r="565" ht="15" customHeight="1" s="47">
      <c r="C565" s="46" t="inlineStr">
        <is>
          <t>Loans Rev Under $1m</t>
        </is>
      </c>
      <c r="D565" s="46" t="n">
        <v>766</v>
      </c>
      <c r="E565" s="25" t="n">
        <v>23402</v>
      </c>
      <c r="F565" s="24">
        <f>IFERROR((D565/D562)-(E565/E562),0)</f>
        <v/>
      </c>
    </row>
    <row r="566" ht="15" customHeight="1" s="47">
      <c r="C566" s="46" t="inlineStr">
        <is>
          <t>Avg Loan Amt for RUM SB</t>
        </is>
      </c>
      <c r="D566" s="51" t="n">
        <v>337750</v>
      </c>
      <c r="E566" s="51" t="n">
        <v>195987</v>
      </c>
      <c r="F566" s="24">
        <f>IFERROR((D566/E566)-1,0)</f>
        <v/>
      </c>
    </row>
    <row r="567" ht="15" customHeight="1" s="47">
      <c r="B567" s="42" t="inlineStr">
        <is>
          <t>Winston-Salem, NC</t>
        </is>
      </c>
      <c r="C567" s="46" t="inlineStr">
        <is>
          <t>SB Loans</t>
        </is>
      </c>
      <c r="D567" s="46" t="n">
        <v>427</v>
      </c>
      <c r="E567" s="25" t="n">
        <v>38375</v>
      </c>
    </row>
    <row r="568" ht="15" customHeight="1" s="47">
      <c r="C568" s="46" t="inlineStr">
        <is>
          <t>#LMICT</t>
        </is>
      </c>
      <c r="D568" s="46" t="n">
        <v>10</v>
      </c>
      <c r="E568" s="46" t="n">
        <v>754</v>
      </c>
      <c r="F568" s="24">
        <f>IFERROR((D568/D567)-(E568/E567),0)</f>
        <v/>
      </c>
    </row>
    <row r="569" ht="15" customHeight="1" s="47">
      <c r="C569" s="46" t="inlineStr">
        <is>
          <t>Avg SB LMICT Loan Amount</t>
        </is>
      </c>
      <c r="D569" s="51" t="n">
        <v>10900</v>
      </c>
      <c r="E569" s="51" t="n">
        <v>10285</v>
      </c>
      <c r="F569" s="24">
        <f>IFERROR((D569/E569)-1,0)</f>
        <v/>
      </c>
    </row>
    <row r="570" ht="15" customHeight="1" s="47">
      <c r="C570" s="46" t="inlineStr">
        <is>
          <t>Loans Rev Under $1m</t>
        </is>
      </c>
      <c r="D570" s="46" t="n">
        <v>236</v>
      </c>
      <c r="E570" s="25" t="n">
        <v>19412</v>
      </c>
      <c r="F570" s="24">
        <f>IFERROR((D570/D567)-(E570/E567),0)</f>
        <v/>
      </c>
    </row>
    <row r="571" ht="15" customHeight="1" s="47">
      <c r="C571" s="46" t="inlineStr">
        <is>
          <t>Avg Loan Amt for RUM SB</t>
        </is>
      </c>
      <c r="D571" s="51" t="n">
        <v>264367</v>
      </c>
      <c r="E571" s="51" t="n">
        <v>277159</v>
      </c>
      <c r="F571" s="24">
        <f>IFERROR((D571/E571)-1,0)</f>
        <v/>
      </c>
    </row>
    <row r="572" ht="15" customHeight="1" s="47">
      <c r="A572" s="46" t="inlineStr">
        <is>
          <t>Ohio</t>
        </is>
      </c>
      <c r="B572" s="42" t="inlineStr">
        <is>
          <t>Akron, OH</t>
        </is>
      </c>
      <c r="C572" s="46" t="inlineStr">
        <is>
          <t>SB Loans</t>
        </is>
      </c>
      <c r="D572" s="25" t="n">
        <v>5123</v>
      </c>
      <c r="E572" s="25" t="n">
        <v>65017</v>
      </c>
    </row>
    <row r="573" ht="15" customHeight="1" s="47">
      <c r="C573" s="46" t="inlineStr">
        <is>
          <t>#LMICT</t>
        </is>
      </c>
      <c r="D573" s="46" t="n">
        <v>44</v>
      </c>
      <c r="E573" s="25" t="n">
        <v>3786</v>
      </c>
      <c r="F573" s="24">
        <f>IFERROR((D573/D572)-(E573/E572),0)</f>
        <v/>
      </c>
    </row>
    <row r="574" ht="15" customHeight="1" s="47">
      <c r="C574" s="46" t="inlineStr">
        <is>
          <t>Avg SB LMICT Loan Amount</t>
        </is>
      </c>
      <c r="D574" s="51" t="n">
        <v>21818</v>
      </c>
      <c r="E574" s="51" t="n">
        <v>3297</v>
      </c>
      <c r="F574" s="24">
        <f>IFERROR((D574/E574)-1,0)</f>
        <v/>
      </c>
    </row>
    <row r="575" ht="15" customHeight="1" s="47">
      <c r="C575" s="46" t="inlineStr">
        <is>
          <t>Loans Rev Under $1m</t>
        </is>
      </c>
      <c r="D575" s="25" t="n">
        <v>2632</v>
      </c>
      <c r="E575" s="25" t="n">
        <v>32026</v>
      </c>
      <c r="F575" s="24">
        <f>IFERROR((D575/D572)-(E575/E572),0)</f>
        <v/>
      </c>
    </row>
    <row r="576" ht="15" customHeight="1" s="47">
      <c r="C576" s="46" t="inlineStr">
        <is>
          <t>Avg Loan Amt for RUM SB</t>
        </is>
      </c>
      <c r="D576" s="51" t="n">
        <v>1213486</v>
      </c>
      <c r="E576" s="51" t="n">
        <v>101183</v>
      </c>
      <c r="F576" s="24">
        <f>IFERROR((D576/E576)-1,0)</f>
        <v/>
      </c>
    </row>
    <row r="577" ht="15" customHeight="1" s="47">
      <c r="B577" s="42" t="inlineStr">
        <is>
          <t>Canton-Massillon, OH</t>
        </is>
      </c>
      <c r="C577" s="46" t="inlineStr">
        <is>
          <t>SB Loans</t>
        </is>
      </c>
      <c r="D577" s="25" t="n">
        <v>1567</v>
      </c>
      <c r="E577" s="25" t="n">
        <v>32148</v>
      </c>
    </row>
    <row r="578" ht="15" customHeight="1" s="47">
      <c r="C578" s="46" t="inlineStr">
        <is>
          <t>#LMICT</t>
        </is>
      </c>
      <c r="D578" s="46" t="n">
        <v>20</v>
      </c>
      <c r="E578" s="25" t="n">
        <v>1008</v>
      </c>
      <c r="F578" s="24">
        <f>IFERROR((D578/D577)-(E578/E577),0)</f>
        <v/>
      </c>
    </row>
    <row r="579" ht="15" customHeight="1" s="47">
      <c r="C579" s="46" t="inlineStr">
        <is>
          <t>Avg SB LMICT Loan Amount</t>
        </is>
      </c>
      <c r="D579" s="51" t="n">
        <v>10500</v>
      </c>
      <c r="E579" s="51" t="n">
        <v>3630</v>
      </c>
      <c r="F579" s="24">
        <f>IFERROR((D579/E579)-1,0)</f>
        <v/>
      </c>
    </row>
    <row r="580" ht="15" customHeight="1" s="47">
      <c r="C580" s="46" t="inlineStr">
        <is>
          <t>Loans Rev Under $1m</t>
        </is>
      </c>
      <c r="D580" s="46" t="n">
        <v>795</v>
      </c>
      <c r="E580" s="25" t="n">
        <v>15163</v>
      </c>
      <c r="F580" s="24">
        <f>IFERROR((D580/D577)-(E580/E577),0)</f>
        <v/>
      </c>
    </row>
    <row r="581" ht="15" customHeight="1" s="47">
      <c r="C581" s="46" t="inlineStr">
        <is>
          <t>Avg Loan Amt for RUM SB</t>
        </is>
      </c>
      <c r="D581" s="51" t="n">
        <v>630183</v>
      </c>
      <c r="E581" s="51" t="n">
        <v>134340</v>
      </c>
      <c r="F581" s="24">
        <f>IFERROR((D581/E581)-1,0)</f>
        <v/>
      </c>
    </row>
    <row r="582" ht="15" customHeight="1" s="47">
      <c r="B582" s="42" t="inlineStr">
        <is>
          <t>Cincinnati, OH-KY-IN</t>
        </is>
      </c>
      <c r="C582" s="46" t="inlineStr">
        <is>
          <t>SB Loans</t>
        </is>
      </c>
      <c r="D582" s="25" t="n">
        <v>11999</v>
      </c>
      <c r="E582" s="25" t="n">
        <v>157950</v>
      </c>
    </row>
    <row r="583" ht="15" customHeight="1" s="47">
      <c r="C583" s="46" t="inlineStr">
        <is>
          <t>#LMICT</t>
        </is>
      </c>
      <c r="D583" s="46" t="n">
        <v>64</v>
      </c>
      <c r="E583" s="25" t="n">
        <v>5862</v>
      </c>
      <c r="F583" s="24">
        <f>IFERROR((D583/D582)-(E583/E582),0)</f>
        <v/>
      </c>
    </row>
    <row r="584" ht="15" customHeight="1" s="47">
      <c r="C584" s="46" t="inlineStr">
        <is>
          <t>Avg SB LMICT Loan Amount</t>
        </is>
      </c>
      <c r="D584" s="51" t="n">
        <v>40422</v>
      </c>
      <c r="E584" s="51" t="n">
        <v>5748</v>
      </c>
      <c r="F584" s="24">
        <f>IFERROR((D584/E584)-1,0)</f>
        <v/>
      </c>
    </row>
    <row r="585" ht="15" customHeight="1" s="47">
      <c r="C585" s="46" t="inlineStr">
        <is>
          <t>Loans Rev Under $1m</t>
        </is>
      </c>
      <c r="D585" s="25" t="n">
        <v>6587</v>
      </c>
      <c r="E585" s="25" t="n">
        <v>78322</v>
      </c>
      <c r="F585" s="24">
        <f>IFERROR((D585/D582)-(E585/E582),0)</f>
        <v/>
      </c>
    </row>
    <row r="586" ht="15" customHeight="1" s="47">
      <c r="C586" s="46" t="inlineStr">
        <is>
          <t>Avg Loan Amt for RUM SB</t>
        </is>
      </c>
      <c r="D586" s="51" t="n">
        <v>1401527</v>
      </c>
      <c r="E586" s="51" t="n">
        <v>156324</v>
      </c>
      <c r="F586" s="24">
        <f>IFERROR((D586/E586)-1,0)</f>
        <v/>
      </c>
    </row>
    <row r="587" ht="15" customHeight="1" s="47">
      <c r="B587" s="42" t="inlineStr">
        <is>
          <t>Cleveland-Elyria, OH</t>
        </is>
      </c>
      <c r="C587" s="46" t="inlineStr">
        <is>
          <t>SB Loans</t>
        </is>
      </c>
      <c r="D587" s="25" t="n">
        <v>15877</v>
      </c>
      <c r="E587" s="25" t="n">
        <v>210783</v>
      </c>
    </row>
    <row r="588" ht="15" customHeight="1" s="47">
      <c r="C588" s="46" t="inlineStr">
        <is>
          <t>#LMICT</t>
        </is>
      </c>
      <c r="D588" s="46" t="n">
        <v>74</v>
      </c>
      <c r="E588" s="25" t="n">
        <v>6836</v>
      </c>
      <c r="F588" s="24">
        <f>IFERROR((D588/D587)-(E588/E587),0)</f>
        <v/>
      </c>
    </row>
    <row r="589" ht="15" customHeight="1" s="47">
      <c r="C589" s="46" t="inlineStr">
        <is>
          <t>Avg SB LMICT Loan Amount</t>
        </is>
      </c>
      <c r="D589" s="51" t="n">
        <v>41405</v>
      </c>
      <c r="E589" s="51" t="n">
        <v>6179</v>
      </c>
      <c r="F589" s="24">
        <f>IFERROR((D589/E589)-1,0)</f>
        <v/>
      </c>
    </row>
    <row r="590" ht="15" customHeight="1" s="47">
      <c r="C590" s="46" t="inlineStr">
        <is>
          <t>Loans Rev Under $1m</t>
        </is>
      </c>
      <c r="D590" s="25" t="n">
        <v>8066</v>
      </c>
      <c r="E590" s="25" t="n">
        <v>106241</v>
      </c>
      <c r="F590" s="24">
        <f>IFERROR((D590/D587)-(E590/E587),0)</f>
        <v/>
      </c>
    </row>
    <row r="591" ht="15" customHeight="1" s="47">
      <c r="C591" s="46" t="inlineStr">
        <is>
          <t>Avg Loan Amt for RUM SB</t>
        </is>
      </c>
      <c r="D591" s="51" t="n">
        <v>1610872</v>
      </c>
      <c r="E591" s="51" t="n">
        <v>170495</v>
      </c>
      <c r="F591" s="24">
        <f>IFERROR((D591/E591)-1,0)</f>
        <v/>
      </c>
    </row>
    <row r="592" ht="15" customHeight="1" s="47">
      <c r="B592" s="42" t="inlineStr">
        <is>
          <t>Columbus, OH</t>
        </is>
      </c>
      <c r="C592" s="46" t="inlineStr">
        <is>
          <t>SB Loans</t>
        </is>
      </c>
      <c r="D592" s="25" t="n">
        <v>15641</v>
      </c>
      <c r="E592" s="25" t="n">
        <v>192973</v>
      </c>
    </row>
    <row r="593" ht="15" customHeight="1" s="47">
      <c r="C593" s="46" t="inlineStr">
        <is>
          <t>#LMICT</t>
        </is>
      </c>
      <c r="D593" s="46" t="n">
        <v>114</v>
      </c>
      <c r="E593" s="25" t="n">
        <v>8227</v>
      </c>
      <c r="F593" s="24">
        <f>IFERROR((D593/D592)-(E593/E592),0)</f>
        <v/>
      </c>
    </row>
    <row r="594" ht="15" customHeight="1" s="47">
      <c r="C594" s="46" t="inlineStr">
        <is>
          <t>Avg SB LMICT Loan Amount</t>
        </is>
      </c>
      <c r="D594" s="51" t="n">
        <v>18807</v>
      </c>
      <c r="E594" s="51" t="n">
        <v>4778</v>
      </c>
      <c r="F594" s="24">
        <f>IFERROR((D594/E594)-1,0)</f>
        <v/>
      </c>
    </row>
    <row r="595" ht="15" customHeight="1" s="47">
      <c r="C595" s="46" t="inlineStr">
        <is>
          <t>Loans Rev Under $1m</t>
        </is>
      </c>
      <c r="D595" s="25" t="n">
        <v>5498</v>
      </c>
      <c r="E595" s="25" t="n">
        <v>98637</v>
      </c>
      <c r="F595" s="24">
        <f>IFERROR((D595/D592)-(E595/E592),0)</f>
        <v/>
      </c>
    </row>
    <row r="596" ht="15" customHeight="1" s="47">
      <c r="C596" s="46" t="inlineStr">
        <is>
          <t>Avg Loan Amt for RUM SB</t>
        </is>
      </c>
      <c r="D596" s="51" t="n">
        <v>585825</v>
      </c>
      <c r="E596" s="51" t="n">
        <v>123848</v>
      </c>
      <c r="F596" s="24">
        <f>IFERROR((D596/E596)-1,0)</f>
        <v/>
      </c>
    </row>
    <row r="597" ht="15" customHeight="1" s="47">
      <c r="B597" s="42" t="inlineStr">
        <is>
          <t>Dayton-Kettering, OH</t>
        </is>
      </c>
      <c r="C597" s="46" t="inlineStr">
        <is>
          <t>SB Loans</t>
        </is>
      </c>
      <c r="D597" s="25" t="n">
        <v>5197</v>
      </c>
      <c r="E597" s="25" t="n">
        <v>59111</v>
      </c>
    </row>
    <row r="598" ht="15" customHeight="1" s="47">
      <c r="C598" s="46" t="inlineStr">
        <is>
          <t>#LMICT</t>
        </is>
      </c>
      <c r="D598" s="46" t="n">
        <v>54</v>
      </c>
      <c r="E598" s="25" t="n">
        <v>4058</v>
      </c>
      <c r="F598" s="24">
        <f>IFERROR((D598/D597)-(E598/E597),0)</f>
        <v/>
      </c>
    </row>
    <row r="599" ht="15" customHeight="1" s="47">
      <c r="C599" s="46" t="inlineStr">
        <is>
          <t>Avg SB LMICT Loan Amount</t>
        </is>
      </c>
      <c r="D599" s="51" t="n">
        <v>21648</v>
      </c>
      <c r="E599" s="51" t="n">
        <v>3022</v>
      </c>
      <c r="F599" s="24">
        <f>IFERROR((D599/E599)-1,0)</f>
        <v/>
      </c>
    </row>
    <row r="600" ht="15" customHeight="1" s="47">
      <c r="C600" s="46" t="inlineStr">
        <is>
          <t>Loans Rev Under $1m</t>
        </is>
      </c>
      <c r="D600" s="25" t="n">
        <v>2426</v>
      </c>
      <c r="E600" s="25" t="n">
        <v>29673</v>
      </c>
      <c r="F600" s="24">
        <f>IFERROR((D600/D597)-(E600/E597),0)</f>
        <v/>
      </c>
    </row>
    <row r="601" ht="15" customHeight="1" s="47">
      <c r="C601" s="46" t="inlineStr">
        <is>
          <t>Avg Loan Amt for RUM SB</t>
        </is>
      </c>
      <c r="D601" s="51" t="n">
        <v>861244</v>
      </c>
      <c r="E601" s="51" t="n">
        <v>78871</v>
      </c>
      <c r="F601" s="24">
        <f>IFERROR((D601/E601)-1,0)</f>
        <v/>
      </c>
    </row>
    <row r="602" ht="15" customHeight="1" s="47">
      <c r="B602" s="42" t="inlineStr">
        <is>
          <t>Huntington-Ashland, WV-KY-OH</t>
        </is>
      </c>
      <c r="C602" s="46" t="inlineStr">
        <is>
          <t>SB Loans</t>
        </is>
      </c>
      <c r="D602" s="46" t="n">
        <v>194</v>
      </c>
      <c r="E602" s="25" t="n">
        <v>2767</v>
      </c>
    </row>
    <row r="603" ht="15" customHeight="1" s="47">
      <c r="C603" s="46" t="inlineStr">
        <is>
          <t>#LMICT</t>
        </is>
      </c>
      <c r="D603" s="46" t="n">
        <v>10</v>
      </c>
      <c r="E603" s="46" t="n">
        <v>320</v>
      </c>
      <c r="F603" s="24">
        <f>IFERROR((D603/D602)-(E603/E602),0)</f>
        <v/>
      </c>
    </row>
    <row r="604" ht="15" customHeight="1" s="47">
      <c r="C604" s="46" t="inlineStr">
        <is>
          <t>Avg SB LMICT Loan Amount</t>
        </is>
      </c>
      <c r="D604" s="51" t="n">
        <v>3200</v>
      </c>
      <c r="E604" s="51" t="n">
        <v>822</v>
      </c>
      <c r="F604" s="24">
        <f>IFERROR((D604/E604)-1,0)</f>
        <v/>
      </c>
    </row>
    <row r="605" ht="15" customHeight="1" s="47">
      <c r="C605" s="46" t="inlineStr">
        <is>
          <t>Loans Rev Under $1m</t>
        </is>
      </c>
      <c r="D605" s="46" t="n">
        <v>101</v>
      </c>
      <c r="E605" s="25" t="n">
        <v>1417</v>
      </c>
      <c r="F605" s="24">
        <f>IFERROR((D605/D602)-(E605/E602),0)</f>
        <v/>
      </c>
    </row>
    <row r="606" ht="15" customHeight="1" s="47">
      <c r="C606" s="46" t="inlineStr">
        <is>
          <t>Avg Loan Amt for RUM SB</t>
        </is>
      </c>
      <c r="D606" s="51" t="n">
        <v>103033</v>
      </c>
      <c r="E606" s="51" t="n">
        <v>35711</v>
      </c>
      <c r="F606" s="24">
        <f>IFERROR((D606/E606)-1,0)</f>
        <v/>
      </c>
    </row>
    <row r="607" ht="15" customHeight="1" s="47">
      <c r="B607" s="42" t="inlineStr">
        <is>
          <t>Mansfield, OH</t>
        </is>
      </c>
      <c r="C607" s="46" t="inlineStr">
        <is>
          <t>SB Loans</t>
        </is>
      </c>
      <c r="D607" s="46" t="n">
        <v>121</v>
      </c>
      <c r="E607" s="25" t="n">
        <v>8615</v>
      </c>
    </row>
    <row r="608" ht="15" customHeight="1" s="47">
      <c r="C608" s="46" t="inlineStr">
        <is>
          <t>#LMICT</t>
        </is>
      </c>
      <c r="D608" s="46" t="n">
        <v>10</v>
      </c>
      <c r="E608" s="46" t="n">
        <v>510</v>
      </c>
      <c r="F608" s="24">
        <f>IFERROR((D608/D607)-(E608/E607),0)</f>
        <v/>
      </c>
    </row>
    <row r="609" ht="15" customHeight="1" s="47">
      <c r="C609" s="46" t="inlineStr">
        <is>
          <t>Avg SB LMICT Loan Amount</t>
        </is>
      </c>
      <c r="D609" s="51" t="n">
        <v>3200</v>
      </c>
      <c r="E609" s="51" t="n">
        <v>3702</v>
      </c>
      <c r="F609" s="24">
        <f>IFERROR((D609/E609)-1,0)</f>
        <v/>
      </c>
    </row>
    <row r="610" ht="15" customHeight="1" s="47">
      <c r="C610" s="46" t="inlineStr">
        <is>
          <t>Loans Rev Under $1m</t>
        </is>
      </c>
      <c r="D610" s="46" t="n">
        <v>69</v>
      </c>
      <c r="E610" s="25" t="n">
        <v>4379</v>
      </c>
      <c r="F610" s="24">
        <f>IFERROR((D610/D607)-(E610/E607),0)</f>
        <v/>
      </c>
    </row>
    <row r="611" ht="15" customHeight="1" s="47">
      <c r="C611" s="46" t="inlineStr">
        <is>
          <t>Avg Loan Amt for RUM SB</t>
        </is>
      </c>
      <c r="D611" s="51" t="n">
        <v>82800</v>
      </c>
      <c r="E611" s="51" t="n">
        <v>75271</v>
      </c>
      <c r="F611" s="24">
        <f>IFERROR((D611/E611)-1,0)</f>
        <v/>
      </c>
    </row>
    <row r="612" ht="15" customHeight="1" s="47">
      <c r="B612" s="42" t="inlineStr">
        <is>
          <t>Ohio Non-MSA</t>
        </is>
      </c>
      <c r="C612" s="46" t="inlineStr">
        <is>
          <t>SB Loans</t>
        </is>
      </c>
      <c r="D612" s="25" t="n">
        <v>4955</v>
      </c>
      <c r="E612" s="25" t="n">
        <v>88456</v>
      </c>
    </row>
    <row r="613" ht="15" customHeight="1" s="47">
      <c r="C613" s="46" t="inlineStr">
        <is>
          <t>#LMICT</t>
        </is>
      </c>
      <c r="D613" s="46" t="n">
        <v>240</v>
      </c>
      <c r="E613" s="25" t="n">
        <v>8603</v>
      </c>
      <c r="F613" s="24">
        <f>IFERROR((D613/D612)-(E613/E612),0)</f>
        <v/>
      </c>
    </row>
    <row r="614" ht="15" customHeight="1" s="47">
      <c r="C614" s="46" t="inlineStr">
        <is>
          <t>Avg SB LMICT Loan Amount</t>
        </is>
      </c>
      <c r="D614" s="51" t="n">
        <v>4079</v>
      </c>
      <c r="E614" s="51" t="n">
        <v>1500</v>
      </c>
      <c r="F614" s="24">
        <f>IFERROR((D614/E614)-1,0)</f>
        <v/>
      </c>
    </row>
    <row r="615" ht="15" customHeight="1" s="47">
      <c r="C615" s="46" t="inlineStr">
        <is>
          <t>Loans Rev Under $1m</t>
        </is>
      </c>
      <c r="D615" s="25" t="n">
        <v>2590</v>
      </c>
      <c r="E615" s="25" t="n">
        <v>44995</v>
      </c>
      <c r="F615" s="24">
        <f>IFERROR((D615/D612)-(E615/E612),0)</f>
        <v/>
      </c>
    </row>
    <row r="616" ht="15" customHeight="1" s="47">
      <c r="C616" s="46" t="inlineStr">
        <is>
          <t>Avg Loan Amt for RUM SB</t>
        </is>
      </c>
      <c r="D616" s="51" t="n">
        <v>113328</v>
      </c>
      <c r="E616" s="51" t="n">
        <v>46957</v>
      </c>
      <c r="F616" s="24">
        <f>IFERROR((D616/E616)-1,0)</f>
        <v/>
      </c>
    </row>
    <row r="617" ht="15" customHeight="1" s="47">
      <c r="B617" s="42" t="inlineStr">
        <is>
          <t>Springfield, OH</t>
        </is>
      </c>
      <c r="C617" s="46" t="inlineStr">
        <is>
          <t>SB Loans</t>
        </is>
      </c>
      <c r="D617" s="46" t="n">
        <v>511</v>
      </c>
      <c r="E617" s="25" t="n">
        <v>7322</v>
      </c>
    </row>
    <row r="618" ht="15" customHeight="1" s="47">
      <c r="C618" s="46" t="inlineStr">
        <is>
          <t>#LMICT</t>
        </is>
      </c>
      <c r="D618" s="46" t="n">
        <v>10</v>
      </c>
      <c r="E618" s="46" t="n">
        <v>482</v>
      </c>
      <c r="F618" s="24">
        <f>IFERROR((D618/D617)-(E618/E617),0)</f>
        <v/>
      </c>
    </row>
    <row r="619" ht="15" customHeight="1" s="47">
      <c r="C619" s="46" t="inlineStr">
        <is>
          <t>Avg SB LMICT Loan Amount</t>
        </is>
      </c>
      <c r="D619" s="51" t="n">
        <v>24100</v>
      </c>
      <c r="E619" s="51" t="n">
        <v>3971</v>
      </c>
      <c r="F619" s="24">
        <f>IFERROR((D619/E619)-1,0)</f>
        <v/>
      </c>
    </row>
    <row r="620" ht="15" customHeight="1" s="47">
      <c r="C620" s="46" t="inlineStr">
        <is>
          <t>Loans Rev Under $1m</t>
        </is>
      </c>
      <c r="D620" s="46" t="n">
        <v>274</v>
      </c>
      <c r="E620" s="25" t="n">
        <v>3739</v>
      </c>
      <c r="F620" s="24">
        <f>IFERROR((D620/D617)-(E620/E617),0)</f>
        <v/>
      </c>
    </row>
    <row r="621" ht="15" customHeight="1" s="47">
      <c r="C621" s="46" t="inlineStr">
        <is>
          <t>Avg Loan Amt for RUM SB</t>
        </is>
      </c>
      <c r="D621" s="51" t="n">
        <v>207133</v>
      </c>
      <c r="E621" s="51" t="n">
        <v>74929</v>
      </c>
      <c r="F621" s="24">
        <f>IFERROR((D621/E621)-1,0)</f>
        <v/>
      </c>
    </row>
    <row r="622" ht="15" customHeight="1" s="47">
      <c r="B622" s="42" t="inlineStr">
        <is>
          <t>Toledo, OH</t>
        </is>
      </c>
      <c r="C622" s="46" t="inlineStr">
        <is>
          <t>SB Loans</t>
        </is>
      </c>
      <c r="D622" s="25" t="n">
        <v>1955</v>
      </c>
      <c r="E622" s="25" t="n">
        <v>41907</v>
      </c>
    </row>
    <row r="623" ht="15" customHeight="1" s="47">
      <c r="C623" s="46" t="inlineStr">
        <is>
          <t>#LMICT</t>
        </is>
      </c>
      <c r="D623" s="46" t="n">
        <v>30</v>
      </c>
      <c r="E623" s="25" t="n">
        <v>1634</v>
      </c>
      <c r="F623" s="24">
        <f>IFERROR((D623/D622)-(E623/E622),0)</f>
        <v/>
      </c>
    </row>
    <row r="624" ht="15" customHeight="1" s="47">
      <c r="C624" s="46" t="inlineStr">
        <is>
          <t>Avg SB LMICT Loan Amount</t>
        </is>
      </c>
      <c r="D624" s="51" t="n">
        <v>16467</v>
      </c>
      <c r="E624" s="51" t="n">
        <v>5009</v>
      </c>
      <c r="F624" s="24">
        <f>IFERROR((D624/E624)-1,0)</f>
        <v/>
      </c>
    </row>
    <row r="625" ht="15" customHeight="1" s="47">
      <c r="C625" s="46" t="inlineStr">
        <is>
          <t>Loans Rev Under $1m</t>
        </is>
      </c>
      <c r="D625" s="25" t="n">
        <v>1100</v>
      </c>
      <c r="E625" s="25" t="n">
        <v>20855</v>
      </c>
      <c r="F625" s="24">
        <f>IFERROR((D625/D622)-(E625/E622),0)</f>
        <v/>
      </c>
    </row>
    <row r="626" ht="15" customHeight="1" s="47">
      <c r="C626" s="46" t="inlineStr">
        <is>
          <t>Avg Loan Amt for RUM SB</t>
        </is>
      </c>
      <c r="D626" s="51" t="n">
        <v>421644</v>
      </c>
      <c r="E626" s="51" t="n">
        <v>134715</v>
      </c>
      <c r="F626" s="24">
        <f>IFERROR((D626/E626)-1,0)</f>
        <v/>
      </c>
    </row>
    <row r="627" ht="15" customHeight="1" s="47">
      <c r="B627" s="42" t="inlineStr">
        <is>
          <t>Weirton-Steubenville, WV-OH</t>
        </is>
      </c>
      <c r="C627" s="46" t="inlineStr">
        <is>
          <t>SB Loans</t>
        </is>
      </c>
      <c r="D627" s="46" t="n">
        <v>298</v>
      </c>
      <c r="E627" s="25" t="n">
        <v>3969</v>
      </c>
    </row>
    <row r="628" ht="15" customHeight="1" s="47">
      <c r="C628" s="46" t="inlineStr">
        <is>
          <t>#LMICT</t>
        </is>
      </c>
      <c r="D628" s="46" t="n">
        <v>10</v>
      </c>
      <c r="E628" s="46" t="n">
        <v>350</v>
      </c>
      <c r="F628" s="24">
        <f>IFERROR((D628/D627)-(E628/E627),0)</f>
        <v/>
      </c>
    </row>
    <row r="629" ht="15" customHeight="1" s="47">
      <c r="C629" s="46" t="inlineStr">
        <is>
          <t>Avg SB LMICT Loan Amount</t>
        </is>
      </c>
      <c r="D629" s="51" t="n">
        <v>8200</v>
      </c>
      <c r="E629" s="51" t="n">
        <v>1877</v>
      </c>
      <c r="F629" s="24">
        <f>IFERROR((D629/E629)-1,0)</f>
        <v/>
      </c>
    </row>
    <row r="630" ht="15" customHeight="1" s="47">
      <c r="C630" s="46" t="inlineStr">
        <is>
          <t>Loans Rev Under $1m</t>
        </is>
      </c>
      <c r="D630" s="46" t="n">
        <v>153</v>
      </c>
      <c r="E630" s="25" t="n">
        <v>2109</v>
      </c>
      <c r="F630" s="24">
        <f>IFERROR((D630/D627)-(E630/E627),0)</f>
        <v/>
      </c>
    </row>
    <row r="631" ht="15" customHeight="1" s="47">
      <c r="C631" s="46" t="inlineStr">
        <is>
          <t>Avg Loan Amt for RUM SB</t>
        </is>
      </c>
      <c r="D631" s="51" t="n">
        <v>108467</v>
      </c>
      <c r="E631" s="51" t="n">
        <v>42355</v>
      </c>
      <c r="F631" s="24">
        <f>IFERROR((D631/E631)-1,0)</f>
        <v/>
      </c>
    </row>
    <row r="632" ht="15" customHeight="1" s="47">
      <c r="B632" s="42" t="inlineStr">
        <is>
          <t>Wheeling, WV-OH</t>
        </is>
      </c>
      <c r="C632" s="46" t="inlineStr">
        <is>
          <t>SB Loans</t>
        </is>
      </c>
      <c r="D632" s="46" t="n">
        <v>173</v>
      </c>
      <c r="E632" s="25" t="n">
        <v>4399</v>
      </c>
    </row>
    <row r="633" ht="15" customHeight="1" s="47">
      <c r="C633" s="46" t="inlineStr">
        <is>
          <t>#LMICT</t>
        </is>
      </c>
      <c r="D633" s="46" t="n">
        <v>10</v>
      </c>
      <c r="E633" s="46" t="n">
        <v>392</v>
      </c>
      <c r="F633" s="24">
        <f>IFERROR((D633/D632)-(E633/E632),0)</f>
        <v/>
      </c>
    </row>
    <row r="634" ht="15" customHeight="1" s="47">
      <c r="C634" s="46" t="inlineStr">
        <is>
          <t>Avg SB LMICT Loan Amount</t>
        </is>
      </c>
      <c r="D634" s="51" t="n">
        <v>5800</v>
      </c>
      <c r="E634" s="51" t="n">
        <v>2077</v>
      </c>
      <c r="F634" s="24">
        <f>IFERROR((D634/E634)-1,0)</f>
        <v/>
      </c>
    </row>
    <row r="635" ht="15" customHeight="1" s="47">
      <c r="C635" s="46" t="inlineStr">
        <is>
          <t>Loans Rev Under $1m</t>
        </is>
      </c>
      <c r="D635" s="46" t="n">
        <v>80</v>
      </c>
      <c r="E635" s="25" t="n">
        <v>1804</v>
      </c>
      <c r="F635" s="24">
        <f>IFERROR((D635/D632)-(E635/E632),0)</f>
        <v/>
      </c>
    </row>
    <row r="636" ht="15" customHeight="1" s="47">
      <c r="C636" s="46" t="inlineStr">
        <is>
          <t>Avg Loan Amt for RUM SB</t>
        </is>
      </c>
      <c r="D636" s="51" t="n">
        <v>116600</v>
      </c>
      <c r="E636" s="51" t="n">
        <v>38592</v>
      </c>
      <c r="F636" s="24">
        <f>IFERROR((D636/E636)-1,0)</f>
        <v/>
      </c>
    </row>
    <row r="637" ht="15" customHeight="1" s="47">
      <c r="B637" s="42" t="inlineStr">
        <is>
          <t>Youngstown-Warren-Boardman, OH-PA</t>
        </is>
      </c>
      <c r="C637" s="46" t="inlineStr">
        <is>
          <t>SB Loans</t>
        </is>
      </c>
      <c r="D637" s="25" t="n">
        <v>2259</v>
      </c>
      <c r="E637" s="25" t="n">
        <v>34339</v>
      </c>
    </row>
    <row r="638" ht="15" customHeight="1" s="47">
      <c r="C638" s="46" t="inlineStr">
        <is>
          <t>#LMICT</t>
        </is>
      </c>
      <c r="D638" s="46" t="n">
        <v>20</v>
      </c>
      <c r="E638" s="25" t="n">
        <v>1200</v>
      </c>
      <c r="F638" s="24">
        <f>IFERROR((D638/D637)-(E638/E637),0)</f>
        <v/>
      </c>
    </row>
    <row r="639" ht="15" customHeight="1" s="47">
      <c r="C639" s="46" t="inlineStr">
        <is>
          <t>Avg SB LMICT Loan Amount</t>
        </is>
      </c>
      <c r="D639" s="51" t="n">
        <v>31050</v>
      </c>
      <c r="E639" s="51" t="n">
        <v>5202</v>
      </c>
      <c r="F639" s="24">
        <f>IFERROR((D639/E639)-1,0)</f>
        <v/>
      </c>
    </row>
    <row r="640" ht="15" customHeight="1" s="47">
      <c r="C640" s="46" t="inlineStr">
        <is>
          <t>Loans Rev Under $1m</t>
        </is>
      </c>
      <c r="D640" s="25" t="n">
        <v>1159</v>
      </c>
      <c r="E640" s="25" t="n">
        <v>16095</v>
      </c>
      <c r="F640" s="24">
        <f>IFERROR((D640/D637)-(E640/E637),0)</f>
        <v/>
      </c>
    </row>
    <row r="641" ht="15" customHeight="1" s="47">
      <c r="C641" s="46" t="inlineStr">
        <is>
          <t>Avg Loan Amt for RUM SB</t>
        </is>
      </c>
      <c r="D641" s="51" t="n">
        <v>865850</v>
      </c>
      <c r="E641" s="51" t="n">
        <v>143987</v>
      </c>
      <c r="F641" s="24">
        <f>IFERROR((D641/E641)-1,0)</f>
        <v/>
      </c>
    </row>
    <row r="642" ht="15" customHeight="1" s="47">
      <c r="A642" s="46" t="inlineStr">
        <is>
          <t>Pennsylvania</t>
        </is>
      </c>
      <c r="B642" s="42" t="inlineStr">
        <is>
          <t>Allentown-Bethlehem-Easton, PA-NJ</t>
        </is>
      </c>
      <c r="C642" s="46" t="inlineStr">
        <is>
          <t>SB Loans</t>
        </is>
      </c>
      <c r="D642" s="25" t="n">
        <v>3677</v>
      </c>
      <c r="E642" s="25" t="n">
        <v>75282</v>
      </c>
    </row>
    <row r="643" ht="15" customHeight="1" s="47">
      <c r="C643" s="46" t="inlineStr">
        <is>
          <t>#LMICT</t>
        </is>
      </c>
      <c r="D643" s="46" t="n">
        <v>30</v>
      </c>
      <c r="E643" s="25" t="n">
        <v>2258</v>
      </c>
      <c r="F643" s="24">
        <f>IFERROR((D643/D642)-(E643/E642),0)</f>
        <v/>
      </c>
    </row>
    <row r="644" ht="15" customHeight="1" s="47">
      <c r="C644" s="46" t="inlineStr">
        <is>
          <t>Avg SB LMICT Loan Amount</t>
        </is>
      </c>
      <c r="D644" s="51" t="n">
        <v>32567</v>
      </c>
      <c r="E644" s="51" t="n">
        <v>7984</v>
      </c>
      <c r="F644" s="24">
        <f>IFERROR((D644/E644)-1,0)</f>
        <v/>
      </c>
    </row>
    <row r="645" ht="15" customHeight="1" s="47">
      <c r="C645" s="46" t="inlineStr">
        <is>
          <t>Loans Rev Under $1m</t>
        </is>
      </c>
      <c r="D645" s="25" t="n">
        <v>2311</v>
      </c>
      <c r="E645" s="25" t="n">
        <v>38526</v>
      </c>
      <c r="F645" s="24">
        <f>IFERROR((D645/D642)-(E645/E642),0)</f>
        <v/>
      </c>
    </row>
    <row r="646" ht="15" customHeight="1" s="47">
      <c r="C646" s="46" t="inlineStr">
        <is>
          <t>Avg Loan Amt for RUM SB</t>
        </is>
      </c>
      <c r="D646" s="51" t="n">
        <v>879478</v>
      </c>
      <c r="E646" s="51" t="n">
        <v>148064</v>
      </c>
      <c r="F646" s="24">
        <f>IFERROR((D646/E646)-1,0)</f>
        <v/>
      </c>
    </row>
    <row r="647" ht="15" customHeight="1" s="47">
      <c r="B647" s="42" t="inlineStr">
        <is>
          <t>Altoona, PA</t>
        </is>
      </c>
      <c r="C647" s="46" t="inlineStr">
        <is>
          <t>SB Loans</t>
        </is>
      </c>
      <c r="D647" s="46" t="n">
        <v>43</v>
      </c>
      <c r="E647" s="25" t="n">
        <v>8949</v>
      </c>
    </row>
    <row r="648" ht="15" customHeight="1" s="47">
      <c r="C648" s="46" t="inlineStr">
        <is>
          <t>#LMICT</t>
        </is>
      </c>
      <c r="D648" s="46" t="n">
        <v>10</v>
      </c>
      <c r="E648" s="46" t="n">
        <v>530</v>
      </c>
      <c r="F648" s="24">
        <f>IFERROR((D648/D647)-(E648/E647),0)</f>
        <v/>
      </c>
    </row>
    <row r="649" ht="15" customHeight="1" s="47">
      <c r="C649" s="46" t="inlineStr">
        <is>
          <t>Avg SB LMICT Loan Amount</t>
        </is>
      </c>
      <c r="D649" s="51" t="n">
        <v>1800</v>
      </c>
      <c r="E649" s="51" t="n">
        <v>2483</v>
      </c>
      <c r="F649" s="24">
        <f>IFERROR((D649/E649)-1,0)</f>
        <v/>
      </c>
    </row>
    <row r="650" ht="15" customHeight="1" s="47">
      <c r="C650" s="46" t="inlineStr">
        <is>
          <t>Loans Rev Under $1m</t>
        </is>
      </c>
      <c r="D650" s="46" t="n">
        <v>17</v>
      </c>
      <c r="E650" s="25" t="n">
        <v>4696</v>
      </c>
      <c r="F650" s="24">
        <f>IFERROR((D650/D647)-(E650/E647),0)</f>
        <v/>
      </c>
    </row>
    <row r="651" ht="15" customHeight="1" s="47">
      <c r="C651" s="46" t="inlineStr">
        <is>
          <t>Avg Loan Amt for RUM SB</t>
        </is>
      </c>
      <c r="D651" s="51" t="n">
        <v>26200</v>
      </c>
      <c r="E651" s="51" t="n">
        <v>99289</v>
      </c>
      <c r="F651" s="24">
        <f>IFERROR((D651/E651)-1,0)</f>
        <v/>
      </c>
    </row>
    <row r="652" ht="15" customHeight="1" s="47">
      <c r="B652" s="42" t="inlineStr">
        <is>
          <t>Bloomsburg-Berwick, PA</t>
        </is>
      </c>
      <c r="C652" s="46" t="inlineStr">
        <is>
          <t>SB Loans</t>
        </is>
      </c>
      <c r="D652" s="46" t="n">
        <v>179</v>
      </c>
      <c r="E652" s="25" t="n">
        <v>4473</v>
      </c>
    </row>
    <row r="653" ht="15" customHeight="1" s="47">
      <c r="C653" s="46" t="inlineStr">
        <is>
          <t>#LMICT</t>
        </is>
      </c>
      <c r="D653" s="46" t="n">
        <v>10</v>
      </c>
      <c r="E653" s="46" t="n">
        <v>432</v>
      </c>
      <c r="F653" s="24">
        <f>IFERROR((D653/D652)-(E653/E652),0)</f>
        <v/>
      </c>
    </row>
    <row r="654" ht="15" customHeight="1" s="47">
      <c r="C654" s="46" t="inlineStr">
        <is>
          <t>Avg SB LMICT Loan Amount</t>
        </is>
      </c>
      <c r="D654" s="51" t="n">
        <v>2000</v>
      </c>
      <c r="E654" s="51" t="n">
        <v>1069</v>
      </c>
      <c r="F654" s="24">
        <f>IFERROR((D654/E654)-1,0)</f>
        <v/>
      </c>
    </row>
    <row r="655" ht="15" customHeight="1" s="47">
      <c r="C655" s="46" t="inlineStr">
        <is>
          <t>Loans Rev Under $1m</t>
        </is>
      </c>
      <c r="D655" s="46" t="n">
        <v>83</v>
      </c>
      <c r="E655" s="25" t="n">
        <v>2240</v>
      </c>
      <c r="F655" s="24">
        <f>IFERROR((D655/D652)-(E655/E652),0)</f>
        <v/>
      </c>
    </row>
    <row r="656" ht="15" customHeight="1" s="47">
      <c r="C656" s="46" t="inlineStr">
        <is>
          <t>Avg Loan Amt for RUM SB</t>
        </is>
      </c>
      <c r="D656" s="51" t="n">
        <v>84433</v>
      </c>
      <c r="E656" s="51" t="n">
        <v>40577</v>
      </c>
      <c r="F656" s="24">
        <f>IFERROR((D656/E656)-1,0)</f>
        <v/>
      </c>
    </row>
    <row r="657" ht="15" customHeight="1" s="47">
      <c r="B657" s="42" t="inlineStr">
        <is>
          <t>East Stroudsburg, PA</t>
        </is>
      </c>
      <c r="C657" s="46" t="inlineStr">
        <is>
          <t>SB Loans</t>
        </is>
      </c>
      <c r="D657" s="25" t="n">
        <v>1280</v>
      </c>
      <c r="E657" s="25" t="n">
        <v>17756</v>
      </c>
    </row>
    <row r="658" ht="15" customHeight="1" s="47">
      <c r="C658" s="46" t="inlineStr">
        <is>
          <t>#LMICT</t>
        </is>
      </c>
      <c r="D658" s="46" t="n">
        <v>10</v>
      </c>
      <c r="E658" s="46" t="n">
        <v>660</v>
      </c>
      <c r="F658" s="24">
        <f>IFERROR((D658/D657)-(E658/E657),0)</f>
        <v/>
      </c>
    </row>
    <row r="659" ht="15" customHeight="1" s="47">
      <c r="C659" s="46" t="inlineStr">
        <is>
          <t>Avg SB LMICT Loan Amount</t>
        </is>
      </c>
      <c r="D659" s="51" t="n">
        <v>33000</v>
      </c>
      <c r="E659" s="51" t="n">
        <v>3062</v>
      </c>
      <c r="F659" s="24">
        <f>IFERROR((D659/E659)-1,0)</f>
        <v/>
      </c>
    </row>
    <row r="660" ht="15" customHeight="1" s="47">
      <c r="C660" s="46" t="inlineStr">
        <is>
          <t>Loans Rev Under $1m</t>
        </is>
      </c>
      <c r="D660" s="46" t="n">
        <v>809</v>
      </c>
      <c r="E660" s="25" t="n">
        <v>8827</v>
      </c>
      <c r="F660" s="24">
        <f>IFERROR((D660/D657)-(E660/E657),0)</f>
        <v/>
      </c>
    </row>
    <row r="661" ht="15" customHeight="1" s="47">
      <c r="C661" s="46" t="inlineStr">
        <is>
          <t>Avg Loan Amt for RUM SB</t>
        </is>
      </c>
      <c r="D661" s="51" t="n">
        <v>668733</v>
      </c>
      <c r="E661" s="51" t="n">
        <v>95121</v>
      </c>
      <c r="F661" s="24">
        <f>IFERROR((D661/E661)-1,0)</f>
        <v/>
      </c>
    </row>
    <row r="662" ht="15" customHeight="1" s="47">
      <c r="B662" s="42" t="inlineStr">
        <is>
          <t>Erie, PA</t>
        </is>
      </c>
      <c r="C662" s="46" t="inlineStr">
        <is>
          <t>SB Loans</t>
        </is>
      </c>
      <c r="D662" s="25" t="n">
        <v>2361</v>
      </c>
      <c r="E662" s="25" t="n">
        <v>18127</v>
      </c>
    </row>
    <row r="663" ht="15" customHeight="1" s="47">
      <c r="C663" s="46" t="inlineStr">
        <is>
          <t>#LMICT</t>
        </is>
      </c>
      <c r="D663" s="46" t="n">
        <v>10</v>
      </c>
      <c r="E663" s="46" t="n">
        <v>594</v>
      </c>
      <c r="F663" s="24">
        <f>IFERROR((D663/D662)-(E663/E662),0)</f>
        <v/>
      </c>
    </row>
    <row r="664" ht="15" customHeight="1" s="47">
      <c r="C664" s="46" t="inlineStr">
        <is>
          <t>Avg SB LMICT Loan Amount</t>
        </is>
      </c>
      <c r="D664" s="51" t="n">
        <v>62200</v>
      </c>
      <c r="E664" s="51" t="n">
        <v>6525</v>
      </c>
      <c r="F664" s="24">
        <f>IFERROR((D664/E664)-1,0)</f>
        <v/>
      </c>
    </row>
    <row r="665" ht="15" customHeight="1" s="47">
      <c r="C665" s="46" t="inlineStr">
        <is>
          <t>Loans Rev Under $1m</t>
        </is>
      </c>
      <c r="D665" s="25" t="n">
        <v>1307</v>
      </c>
      <c r="E665" s="25" t="n">
        <v>8499</v>
      </c>
      <c r="F665" s="24">
        <f>IFERROR((D665/D662)-(E665/E662),0)</f>
        <v/>
      </c>
    </row>
    <row r="666" ht="15" customHeight="1" s="47">
      <c r="C666" s="46" t="inlineStr">
        <is>
          <t>Avg Loan Amt for RUM SB</t>
        </is>
      </c>
      <c r="D666" s="51" t="n">
        <v>1406433</v>
      </c>
      <c r="E666" s="51" t="n">
        <v>151079</v>
      </c>
      <c r="F666" s="24">
        <f>IFERROR((D666/E666)-1,0)</f>
        <v/>
      </c>
    </row>
    <row r="667" ht="15" customHeight="1" s="47">
      <c r="B667" s="42" t="inlineStr">
        <is>
          <t>Gettysburg, PA</t>
        </is>
      </c>
      <c r="C667" s="46" t="inlineStr">
        <is>
          <t>SB Loans</t>
        </is>
      </c>
      <c r="D667" s="46" t="n">
        <v>908</v>
      </c>
      <c r="E667" s="25" t="n">
        <v>7570</v>
      </c>
    </row>
    <row r="668" ht="15" customHeight="1" s="47">
      <c r="C668" s="46" t="inlineStr">
        <is>
          <t>#LMICT</t>
        </is>
      </c>
      <c r="D668" s="46" t="n">
        <v>10</v>
      </c>
      <c r="E668" s="46" t="n">
        <v>514</v>
      </c>
      <c r="F668" s="24">
        <f>IFERROR((D668/D667)-(E668/E667),0)</f>
        <v/>
      </c>
    </row>
    <row r="669" ht="15" customHeight="1" s="47">
      <c r="C669" s="46" t="inlineStr">
        <is>
          <t>Avg SB LMICT Loan Amount</t>
        </is>
      </c>
      <c r="D669" s="51" t="n">
        <v>16100</v>
      </c>
      <c r="E669" s="51" t="n">
        <v>2008</v>
      </c>
      <c r="F669" s="24">
        <f>IFERROR((D669/E669)-1,0)</f>
        <v/>
      </c>
    </row>
    <row r="670" ht="15" customHeight="1" s="47">
      <c r="C670" s="46" t="inlineStr">
        <is>
          <t>Loans Rev Under $1m</t>
        </is>
      </c>
      <c r="D670" s="46" t="n">
        <v>550</v>
      </c>
      <c r="E670" s="25" t="n">
        <v>3949</v>
      </c>
      <c r="F670" s="24">
        <f>IFERROR((D670/D667)-(E670/E667),0)</f>
        <v/>
      </c>
    </row>
    <row r="671" ht="15" customHeight="1" s="47">
      <c r="C671" s="46" t="inlineStr">
        <is>
          <t>Avg Loan Amt for RUM SB</t>
        </is>
      </c>
      <c r="D671" s="51" t="n">
        <v>563133</v>
      </c>
      <c r="E671" s="51" t="n">
        <v>84320</v>
      </c>
      <c r="F671" s="24">
        <f>IFERROR((D671/E671)-1,0)</f>
        <v/>
      </c>
    </row>
    <row r="672" ht="15" customHeight="1" s="47">
      <c r="B672" s="42" t="inlineStr">
        <is>
          <t>Harrisburg-Carlisle, PA</t>
        </is>
      </c>
      <c r="C672" s="46" t="inlineStr">
        <is>
          <t>SB Loans</t>
        </is>
      </c>
      <c r="D672" s="25" t="n">
        <v>2042</v>
      </c>
      <c r="E672" s="25" t="n">
        <v>46563</v>
      </c>
    </row>
    <row r="673" ht="15" customHeight="1" s="47">
      <c r="C673" s="46" t="inlineStr">
        <is>
          <t>#LMICT</t>
        </is>
      </c>
      <c r="D673" s="46" t="n">
        <v>30</v>
      </c>
      <c r="E673" s="25" t="n">
        <v>1830</v>
      </c>
      <c r="F673" s="24">
        <f>IFERROR((D673/D672)-(E673/E672),0)</f>
        <v/>
      </c>
    </row>
    <row r="674" ht="15" customHeight="1" s="47">
      <c r="C674" s="46" t="inlineStr">
        <is>
          <t>Avg SB LMICT Loan Amount</t>
        </is>
      </c>
      <c r="D674" s="51" t="n">
        <v>13367</v>
      </c>
      <c r="E674" s="51" t="n">
        <v>4722</v>
      </c>
      <c r="F674" s="24">
        <f>IFERROR((D674/E674)-1,0)</f>
        <v/>
      </c>
    </row>
    <row r="675" ht="15" customHeight="1" s="47">
      <c r="C675" s="46" t="inlineStr">
        <is>
          <t>Loans Rev Under $1m</t>
        </is>
      </c>
      <c r="D675" s="25" t="n">
        <v>1103</v>
      </c>
      <c r="E675" s="25" t="n">
        <v>21311</v>
      </c>
      <c r="F675" s="24">
        <f>IFERROR((D675/D672)-(E675/E672),0)</f>
        <v/>
      </c>
    </row>
    <row r="676" ht="15" customHeight="1" s="47">
      <c r="C676" s="46" t="inlineStr">
        <is>
          <t>Avg Loan Amt for RUM SB</t>
        </is>
      </c>
      <c r="D676" s="51" t="n">
        <v>443878</v>
      </c>
      <c r="E676" s="51" t="n">
        <v>119083</v>
      </c>
      <c r="F676" s="24">
        <f>IFERROR((D676/E676)-1,0)</f>
        <v/>
      </c>
    </row>
    <row r="677" ht="15" customHeight="1" s="47">
      <c r="B677" s="42" t="inlineStr">
        <is>
          <t>Lancaster, PA</t>
        </is>
      </c>
      <c r="C677" s="46" t="inlineStr">
        <is>
          <t>SB Loans</t>
        </is>
      </c>
      <c r="D677" s="25" t="n">
        <v>2940</v>
      </c>
      <c r="E677" s="25" t="n">
        <v>59457</v>
      </c>
    </row>
    <row r="678" ht="15" customHeight="1" s="47">
      <c r="C678" s="46" t="inlineStr">
        <is>
          <t>#LMICT</t>
        </is>
      </c>
      <c r="D678" s="46" t="n">
        <v>34</v>
      </c>
      <c r="E678" s="25" t="n">
        <v>3577</v>
      </c>
      <c r="F678" s="24">
        <f>IFERROR((D678/D677)-(E678/E677),0)</f>
        <v/>
      </c>
    </row>
    <row r="679" ht="15" customHeight="1" s="47">
      <c r="C679" s="46" t="inlineStr">
        <is>
          <t>Avg SB LMICT Loan Amount</t>
        </is>
      </c>
      <c r="D679" s="51" t="n">
        <v>15265</v>
      </c>
      <c r="E679" s="51" t="n">
        <v>2520</v>
      </c>
      <c r="F679" s="24">
        <f>IFERROR((D679/E679)-1,0)</f>
        <v/>
      </c>
    </row>
    <row r="680" ht="15" customHeight="1" s="47">
      <c r="C680" s="46" t="inlineStr">
        <is>
          <t>Loans Rev Under $1m</t>
        </is>
      </c>
      <c r="D680" s="25" t="n">
        <v>1626</v>
      </c>
      <c r="E680" s="25" t="n">
        <v>31525</v>
      </c>
      <c r="F680" s="24">
        <f>IFERROR((D680/D677)-(E680/E677),0)</f>
        <v/>
      </c>
    </row>
    <row r="681" ht="15" customHeight="1" s="47">
      <c r="C681" s="46" t="inlineStr">
        <is>
          <t>Avg Loan Amt for RUM SB</t>
        </is>
      </c>
      <c r="D681" s="51" t="n">
        <v>925360</v>
      </c>
      <c r="E681" s="51" t="n">
        <v>160994</v>
      </c>
      <c r="F681" s="24">
        <f>IFERROR((D681/E681)-1,0)</f>
        <v/>
      </c>
    </row>
    <row r="682" ht="15" customHeight="1" s="47">
      <c r="B682" s="42" t="inlineStr">
        <is>
          <t>Lebanon, PA</t>
        </is>
      </c>
      <c r="C682" s="46" t="inlineStr">
        <is>
          <t>SB Loans</t>
        </is>
      </c>
      <c r="D682" s="46" t="n">
        <v>125</v>
      </c>
      <c r="E682" s="25" t="n">
        <v>11039</v>
      </c>
    </row>
    <row r="683" ht="15" customHeight="1" s="47">
      <c r="C683" s="46" t="inlineStr">
        <is>
          <t>#LMICT</t>
        </is>
      </c>
      <c r="D683" s="46" t="n">
        <v>10</v>
      </c>
      <c r="E683" s="46" t="n">
        <v>606</v>
      </c>
      <c r="F683" s="24">
        <f>IFERROR((D683/D682)-(E683/E682),0)</f>
        <v/>
      </c>
    </row>
    <row r="684" ht="15" customHeight="1" s="47">
      <c r="C684" s="46" t="inlineStr">
        <is>
          <t>Avg SB LMICT Loan Amount</t>
        </is>
      </c>
      <c r="D684" s="51" t="n">
        <v>2600</v>
      </c>
      <c r="E684" s="51" t="n">
        <v>2993</v>
      </c>
      <c r="F684" s="24">
        <f>IFERROR((D684/E684)-1,0)</f>
        <v/>
      </c>
    </row>
    <row r="685" ht="15" customHeight="1" s="47">
      <c r="C685" s="46" t="inlineStr">
        <is>
          <t>Loans Rev Under $1m</t>
        </is>
      </c>
      <c r="D685" s="46" t="n">
        <v>56</v>
      </c>
      <c r="E685" s="25" t="n">
        <v>5970</v>
      </c>
      <c r="F685" s="24">
        <f>IFERROR((D685/D682)-(E685/E682),0)</f>
        <v/>
      </c>
    </row>
    <row r="686" ht="15" customHeight="1" s="47">
      <c r="C686" s="46" t="inlineStr">
        <is>
          <t>Avg Loan Amt for RUM SB</t>
        </is>
      </c>
      <c r="D686" s="51" t="n">
        <v>75767</v>
      </c>
      <c r="E686" s="51" t="n">
        <v>97226</v>
      </c>
      <c r="F686" s="24">
        <f>IFERROR((D686/E686)-1,0)</f>
        <v/>
      </c>
    </row>
    <row r="687" ht="15" customHeight="1" s="47">
      <c r="B687" s="42" t="inlineStr">
        <is>
          <t>New York-Newark-Jersey City, NY-NJ-PA</t>
        </is>
      </c>
      <c r="C687" s="46" t="inlineStr">
        <is>
          <t>SB Loans</t>
        </is>
      </c>
      <c r="D687" s="46" t="n">
        <v>103</v>
      </c>
      <c r="E687" s="25" t="n">
        <v>5665</v>
      </c>
    </row>
    <row r="688" ht="15" customHeight="1" s="47">
      <c r="C688" s="46" t="inlineStr">
        <is>
          <t>#LMICT</t>
        </is>
      </c>
      <c r="D688" s="46" t="n">
        <v>10</v>
      </c>
      <c r="E688" s="46" t="n">
        <v>438</v>
      </c>
      <c r="F688" s="24">
        <f>IFERROR((D688/D687)-(E688/E687),0)</f>
        <v/>
      </c>
    </row>
    <row r="689" ht="15" customHeight="1" s="47">
      <c r="C689" s="46" t="inlineStr">
        <is>
          <t>Avg SB LMICT Loan Amount</t>
        </is>
      </c>
      <c r="D689" s="51" t="n">
        <v>7100</v>
      </c>
      <c r="E689" s="51" t="n">
        <v>6929</v>
      </c>
      <c r="F689" s="24">
        <f>IFERROR((D689/E689)-1,0)</f>
        <v/>
      </c>
    </row>
    <row r="690" ht="15" customHeight="1" s="47">
      <c r="C690" s="46" t="inlineStr">
        <is>
          <t>Loans Rev Under $1m</t>
        </is>
      </c>
      <c r="D690" s="46" t="n">
        <v>73</v>
      </c>
      <c r="E690" s="25" t="n">
        <v>3054</v>
      </c>
      <c r="F690" s="24">
        <f>IFERROR((D690/D687)-(E690/E687),0)</f>
        <v/>
      </c>
    </row>
    <row r="691" ht="15" customHeight="1" s="47">
      <c r="C691" s="46" t="inlineStr">
        <is>
          <t>Avg Loan Amt for RUM SB</t>
        </is>
      </c>
      <c r="D691" s="51" t="n">
        <v>42700</v>
      </c>
      <c r="E691" s="51" t="n">
        <v>30444</v>
      </c>
      <c r="F691" s="24">
        <f>IFERROR((D691/E691)-1,0)</f>
        <v/>
      </c>
    </row>
    <row r="692" ht="15" customHeight="1" s="47">
      <c r="B692" s="42" t="inlineStr">
        <is>
          <t>Pennsylvania Non-MSA</t>
        </is>
      </c>
      <c r="C692" s="46" t="inlineStr">
        <is>
          <t>SB Loans</t>
        </is>
      </c>
      <c r="D692" s="25" t="n">
        <v>2646</v>
      </c>
      <c r="E692" s="25" t="n">
        <v>54219</v>
      </c>
    </row>
    <row r="693" ht="15" customHeight="1" s="47">
      <c r="C693" s="46" t="inlineStr">
        <is>
          <t>#LMICT</t>
        </is>
      </c>
      <c r="D693" s="46" t="n">
        <v>140</v>
      </c>
      <c r="E693" s="25" t="n">
        <v>5426</v>
      </c>
      <c r="F693" s="24">
        <f>IFERROR((D693/D692)-(E693/E692),0)</f>
        <v/>
      </c>
    </row>
    <row r="694" ht="15" customHeight="1" s="47">
      <c r="C694" s="46" t="inlineStr">
        <is>
          <t>Avg SB LMICT Loan Amount</t>
        </is>
      </c>
      <c r="D694" s="51" t="n">
        <v>3664</v>
      </c>
      <c r="E694" s="51" t="n">
        <v>776</v>
      </c>
      <c r="F694" s="24">
        <f>IFERROR((D694/E694)-1,0)</f>
        <v/>
      </c>
    </row>
    <row r="695" ht="15" customHeight="1" s="47">
      <c r="C695" s="46" t="inlineStr">
        <is>
          <t>Loans Rev Under $1m</t>
        </is>
      </c>
      <c r="D695" s="25" t="n">
        <v>1532</v>
      </c>
      <c r="E695" s="25" t="n">
        <v>27511</v>
      </c>
      <c r="F695" s="24">
        <f>IFERROR((D695/D692)-(E695/E692),0)</f>
        <v/>
      </c>
    </row>
    <row r="696" ht="15" customHeight="1" s="47">
      <c r="C696" s="46" t="inlineStr">
        <is>
          <t>Avg Loan Amt for RUM SB</t>
        </is>
      </c>
      <c r="D696" s="51" t="n">
        <v>109345</v>
      </c>
      <c r="E696" s="51" t="n">
        <v>50624</v>
      </c>
      <c r="F696" s="24">
        <f>IFERROR((D696/E696)-1,0)</f>
        <v/>
      </c>
    </row>
    <row r="697" ht="15" customHeight="1" s="47">
      <c r="B697" s="42" t="inlineStr">
        <is>
          <t>Philadelphia-Camden-Wilmington, PA-NJ-DE-MD</t>
        </is>
      </c>
      <c r="C697" s="46" t="inlineStr">
        <is>
          <t>SB Loans</t>
        </is>
      </c>
      <c r="D697" s="25" t="n">
        <v>22182</v>
      </c>
      <c r="E697" s="25" t="n">
        <v>512432</v>
      </c>
    </row>
    <row r="698" ht="15" customHeight="1" s="47">
      <c r="C698" s="46" t="inlineStr">
        <is>
          <t>#LMICT</t>
        </is>
      </c>
      <c r="D698" s="46" t="n">
        <v>170</v>
      </c>
      <c r="E698" s="25" t="n">
        <v>21420</v>
      </c>
      <c r="F698" s="24">
        <f>IFERROR((D698/D697)-(E698/E697),0)</f>
        <v/>
      </c>
    </row>
    <row r="699" ht="15" customHeight="1" s="47">
      <c r="C699" s="46" t="inlineStr">
        <is>
          <t>Avg SB LMICT Loan Amount</t>
        </is>
      </c>
      <c r="D699" s="51" t="n">
        <v>20671</v>
      </c>
      <c r="E699" s="51" t="n">
        <v>4753</v>
      </c>
      <c r="F699" s="24">
        <f>IFERROR((D699/E699)-1,0)</f>
        <v/>
      </c>
    </row>
    <row r="700" ht="15" customHeight="1" s="47">
      <c r="C700" s="46" t="inlineStr">
        <is>
          <t>Loans Rev Under $1m</t>
        </is>
      </c>
      <c r="D700" s="25" t="n">
        <v>12657</v>
      </c>
      <c r="E700" s="25" t="n">
        <v>241964</v>
      </c>
      <c r="F700" s="24">
        <f>IFERROR((D700/D697)-(E700/E697),0)</f>
        <v/>
      </c>
    </row>
    <row r="701" ht="15" customHeight="1" s="47">
      <c r="C701" s="46" t="inlineStr">
        <is>
          <t>Avg Loan Amt for RUM SB</t>
        </is>
      </c>
      <c r="D701" s="51" t="n">
        <v>1394835</v>
      </c>
      <c r="E701" s="51" t="n">
        <v>137021</v>
      </c>
      <c r="F701" s="24">
        <f>IFERROR((D701/E701)-1,0)</f>
        <v/>
      </c>
    </row>
    <row r="702" ht="15" customHeight="1" s="47">
      <c r="B702" s="42" t="inlineStr">
        <is>
          <t>Pittsburgh, PA</t>
        </is>
      </c>
      <c r="C702" s="46" t="inlineStr">
        <is>
          <t>SB Loans</t>
        </is>
      </c>
      <c r="D702" s="25" t="n">
        <v>36623</v>
      </c>
      <c r="E702" s="25" t="n">
        <v>195765</v>
      </c>
    </row>
    <row r="703" ht="15" customHeight="1" s="47">
      <c r="C703" s="46" t="inlineStr">
        <is>
          <t>#LMICT</t>
        </is>
      </c>
      <c r="D703" s="46" t="n">
        <v>84</v>
      </c>
      <c r="E703" s="25" t="n">
        <v>7386</v>
      </c>
      <c r="F703" s="24">
        <f>IFERROR((D703/D702)-(E703/E702),0)</f>
        <v/>
      </c>
    </row>
    <row r="704" ht="15" customHeight="1" s="47">
      <c r="C704" s="46" t="inlineStr">
        <is>
          <t>Avg SB LMICT Loan Amount</t>
        </is>
      </c>
      <c r="D704" s="51" t="n">
        <v>68452</v>
      </c>
      <c r="E704" s="51" t="n">
        <v>5029</v>
      </c>
      <c r="F704" s="24">
        <f>IFERROR((D704/E704)-1,0)</f>
        <v/>
      </c>
    </row>
    <row r="705" ht="15" customHeight="1" s="47">
      <c r="C705" s="46" t="inlineStr">
        <is>
          <t>Loans Rev Under $1m</t>
        </is>
      </c>
      <c r="D705" s="25" t="n">
        <v>17726</v>
      </c>
      <c r="E705" s="25" t="n">
        <v>96460</v>
      </c>
      <c r="F705" s="24">
        <f>IFERROR((D705/D702)-(E705/E702),0)</f>
        <v/>
      </c>
    </row>
    <row r="706" ht="15" customHeight="1" s="47">
      <c r="C706" s="46" t="inlineStr">
        <is>
          <t>Avg Loan Amt for RUM SB</t>
        </is>
      </c>
      <c r="D706" s="51" t="n">
        <v>3221787</v>
      </c>
      <c r="E706" s="51" t="n">
        <v>143812</v>
      </c>
      <c r="F706" s="24">
        <f>IFERROR((D706/E706)-1,0)</f>
        <v/>
      </c>
    </row>
    <row r="707" ht="15" customHeight="1" s="47">
      <c r="B707" s="42" t="inlineStr">
        <is>
          <t>Reading, PA</t>
        </is>
      </c>
      <c r="C707" s="46" t="inlineStr">
        <is>
          <t>SB Loans</t>
        </is>
      </c>
      <c r="D707" s="46" t="n">
        <v>281</v>
      </c>
      <c r="E707" s="25" t="n">
        <v>38543</v>
      </c>
    </row>
    <row r="708" ht="15" customHeight="1" s="47">
      <c r="C708" s="46" t="inlineStr">
        <is>
          <t>#LMICT</t>
        </is>
      </c>
      <c r="D708" s="46" t="n">
        <v>10</v>
      </c>
      <c r="E708" s="46" t="n">
        <v>938</v>
      </c>
      <c r="F708" s="24">
        <f>IFERROR((D708/D707)-(E708/E707),0)</f>
        <v/>
      </c>
    </row>
    <row r="709" ht="15" customHeight="1" s="47">
      <c r="C709" s="46" t="inlineStr">
        <is>
          <t>Avg SB LMICT Loan Amount</t>
        </is>
      </c>
      <c r="D709" s="51" t="n">
        <v>2200</v>
      </c>
      <c r="E709" s="51" t="n">
        <v>6188</v>
      </c>
      <c r="F709" s="24">
        <f>IFERROR((D709/E709)-1,0)</f>
        <v/>
      </c>
    </row>
    <row r="710" ht="15" customHeight="1" s="47">
      <c r="C710" s="46" t="inlineStr">
        <is>
          <t>Loans Rev Under $1m</t>
        </is>
      </c>
      <c r="D710" s="46" t="n">
        <v>140</v>
      </c>
      <c r="E710" s="25" t="n">
        <v>19914</v>
      </c>
      <c r="F710" s="24">
        <f>IFERROR((D710/D707)-(E710/E707),0)</f>
        <v/>
      </c>
    </row>
    <row r="711" ht="15" customHeight="1" s="47">
      <c r="C711" s="46" t="inlineStr">
        <is>
          <t>Avg Loan Amt for RUM SB</t>
        </is>
      </c>
      <c r="D711" s="51" t="n">
        <v>223900</v>
      </c>
      <c r="E711" s="51" t="n">
        <v>238711</v>
      </c>
      <c r="F711" s="24">
        <f>IFERROR((D711/E711)-1,0)</f>
        <v/>
      </c>
    </row>
    <row r="712" ht="15" customHeight="1" s="47">
      <c r="B712" s="42" t="inlineStr">
        <is>
          <t>Scranton—Wilkes-Barre, PA</t>
        </is>
      </c>
      <c r="C712" s="46" t="inlineStr">
        <is>
          <t>SB Loans</t>
        </is>
      </c>
      <c r="D712" s="25" t="n">
        <v>2775</v>
      </c>
      <c r="E712" s="25" t="n">
        <v>45816</v>
      </c>
    </row>
    <row r="713" ht="15" customHeight="1" s="47">
      <c r="C713" s="46" t="inlineStr">
        <is>
          <t>#LMICT</t>
        </is>
      </c>
      <c r="D713" s="46" t="n">
        <v>20</v>
      </c>
      <c r="E713" s="25" t="n">
        <v>1370</v>
      </c>
      <c r="F713" s="24">
        <f>IFERROR((D713/D712)-(E713/E712),0)</f>
        <v/>
      </c>
    </row>
    <row r="714" ht="15" customHeight="1" s="47">
      <c r="C714" s="46" t="inlineStr">
        <is>
          <t>Avg SB LMICT Loan Amount</t>
        </is>
      </c>
      <c r="D714" s="51" t="n">
        <v>41050</v>
      </c>
      <c r="E714" s="51" t="n">
        <v>7505</v>
      </c>
      <c r="F714" s="24">
        <f>IFERROR((D714/E714)-1,0)</f>
        <v/>
      </c>
    </row>
    <row r="715" ht="15" customHeight="1" s="47">
      <c r="C715" s="46" t="inlineStr">
        <is>
          <t>Loans Rev Under $1m</t>
        </is>
      </c>
      <c r="D715" s="25" t="n">
        <v>1613</v>
      </c>
      <c r="E715" s="25" t="n">
        <v>20051</v>
      </c>
      <c r="F715" s="24">
        <f>IFERROR((D715/D712)-(E715/E712),0)</f>
        <v/>
      </c>
    </row>
    <row r="716" ht="15" customHeight="1" s="47">
      <c r="C716" s="46" t="inlineStr">
        <is>
          <t>Avg Loan Amt for RUM SB</t>
        </is>
      </c>
      <c r="D716" s="51" t="n">
        <v>912667</v>
      </c>
      <c r="E716" s="51" t="n">
        <v>158285</v>
      </c>
      <c r="F716" s="24">
        <f>IFERROR((D716/E716)-1,0)</f>
        <v/>
      </c>
    </row>
    <row r="717" ht="15" customHeight="1" s="47">
      <c r="B717" s="42" t="inlineStr">
        <is>
          <t>State College, PA</t>
        </is>
      </c>
      <c r="C717" s="46" t="inlineStr">
        <is>
          <t>SB Loans</t>
        </is>
      </c>
      <c r="D717" s="46" t="n">
        <v>793</v>
      </c>
      <c r="E717" s="25" t="n">
        <v>11586</v>
      </c>
    </row>
    <row r="718" ht="15" customHeight="1" s="47">
      <c r="C718" s="46" t="inlineStr">
        <is>
          <t>#LMICT</t>
        </is>
      </c>
      <c r="D718" s="46" t="n">
        <v>10</v>
      </c>
      <c r="E718" s="46" t="n">
        <v>549</v>
      </c>
      <c r="F718" s="24">
        <f>IFERROR((D718/D717)-(E718/E717),0)</f>
        <v/>
      </c>
    </row>
    <row r="719" ht="15" customHeight="1" s="47">
      <c r="C719" s="46" t="inlineStr">
        <is>
          <t>Avg SB LMICT Loan Amount</t>
        </is>
      </c>
      <c r="D719" s="51" t="n">
        <v>15200</v>
      </c>
      <c r="E719" s="51" t="n">
        <v>3576</v>
      </c>
      <c r="F719" s="24">
        <f>IFERROR((D719/E719)-1,0)</f>
        <v/>
      </c>
    </row>
    <row r="720" ht="15" customHeight="1" s="47">
      <c r="C720" s="46" t="inlineStr">
        <is>
          <t>Loans Rev Under $1m</t>
        </is>
      </c>
      <c r="D720" s="46" t="n">
        <v>465</v>
      </c>
      <c r="E720" s="25" t="n">
        <v>5581</v>
      </c>
      <c r="F720" s="24">
        <f>IFERROR((D720/D717)-(E720/E717),0)</f>
        <v/>
      </c>
    </row>
    <row r="721" ht="15" customHeight="1" s="47">
      <c r="C721" s="46" t="inlineStr">
        <is>
          <t>Avg Loan Amt for RUM SB</t>
        </is>
      </c>
      <c r="D721" s="51" t="n">
        <v>462433</v>
      </c>
      <c r="E721" s="51" t="n">
        <v>107904</v>
      </c>
      <c r="F721" s="24">
        <f>IFERROR((D721/E721)-1,0)</f>
        <v/>
      </c>
    </row>
    <row r="722" ht="15" customHeight="1" s="47">
      <c r="B722" s="42" t="inlineStr">
        <is>
          <t>Williamsport, PA</t>
        </is>
      </c>
      <c r="C722" s="46" t="inlineStr">
        <is>
          <t>SB Loans</t>
        </is>
      </c>
      <c r="D722" s="46" t="n">
        <v>154</v>
      </c>
      <c r="E722" s="25" t="n">
        <v>9677</v>
      </c>
    </row>
    <row r="723" ht="15" customHeight="1" s="47">
      <c r="C723" s="46" t="inlineStr">
        <is>
          <t>#LMICT</t>
        </is>
      </c>
      <c r="D723" s="46" t="n">
        <v>10</v>
      </c>
      <c r="E723" s="46" t="n">
        <v>515</v>
      </c>
      <c r="F723" s="24">
        <f>IFERROR((D723/D722)-(E723/E722),0)</f>
        <v/>
      </c>
    </row>
    <row r="724" ht="15" customHeight="1" s="47">
      <c r="C724" s="46" t="inlineStr">
        <is>
          <t>Avg SB LMICT Loan Amount</t>
        </is>
      </c>
      <c r="D724" s="51" t="n">
        <v>6600</v>
      </c>
      <c r="E724" s="51" t="n">
        <v>2291</v>
      </c>
      <c r="F724" s="24">
        <f>IFERROR((D724/E724)-1,0)</f>
        <v/>
      </c>
    </row>
    <row r="725" ht="15" customHeight="1" s="47">
      <c r="C725" s="46" t="inlineStr">
        <is>
          <t>Loans Rev Under $1m</t>
        </is>
      </c>
      <c r="D725" s="46" t="n">
        <v>69</v>
      </c>
      <c r="E725" s="25" t="n">
        <v>4653</v>
      </c>
      <c r="F725" s="24">
        <f>IFERROR((D725/D722)-(E725/E722),0)</f>
        <v/>
      </c>
    </row>
    <row r="726" ht="15" customHeight="1" s="47">
      <c r="C726" s="46" t="inlineStr">
        <is>
          <t>Avg Loan Amt for RUM SB</t>
        </is>
      </c>
      <c r="D726" s="51" t="n">
        <v>75667</v>
      </c>
      <c r="E726" s="51" t="n">
        <v>99851</v>
      </c>
      <c r="F726" s="24">
        <f>IFERROR((D726/E726)-1,0)</f>
        <v/>
      </c>
    </row>
    <row r="727" ht="15" customHeight="1" s="47">
      <c r="B727" s="42" t="inlineStr">
        <is>
          <t>York-Hanover, PA</t>
        </is>
      </c>
      <c r="C727" s="46" t="inlineStr">
        <is>
          <t>SB Loans</t>
        </is>
      </c>
      <c r="D727" s="25" t="n">
        <v>1211</v>
      </c>
      <c r="E727" s="25" t="n">
        <v>36210</v>
      </c>
    </row>
    <row r="728" ht="15" customHeight="1" s="47">
      <c r="C728" s="46" t="inlineStr">
        <is>
          <t>#LMICT</t>
        </is>
      </c>
      <c r="D728" s="46" t="n">
        <v>10</v>
      </c>
      <c r="E728" s="46" t="n">
        <v>820</v>
      </c>
      <c r="F728" s="24">
        <f>IFERROR((D728/D727)-(E728/E727),0)</f>
        <v/>
      </c>
    </row>
    <row r="729" ht="15" customHeight="1" s="47">
      <c r="C729" s="46" t="inlineStr">
        <is>
          <t>Avg SB LMICT Loan Amount</t>
        </is>
      </c>
      <c r="D729" s="51" t="n">
        <v>21100</v>
      </c>
      <c r="E729" s="51" t="n">
        <v>5915</v>
      </c>
      <c r="F729" s="24">
        <f>IFERROR((D729/E729)-1,0)</f>
        <v/>
      </c>
    </row>
    <row r="730" ht="15" customHeight="1" s="47">
      <c r="C730" s="46" t="inlineStr">
        <is>
          <t>Loans Rev Under $1m</t>
        </is>
      </c>
      <c r="D730" s="46" t="n">
        <v>660</v>
      </c>
      <c r="E730" s="25" t="n">
        <v>19012</v>
      </c>
      <c r="F730" s="24">
        <f>IFERROR((D730/D727)-(E730/E727),0)</f>
        <v/>
      </c>
    </row>
    <row r="731" ht="15" customHeight="1" s="47">
      <c r="C731" s="46" t="inlineStr">
        <is>
          <t>Avg Loan Amt for RUM SB</t>
        </is>
      </c>
      <c r="D731" s="51" t="n">
        <v>841867</v>
      </c>
      <c r="E731" s="51" t="n">
        <v>249380</v>
      </c>
      <c r="F731" s="24">
        <f>IFERROR((D731/E731)-1,0)</f>
        <v/>
      </c>
    </row>
    <row r="732" ht="15" customHeight="1" s="47">
      <c r="B732" s="42" t="inlineStr">
        <is>
          <t>Youngstown-Warren-Boardman, OH-PA</t>
        </is>
      </c>
      <c r="C732" s="46" t="inlineStr">
        <is>
          <t>SB Loans</t>
        </is>
      </c>
      <c r="D732" s="46" t="n">
        <v>728</v>
      </c>
      <c r="E732" s="25" t="n">
        <v>7557</v>
      </c>
    </row>
    <row r="733" ht="15" customHeight="1" s="47">
      <c r="C733" s="46" t="inlineStr">
        <is>
          <t>#LMICT</t>
        </is>
      </c>
      <c r="D733" s="46" t="n">
        <v>10</v>
      </c>
      <c r="E733" s="46" t="n">
        <v>456</v>
      </c>
      <c r="F733" s="24">
        <f>IFERROR((D733/D732)-(E733/E732),0)</f>
        <v/>
      </c>
    </row>
    <row r="734" ht="15" customHeight="1" s="47">
      <c r="C734" s="46" t="inlineStr">
        <is>
          <t>Avg SB LMICT Loan Amount</t>
        </is>
      </c>
      <c r="D734" s="51" t="n">
        <v>10800</v>
      </c>
      <c r="E734" s="51" t="n">
        <v>2151</v>
      </c>
      <c r="F734" s="24">
        <f>IFERROR((D734/E734)-1,0)</f>
        <v/>
      </c>
    </row>
    <row r="735" ht="15" customHeight="1" s="47">
      <c r="C735" s="46" t="inlineStr">
        <is>
          <t>Loans Rev Under $1m</t>
        </is>
      </c>
      <c r="D735" s="46" t="n">
        <v>369</v>
      </c>
      <c r="E735" s="25" t="n">
        <v>4184</v>
      </c>
      <c r="F735" s="24">
        <f>IFERROR((D735/D732)-(E735/E732),0)</f>
        <v/>
      </c>
    </row>
    <row r="736" ht="15" customHeight="1" s="47">
      <c r="C736" s="46" t="inlineStr">
        <is>
          <t>Avg Loan Amt for RUM SB</t>
        </is>
      </c>
      <c r="D736" s="51" t="n">
        <v>403533</v>
      </c>
      <c r="E736" s="51" t="n">
        <v>74886</v>
      </c>
      <c r="F736" s="24">
        <f>IFERROR((D736/E736)-1,0)</f>
        <v/>
      </c>
    </row>
    <row r="737" ht="15" customHeight="1" s="47">
      <c r="A737" s="46" t="inlineStr">
        <is>
          <t>South Carolina</t>
        </is>
      </c>
      <c r="B737" s="42" t="inlineStr">
        <is>
          <t>Charleston-North Charleston, SC</t>
        </is>
      </c>
      <c r="C737" s="46" t="inlineStr">
        <is>
          <t>SB Loans</t>
        </is>
      </c>
      <c r="D737" s="46" t="n">
        <v>457</v>
      </c>
      <c r="E737" s="25" t="n">
        <v>73860</v>
      </c>
    </row>
    <row r="738" ht="15" customHeight="1" s="47">
      <c r="C738" s="46" t="inlineStr">
        <is>
          <t>#LMICT</t>
        </is>
      </c>
      <c r="D738" s="46" t="n">
        <v>10</v>
      </c>
      <c r="E738" s="25" t="n">
        <v>1130</v>
      </c>
      <c r="F738" s="24">
        <f>IFERROR((D738/D737)-(E738/E737),0)</f>
        <v/>
      </c>
    </row>
    <row r="739" ht="15" customHeight="1" s="47">
      <c r="C739" s="46" t="inlineStr">
        <is>
          <t>Avg SB LMICT Loan Amount</t>
        </is>
      </c>
      <c r="D739" s="51" t="n">
        <v>10000</v>
      </c>
      <c r="E739" s="51" t="n">
        <v>15207</v>
      </c>
      <c r="F739" s="24">
        <f>IFERROR((D739/E739)-1,0)</f>
        <v/>
      </c>
    </row>
    <row r="740" ht="15" customHeight="1" s="47">
      <c r="C740" s="46" t="inlineStr">
        <is>
          <t>Loans Rev Under $1m</t>
        </is>
      </c>
      <c r="D740" s="46" t="n">
        <v>240</v>
      </c>
      <c r="E740" s="25" t="n">
        <v>34475</v>
      </c>
      <c r="F740" s="24">
        <f>IFERROR((D740/D737)-(E740/E737),0)</f>
        <v/>
      </c>
    </row>
    <row r="741" ht="15" customHeight="1" s="47">
      <c r="C741" s="46" t="inlineStr">
        <is>
          <t>Avg Loan Amt for RUM SB</t>
        </is>
      </c>
      <c r="D741" s="51" t="n">
        <v>320300</v>
      </c>
      <c r="E741" s="51" t="n">
        <v>337519</v>
      </c>
      <c r="F741" s="24">
        <f>IFERROR((D741/E741)-1,0)</f>
        <v/>
      </c>
    </row>
    <row r="742" ht="15" customHeight="1" s="47">
      <c r="B742" s="42" t="inlineStr">
        <is>
          <t>Charlotte-Concord-Gastonia, NC-SC</t>
        </is>
      </c>
      <c r="C742" s="46" t="inlineStr">
        <is>
          <t>SB Loans</t>
        </is>
      </c>
      <c r="D742" s="46" t="n">
        <v>297</v>
      </c>
      <c r="E742" s="25" t="n">
        <v>31484</v>
      </c>
    </row>
    <row r="743" ht="15" customHeight="1" s="47">
      <c r="C743" s="46" t="inlineStr">
        <is>
          <t>#LMICT</t>
        </is>
      </c>
      <c r="D743" s="46" t="n">
        <v>10</v>
      </c>
      <c r="E743" s="46" t="n">
        <v>778</v>
      </c>
      <c r="F743" s="24">
        <f>IFERROR((D743/D742)-(E743/E742),0)</f>
        <v/>
      </c>
    </row>
    <row r="744" ht="15" customHeight="1" s="47">
      <c r="C744" s="46" t="inlineStr">
        <is>
          <t>Avg SB LMICT Loan Amount</t>
        </is>
      </c>
      <c r="D744" s="51" t="n">
        <v>9000</v>
      </c>
      <c r="E744" s="51" t="n">
        <v>7473</v>
      </c>
      <c r="F744" s="24">
        <f>IFERROR((D744/E744)-1,0)</f>
        <v/>
      </c>
    </row>
    <row r="745" ht="15" customHeight="1" s="47">
      <c r="C745" s="46" t="inlineStr">
        <is>
          <t>Loans Rev Under $1m</t>
        </is>
      </c>
      <c r="D745" s="46" t="n">
        <v>139</v>
      </c>
      <c r="E745" s="25" t="n">
        <v>16457</v>
      </c>
      <c r="F745" s="24">
        <f>IFERROR((D745/D742)-(E745/E742),0)</f>
        <v/>
      </c>
    </row>
    <row r="746" ht="15" customHeight="1" s="47">
      <c r="C746" s="46" t="inlineStr">
        <is>
          <t>Avg Loan Amt for RUM SB</t>
        </is>
      </c>
      <c r="D746" s="51" t="n">
        <v>205733</v>
      </c>
      <c r="E746" s="51" t="n">
        <v>182871</v>
      </c>
      <c r="F746" s="24">
        <f>IFERROR((D746/E746)-1,0)</f>
        <v/>
      </c>
    </row>
    <row r="747" ht="15" customHeight="1" s="47">
      <c r="B747" s="42" t="inlineStr">
        <is>
          <t>Columbia, SC</t>
        </is>
      </c>
      <c r="C747" s="46" t="inlineStr">
        <is>
          <t>SB Loans</t>
        </is>
      </c>
      <c r="D747" s="46" t="n">
        <v>114</v>
      </c>
      <c r="E747" s="25" t="n">
        <v>43458</v>
      </c>
    </row>
    <row r="748" ht="15" customHeight="1" s="47">
      <c r="C748" s="46" t="inlineStr">
        <is>
          <t>#LMICT</t>
        </is>
      </c>
      <c r="D748" s="46" t="n">
        <v>10</v>
      </c>
      <c r="E748" s="46" t="n">
        <v>752</v>
      </c>
      <c r="F748" s="24">
        <f>IFERROR((D748/D747)-(E748/E747),0)</f>
        <v/>
      </c>
    </row>
    <row r="749" ht="15" customHeight="1" s="47">
      <c r="C749" s="46" t="inlineStr">
        <is>
          <t>Avg SB LMICT Loan Amount</t>
        </is>
      </c>
      <c r="D749" s="51" t="n">
        <v>3500</v>
      </c>
      <c r="E749" s="51" t="n">
        <v>16967</v>
      </c>
      <c r="F749" s="24">
        <f>IFERROR((D749/E749)-1,0)</f>
        <v/>
      </c>
    </row>
    <row r="750" ht="15" customHeight="1" s="47">
      <c r="C750" s="46" t="inlineStr">
        <is>
          <t>Loans Rev Under $1m</t>
        </is>
      </c>
      <c r="D750" s="46" t="n">
        <v>66</v>
      </c>
      <c r="E750" s="25" t="n">
        <v>20751</v>
      </c>
      <c r="F750" s="24">
        <f>IFERROR((D750/D747)-(E750/E747),0)</f>
        <v/>
      </c>
    </row>
    <row r="751" ht="15" customHeight="1" s="47">
      <c r="C751" s="46" t="inlineStr">
        <is>
          <t>Avg Loan Amt for RUM SB</t>
        </is>
      </c>
      <c r="D751" s="51" t="n">
        <v>57500</v>
      </c>
      <c r="E751" s="51" t="n">
        <v>278944</v>
      </c>
      <c r="F751" s="24">
        <f>IFERROR((D751/E751)-1,0)</f>
        <v/>
      </c>
    </row>
    <row r="752" ht="15" customHeight="1" s="47">
      <c r="B752" s="42" t="inlineStr">
        <is>
          <t>Florence, SC</t>
        </is>
      </c>
      <c r="C752" s="46" t="inlineStr">
        <is>
          <t>SB Loans</t>
        </is>
      </c>
      <c r="D752" s="46" t="n">
        <v>104</v>
      </c>
      <c r="E752" s="25" t="n">
        <v>10923</v>
      </c>
    </row>
    <row r="753" ht="15" customHeight="1" s="47">
      <c r="C753" s="46" t="inlineStr">
        <is>
          <t>#LMICT</t>
        </is>
      </c>
      <c r="D753" s="46" t="n">
        <v>10</v>
      </c>
      <c r="E753" s="46" t="n">
        <v>514</v>
      </c>
      <c r="F753" s="24">
        <f>IFERROR((D753/D752)-(E753/E752),0)</f>
        <v/>
      </c>
    </row>
    <row r="754" ht="15" customHeight="1" s="47">
      <c r="C754" s="46" t="inlineStr">
        <is>
          <t>Avg SB LMICT Loan Amount</t>
        </is>
      </c>
      <c r="D754" s="51" t="n">
        <v>2400</v>
      </c>
      <c r="E754" s="51" t="n">
        <v>3356</v>
      </c>
      <c r="F754" s="24">
        <f>IFERROR((D754/E754)-1,0)</f>
        <v/>
      </c>
    </row>
    <row r="755" ht="15" customHeight="1" s="47">
      <c r="C755" s="46" t="inlineStr">
        <is>
          <t>Loans Rev Under $1m</t>
        </is>
      </c>
      <c r="D755" s="46" t="n">
        <v>55</v>
      </c>
      <c r="E755" s="25" t="n">
        <v>5156</v>
      </c>
      <c r="F755" s="24">
        <f>IFERROR((D755/D752)-(E755/E752),0)</f>
        <v/>
      </c>
    </row>
    <row r="756" ht="15" customHeight="1" s="47">
      <c r="C756" s="46" t="inlineStr">
        <is>
          <t>Avg Loan Amt for RUM SB</t>
        </is>
      </c>
      <c r="D756" s="51" t="n">
        <v>41667</v>
      </c>
      <c r="E756" s="51" t="n">
        <v>96168</v>
      </c>
      <c r="F756" s="24">
        <f>IFERROR((D756/E756)-1,0)</f>
        <v/>
      </c>
    </row>
    <row r="757" ht="15" customHeight="1" s="47">
      <c r="B757" s="42" t="inlineStr">
        <is>
          <t>Greenville-Anderson, SC</t>
        </is>
      </c>
      <c r="C757" s="46" t="inlineStr">
        <is>
          <t>SB Loans</t>
        </is>
      </c>
      <c r="D757" s="46" t="n">
        <v>263</v>
      </c>
      <c r="E757" s="25" t="n">
        <v>79170</v>
      </c>
    </row>
    <row r="758" ht="15" customHeight="1" s="47">
      <c r="C758" s="46" t="inlineStr">
        <is>
          <t>#LMICT</t>
        </is>
      </c>
      <c r="D758" s="46" t="n">
        <v>30</v>
      </c>
      <c r="E758" s="25" t="n">
        <v>2464</v>
      </c>
      <c r="F758" s="24">
        <f>IFERROR((D758/D757)-(E758/E757),0)</f>
        <v/>
      </c>
    </row>
    <row r="759" ht="15" customHeight="1" s="47">
      <c r="C759" s="46" t="inlineStr">
        <is>
          <t>Avg SB LMICT Loan Amount</t>
        </is>
      </c>
      <c r="D759" s="51" t="n">
        <v>2500</v>
      </c>
      <c r="E759" s="51" t="n">
        <v>6012</v>
      </c>
      <c r="F759" s="24">
        <f>IFERROR((D759/E759)-1,0)</f>
        <v/>
      </c>
    </row>
    <row r="760" ht="15" customHeight="1" s="47">
      <c r="C760" s="46" t="inlineStr">
        <is>
          <t>Loans Rev Under $1m</t>
        </is>
      </c>
      <c r="D760" s="46" t="n">
        <v>134</v>
      </c>
      <c r="E760" s="25" t="n">
        <v>39070</v>
      </c>
      <c r="F760" s="24">
        <f>IFERROR((D760/D757)-(E760/E757),0)</f>
        <v/>
      </c>
    </row>
    <row r="761" ht="15" customHeight="1" s="47">
      <c r="C761" s="46" t="inlineStr">
        <is>
          <t>Avg Loan Amt for RUM SB</t>
        </is>
      </c>
      <c r="D761" s="51" t="n">
        <v>76625</v>
      </c>
      <c r="E761" s="51" t="n">
        <v>205455</v>
      </c>
      <c r="F761" s="24">
        <f>IFERROR((D761/E761)-1,0)</f>
        <v/>
      </c>
    </row>
    <row r="762" ht="15" customHeight="1" s="47">
      <c r="B762" s="42" t="inlineStr">
        <is>
          <t>Hilton Head Island-Bluffton, SC</t>
        </is>
      </c>
      <c r="C762" s="46" t="inlineStr">
        <is>
          <t>SB Loans</t>
        </is>
      </c>
      <c r="D762" s="46" t="n">
        <v>116</v>
      </c>
      <c r="E762" s="25" t="n">
        <v>26660</v>
      </c>
    </row>
    <row r="763" ht="15" customHeight="1" s="47">
      <c r="C763" s="46" t="inlineStr">
        <is>
          <t>#LMICT</t>
        </is>
      </c>
      <c r="D763" s="46" t="n">
        <v>10</v>
      </c>
      <c r="E763" s="46" t="n">
        <v>817</v>
      </c>
      <c r="F763" s="24">
        <f>IFERROR((D763/D762)-(E763/E762),0)</f>
        <v/>
      </c>
    </row>
    <row r="764" ht="15" customHeight="1" s="47">
      <c r="C764" s="46" t="inlineStr">
        <is>
          <t>Avg SB LMICT Loan Amount</t>
        </is>
      </c>
      <c r="D764" s="51" t="n">
        <v>1400</v>
      </c>
      <c r="E764" s="51" t="n">
        <v>4674</v>
      </c>
      <c r="F764" s="24">
        <f>IFERROR((D764/E764)-1,0)</f>
        <v/>
      </c>
    </row>
    <row r="765" ht="15" customHeight="1" s="47">
      <c r="C765" s="46" t="inlineStr">
        <is>
          <t>Loans Rev Under $1m</t>
        </is>
      </c>
      <c r="D765" s="46" t="n">
        <v>72</v>
      </c>
      <c r="E765" s="25" t="n">
        <v>12954</v>
      </c>
      <c r="F765" s="24">
        <f>IFERROR((D765/D762)-(E765/E762),0)</f>
        <v/>
      </c>
    </row>
    <row r="766" ht="15" customHeight="1" s="47">
      <c r="C766" s="46" t="inlineStr">
        <is>
          <t>Avg Loan Amt for RUM SB</t>
        </is>
      </c>
      <c r="D766" s="51" t="n">
        <v>65367</v>
      </c>
      <c r="E766" s="51" t="n">
        <v>151662</v>
      </c>
      <c r="F766" s="24">
        <f>IFERROR((D766/E766)-1,0)</f>
        <v/>
      </c>
    </row>
    <row r="767" ht="15" customHeight="1" s="47">
      <c r="B767" s="42" t="inlineStr">
        <is>
          <t>Myrtle Beach-Conway-North Myrtle Beach, SC-NC</t>
        </is>
      </c>
      <c r="C767" s="46" t="inlineStr">
        <is>
          <t>SB Loans</t>
        </is>
      </c>
      <c r="D767" s="46" t="n">
        <v>190</v>
      </c>
      <c r="E767" s="25" t="n">
        <v>50783</v>
      </c>
    </row>
    <row r="768" ht="15" customHeight="1" s="47">
      <c r="C768" s="46" t="inlineStr">
        <is>
          <t>#LMICT</t>
        </is>
      </c>
      <c r="D768" s="46" t="n">
        <v>10</v>
      </c>
      <c r="E768" s="46" t="n">
        <v>794</v>
      </c>
      <c r="F768" s="24">
        <f>IFERROR((D768/D767)-(E768/E767),0)</f>
        <v/>
      </c>
    </row>
    <row r="769" ht="15" customHeight="1" s="47">
      <c r="C769" s="46" t="inlineStr">
        <is>
          <t>Avg SB LMICT Loan Amount</t>
        </is>
      </c>
      <c r="D769" s="51" t="n">
        <v>3200</v>
      </c>
      <c r="E769" s="51" t="n">
        <v>13417</v>
      </c>
      <c r="F769" s="24">
        <f>IFERROR((D769/E769)-1,0)</f>
        <v/>
      </c>
    </row>
    <row r="770" ht="15" customHeight="1" s="47">
      <c r="C770" s="46" t="inlineStr">
        <is>
          <t>Loans Rev Under $1m</t>
        </is>
      </c>
      <c r="D770" s="46" t="n">
        <v>134</v>
      </c>
      <c r="E770" s="25" t="n">
        <v>24543</v>
      </c>
      <c r="F770" s="24">
        <f>IFERROR((D770/D767)-(E770/E767),0)</f>
        <v/>
      </c>
    </row>
    <row r="771" ht="15" customHeight="1" s="47">
      <c r="C771" s="46" t="inlineStr">
        <is>
          <t>Avg Loan Amt for RUM SB</t>
        </is>
      </c>
      <c r="D771" s="51" t="n">
        <v>126067</v>
      </c>
      <c r="E771" s="51" t="n">
        <v>341426</v>
      </c>
      <c r="F771" s="24">
        <f>IFERROR((D771/E771)-1,0)</f>
        <v/>
      </c>
    </row>
    <row r="772" ht="15" customHeight="1" s="47">
      <c r="B772" s="42" t="inlineStr">
        <is>
          <t>South Carolina Non-MSA</t>
        </is>
      </c>
      <c r="C772" s="46" t="inlineStr">
        <is>
          <t>SB Loans</t>
        </is>
      </c>
      <c r="D772" s="46" t="n">
        <v>34</v>
      </c>
      <c r="E772" s="25" t="n">
        <v>7748</v>
      </c>
    </row>
    <row r="773" ht="15" customHeight="1" s="47">
      <c r="C773" s="46" t="inlineStr">
        <is>
          <t>#LMICT</t>
        </is>
      </c>
      <c r="D773" s="46" t="n">
        <v>10</v>
      </c>
      <c r="E773" s="46" t="n">
        <v>454</v>
      </c>
      <c r="F773" s="24">
        <f>IFERROR((D773/D772)-(E773/E772),0)</f>
        <v/>
      </c>
    </row>
    <row r="774" ht="15" customHeight="1" s="47">
      <c r="C774" s="46" t="inlineStr">
        <is>
          <t>Avg SB LMICT Loan Amount</t>
        </is>
      </c>
      <c r="D774" s="51" t="n">
        <v>0</v>
      </c>
      <c r="E774" s="51" t="n">
        <v>828</v>
      </c>
      <c r="F774" s="24">
        <f>IFERROR((D774/E774)-1,0)</f>
        <v/>
      </c>
    </row>
    <row r="775" ht="15" customHeight="1" s="47">
      <c r="C775" s="46" t="inlineStr">
        <is>
          <t>Loans Rev Under $1m</t>
        </is>
      </c>
      <c r="D775" s="46" t="n">
        <v>21</v>
      </c>
      <c r="E775" s="25" t="n">
        <v>3699</v>
      </c>
      <c r="F775" s="24">
        <f>IFERROR((D775/D772)-(E775/E772),0)</f>
        <v/>
      </c>
    </row>
    <row r="776" ht="15" customHeight="1" s="47">
      <c r="C776" s="46" t="inlineStr">
        <is>
          <t>Avg Loan Amt for RUM SB</t>
        </is>
      </c>
      <c r="D776" s="51" t="n">
        <v>51500</v>
      </c>
      <c r="E776" s="51" t="n">
        <v>89109</v>
      </c>
      <c r="F776" s="24">
        <f>IFERROR((D776/E776)-1,0)</f>
        <v/>
      </c>
    </row>
    <row r="777" ht="15" customHeight="1" s="47">
      <c r="A777" s="46" t="inlineStr">
        <is>
          <t>Tennessee</t>
        </is>
      </c>
      <c r="B777" s="42" t="inlineStr">
        <is>
          <t>Nashville-Davidson-Murfreesboro-Franklin, TN</t>
        </is>
      </c>
      <c r="C777" s="46" t="inlineStr">
        <is>
          <t>SB Loans</t>
        </is>
      </c>
      <c r="D777" s="46" t="n">
        <v>182</v>
      </c>
      <c r="E777" s="25" t="n">
        <v>179306</v>
      </c>
    </row>
    <row r="778" ht="15" customHeight="1" s="47">
      <c r="C778" s="46" t="inlineStr">
        <is>
          <t>#LMICT</t>
        </is>
      </c>
      <c r="D778" s="46" t="n">
        <v>52</v>
      </c>
      <c r="E778" s="25" t="n">
        <v>6948</v>
      </c>
      <c r="F778" s="24">
        <f>IFERROR((D778/D777)-(E778/E777),0)</f>
        <v/>
      </c>
    </row>
    <row r="779" ht="15" customHeight="1" s="47">
      <c r="C779" s="46" t="inlineStr">
        <is>
          <t>Avg SB LMICT Loan Amount</t>
        </is>
      </c>
      <c r="D779" s="51" t="n">
        <v>923</v>
      </c>
      <c r="E779" s="51" t="n">
        <v>5523</v>
      </c>
      <c r="F779" s="24">
        <f>IFERROR((D779/E779)-1,0)</f>
        <v/>
      </c>
    </row>
    <row r="780" ht="15" customHeight="1" s="47">
      <c r="C780" s="46" t="inlineStr">
        <is>
          <t>Loans Rev Under $1m</t>
        </is>
      </c>
      <c r="D780" s="46" t="n">
        <v>61</v>
      </c>
      <c r="E780" s="25" t="n">
        <v>88031</v>
      </c>
      <c r="F780" s="24">
        <f>IFERROR((D780/D777)-(E780/E777),0)</f>
        <v/>
      </c>
    </row>
    <row r="781" ht="15" customHeight="1" s="47">
      <c r="C781" s="46" t="inlineStr">
        <is>
          <t>Avg Loan Amt for RUM SB</t>
        </is>
      </c>
      <c r="D781" s="51" t="n">
        <v>27481</v>
      </c>
      <c r="E781" s="51" t="n">
        <v>182768</v>
      </c>
      <c r="F781" s="24">
        <f>IFERROR((D781/E781)-1,0)</f>
        <v/>
      </c>
    </row>
    <row r="782" ht="15" customHeight="1" s="47">
      <c r="A782" s="46" t="inlineStr">
        <is>
          <t>Texas</t>
        </is>
      </c>
      <c r="B782" s="42" t="inlineStr">
        <is>
          <t>Dallas-Fort Worth-Arlington, TX</t>
        </is>
      </c>
      <c r="C782" s="46" t="inlineStr">
        <is>
          <t>SB Loans</t>
        </is>
      </c>
      <c r="D782" s="25" t="n">
        <v>4173</v>
      </c>
      <c r="E782" s="25" t="n">
        <v>961580</v>
      </c>
    </row>
    <row r="783" ht="15" customHeight="1" s="47">
      <c r="C783" s="46" t="inlineStr">
        <is>
          <t>#LMICT</t>
        </is>
      </c>
      <c r="D783" s="46" t="n">
        <v>136</v>
      </c>
      <c r="E783" s="25" t="n">
        <v>27731</v>
      </c>
      <c r="F783" s="24">
        <f>IFERROR((D783/D782)-(E783/E782),0)</f>
        <v/>
      </c>
    </row>
    <row r="784" ht="15" customHeight="1" s="47">
      <c r="C784" s="46" t="inlineStr">
        <is>
          <t>Avg SB LMICT Loan Amount</t>
        </is>
      </c>
      <c r="D784" s="51" t="n">
        <v>7551</v>
      </c>
      <c r="E784" s="51" t="n">
        <v>7347</v>
      </c>
      <c r="F784" s="24">
        <f>IFERROR((D784/E784)-1,0)</f>
        <v/>
      </c>
    </row>
    <row r="785" ht="15" customHeight="1" s="47">
      <c r="C785" s="46" t="inlineStr">
        <is>
          <t>Loans Rev Under $1m</t>
        </is>
      </c>
      <c r="D785" s="25" t="n">
        <v>2135</v>
      </c>
      <c r="E785" s="25" t="n">
        <v>455225</v>
      </c>
      <c r="F785" s="24">
        <f>IFERROR((D785/D782)-(E785/E782),0)</f>
        <v/>
      </c>
    </row>
    <row r="786" ht="15" customHeight="1" s="47">
      <c r="C786" s="46" t="inlineStr">
        <is>
          <t>Avg Loan Amt for RUM SB</t>
        </is>
      </c>
      <c r="D786" s="51" t="n">
        <v>208550</v>
      </c>
      <c r="E786" s="51" t="n">
        <v>197353</v>
      </c>
      <c r="F786" s="24">
        <f>IFERROR((D786/E786)-1,0)</f>
        <v/>
      </c>
    </row>
    <row r="787" ht="15" customHeight="1" s="47">
      <c r="B787" s="42" t="inlineStr">
        <is>
          <t>Houston-The Woodlands-Sugar Land, TX</t>
        </is>
      </c>
      <c r="C787" s="46" t="inlineStr">
        <is>
          <t>SB Loans</t>
        </is>
      </c>
      <c r="D787" s="25" t="n">
        <v>2767</v>
      </c>
      <c r="E787" s="25" t="n">
        <v>931239</v>
      </c>
    </row>
    <row r="788" ht="15" customHeight="1" s="47">
      <c r="C788" s="46" t="inlineStr">
        <is>
          <t>#LMICT</t>
        </is>
      </c>
      <c r="D788" s="46" t="n">
        <v>102</v>
      </c>
      <c r="E788" s="25" t="n">
        <v>18160</v>
      </c>
      <c r="F788" s="24">
        <f>IFERROR((D788/D787)-(E788/E787),0)</f>
        <v/>
      </c>
    </row>
    <row r="789" ht="15" customHeight="1" s="47">
      <c r="C789" s="46" t="inlineStr">
        <is>
          <t>Avg SB LMICT Loan Amount</t>
        </is>
      </c>
      <c r="D789" s="51" t="n">
        <v>8049</v>
      </c>
      <c r="E789" s="51" t="n">
        <v>12070</v>
      </c>
      <c r="F789" s="24">
        <f>IFERROR((D789/E789)-1,0)</f>
        <v/>
      </c>
    </row>
    <row r="790" ht="15" customHeight="1" s="47">
      <c r="C790" s="46" t="inlineStr">
        <is>
          <t>Loans Rev Under $1m</t>
        </is>
      </c>
      <c r="D790" s="25" t="n">
        <v>1472</v>
      </c>
      <c r="E790" s="25" t="n">
        <v>435392</v>
      </c>
      <c r="F790" s="24">
        <f>IFERROR((D790/D787)-(E790/E787),0)</f>
        <v/>
      </c>
    </row>
    <row r="791" ht="15" customHeight="1" s="47">
      <c r="C791" s="46" t="inlineStr">
        <is>
          <t>Avg Loan Amt for RUM SB</t>
        </is>
      </c>
      <c r="D791" s="51" t="n">
        <v>215498</v>
      </c>
      <c r="E791" s="51" t="n">
        <v>280408</v>
      </c>
      <c r="F791" s="24">
        <f>IFERROR((D791/E791)-1,0)</f>
        <v/>
      </c>
    </row>
    <row r="792" ht="15" customHeight="1" s="47">
      <c r="A792" s="46" t="inlineStr">
        <is>
          <t>Virginia</t>
        </is>
      </c>
      <c r="B792" s="42" t="inlineStr">
        <is>
          <t>Virginia Beach-Norfolk-Newport News, VA-NC</t>
        </is>
      </c>
      <c r="C792" s="46" t="inlineStr">
        <is>
          <t>SB Loans</t>
        </is>
      </c>
      <c r="D792" s="46" t="n">
        <v>57</v>
      </c>
      <c r="E792" s="25" t="n">
        <v>7936</v>
      </c>
    </row>
    <row r="793" ht="15" customHeight="1" s="47">
      <c r="C793" s="46" t="inlineStr">
        <is>
          <t>#LMICT</t>
        </is>
      </c>
      <c r="D793" s="46" t="n">
        <v>10</v>
      </c>
      <c r="E793" s="46" t="n">
        <v>450</v>
      </c>
      <c r="F793" s="24">
        <f>IFERROR((D793/D792)-(E793/E792),0)</f>
        <v/>
      </c>
    </row>
    <row r="794" ht="15" customHeight="1" s="47">
      <c r="C794" s="46" t="inlineStr">
        <is>
          <t>Avg SB LMICT Loan Amount</t>
        </is>
      </c>
      <c r="D794" s="51" t="n">
        <v>0</v>
      </c>
      <c r="E794" s="51" t="n">
        <v>464</v>
      </c>
      <c r="F794" s="24">
        <f>IFERROR((D794/E794)-1,0)</f>
        <v/>
      </c>
    </row>
    <row r="795" ht="15" customHeight="1" s="47">
      <c r="C795" s="46" t="inlineStr">
        <is>
          <t>Loans Rev Under $1m</t>
        </is>
      </c>
      <c r="D795" s="46" t="n">
        <v>42</v>
      </c>
      <c r="E795" s="25" t="n">
        <v>4010</v>
      </c>
      <c r="F795" s="24">
        <f>IFERROR((D795/D792)-(E795/E792),0)</f>
        <v/>
      </c>
    </row>
    <row r="796" ht="15" customHeight="1" s="47">
      <c r="C796" s="46" t="inlineStr">
        <is>
          <t>Avg Loan Amt for RUM SB</t>
        </is>
      </c>
      <c r="D796" s="51" t="n">
        <v>26867</v>
      </c>
      <c r="E796" s="51" t="n">
        <v>64204</v>
      </c>
      <c r="F796" s="24">
        <f>IFERROR((D796/E796)-1,0)</f>
        <v/>
      </c>
    </row>
    <row r="797" ht="15" customHeight="1" s="47">
      <c r="B797" s="42" t="inlineStr">
        <is>
          <t>Virginia Non-MSA</t>
        </is>
      </c>
      <c r="C797" s="46" t="inlineStr">
        <is>
          <t>SB Loans</t>
        </is>
      </c>
      <c r="D797" s="46" t="n">
        <v>345</v>
      </c>
      <c r="E797" s="25" t="n">
        <v>4192</v>
      </c>
    </row>
    <row r="798" ht="15" customHeight="1" s="47">
      <c r="C798" s="46" t="inlineStr">
        <is>
          <t>#LMICT</t>
        </is>
      </c>
      <c r="D798" s="46" t="n">
        <v>20</v>
      </c>
      <c r="E798" s="46" t="n">
        <v>570</v>
      </c>
      <c r="F798" s="24">
        <f>IFERROR((D798/D797)-(E798/E797),0)</f>
        <v/>
      </c>
    </row>
    <row r="799" ht="15" customHeight="1" s="47">
      <c r="C799" s="46" t="inlineStr">
        <is>
          <t>Avg SB LMICT Loan Amount</t>
        </is>
      </c>
      <c r="D799" s="51" t="n">
        <v>1500</v>
      </c>
      <c r="E799" s="51" t="n">
        <v>595</v>
      </c>
      <c r="F799" s="24">
        <f>IFERROR((D799/E799)-1,0)</f>
        <v/>
      </c>
    </row>
    <row r="800" ht="15" customHeight="1" s="47">
      <c r="C800" s="46" t="inlineStr">
        <is>
          <t>Loans Rev Under $1m</t>
        </is>
      </c>
      <c r="D800" s="46" t="n">
        <v>213</v>
      </c>
      <c r="E800" s="25" t="n">
        <v>2160</v>
      </c>
      <c r="F800" s="24">
        <f>IFERROR((D800/D797)-(E800/E797),0)</f>
        <v/>
      </c>
    </row>
    <row r="801" ht="15" customHeight="1" s="47">
      <c r="C801" s="46" t="inlineStr">
        <is>
          <t>Avg Loan Amt for RUM SB</t>
        </is>
      </c>
      <c r="D801" s="51" t="n">
        <v>111950</v>
      </c>
      <c r="E801" s="51" t="n">
        <v>35648</v>
      </c>
      <c r="F801" s="24">
        <f>IFERROR((D801/E801)-1,0)</f>
        <v/>
      </c>
    </row>
    <row r="802" ht="15" customHeight="1" s="47">
      <c r="B802" s="42" t="inlineStr">
        <is>
          <t>Washington-Arlington-Alexandria, DC-VA-MD-WV</t>
        </is>
      </c>
      <c r="C802" s="46" t="inlineStr">
        <is>
          <t>SB Loans</t>
        </is>
      </c>
      <c r="D802" s="25" t="n">
        <v>9879</v>
      </c>
      <c r="E802" s="25" t="n">
        <v>362800</v>
      </c>
    </row>
    <row r="803" ht="15" customHeight="1" s="47">
      <c r="C803" s="46" t="inlineStr">
        <is>
          <t>#LMICT</t>
        </is>
      </c>
      <c r="D803" s="46" t="n">
        <v>94</v>
      </c>
      <c r="E803" s="25" t="n">
        <v>9160</v>
      </c>
      <c r="F803" s="24">
        <f>IFERROR((D803/D802)-(E803/E802),0)</f>
        <v/>
      </c>
    </row>
    <row r="804" ht="15" customHeight="1" s="47">
      <c r="C804" s="46" t="inlineStr">
        <is>
          <t>Avg SB LMICT Loan Amount</t>
        </is>
      </c>
      <c r="D804" s="51" t="n">
        <v>17553</v>
      </c>
      <c r="E804" s="51" t="n">
        <v>5825</v>
      </c>
      <c r="F804" s="24">
        <f>IFERROR((D804/E804)-1,0)</f>
        <v/>
      </c>
    </row>
    <row r="805" ht="15" customHeight="1" s="47">
      <c r="C805" s="46" t="inlineStr">
        <is>
          <t>Loans Rev Under $1m</t>
        </is>
      </c>
      <c r="D805" s="25" t="n">
        <v>5903</v>
      </c>
      <c r="E805" s="25" t="n">
        <v>190066</v>
      </c>
      <c r="F805" s="24">
        <f>IFERROR((D805/D802)-(E805/E802),0)</f>
        <v/>
      </c>
    </row>
    <row r="806" ht="15" customHeight="1" s="47">
      <c r="C806" s="46" t="inlineStr">
        <is>
          <t>Avg Loan Amt for RUM SB</t>
        </is>
      </c>
      <c r="D806" s="51" t="n">
        <v>814294</v>
      </c>
      <c r="E806" s="51" t="n">
        <v>167669</v>
      </c>
      <c r="F806" s="24">
        <f>IFERROR((D806/E806)-1,0)</f>
        <v/>
      </c>
    </row>
    <row r="807" ht="15" customHeight="1" s="47">
      <c r="A807" s="46" t="inlineStr">
        <is>
          <t>West Virginia</t>
        </is>
      </c>
      <c r="B807" s="42" t="inlineStr">
        <is>
          <t>Cumberland, MD-WV</t>
        </is>
      </c>
      <c r="C807" s="46" t="inlineStr">
        <is>
          <t>SB Loans</t>
        </is>
      </c>
      <c r="D807" s="46" t="n">
        <v>1</v>
      </c>
      <c r="E807" s="25" t="n">
        <v>1448</v>
      </c>
    </row>
    <row r="808" ht="15" customHeight="1" s="47">
      <c r="C808" s="46" t="inlineStr">
        <is>
          <t>#LMICT</t>
        </is>
      </c>
      <c r="D808" s="46" t="n">
        <v>2</v>
      </c>
      <c r="E808" s="46" t="n">
        <v>252</v>
      </c>
      <c r="F808" s="24">
        <f>IFERROR((D808/D807)-(E808/E807),0)</f>
        <v/>
      </c>
    </row>
    <row r="809" ht="15" customHeight="1" s="47">
      <c r="C809" s="46" t="inlineStr">
        <is>
          <t>Avg SB LMICT Loan Amount</t>
        </is>
      </c>
      <c r="D809" s="51" t="n">
        <v>0</v>
      </c>
      <c r="E809" s="51" t="n">
        <v>679</v>
      </c>
      <c r="F809" s="24">
        <f>IFERROR((D809/E809)-1,0)</f>
        <v/>
      </c>
    </row>
    <row r="810" ht="15" customHeight="1" s="47">
      <c r="C810" s="46" t="inlineStr">
        <is>
          <t>Loans Rev Under $1m</t>
        </is>
      </c>
      <c r="D810" s="46" t="n">
        <v>1</v>
      </c>
      <c r="E810" s="46" t="n">
        <v>733</v>
      </c>
      <c r="F810" s="24">
        <f>IFERROR((D810/D807)-(E810/E807),0)</f>
        <v/>
      </c>
    </row>
    <row r="811" ht="15" customHeight="1" s="47">
      <c r="C811" s="46" t="inlineStr">
        <is>
          <t>Avg Loan Amt for RUM SB</t>
        </is>
      </c>
      <c r="D811" s="51" t="n">
        <v>2333</v>
      </c>
      <c r="E811" s="51" t="n">
        <v>18017</v>
      </c>
      <c r="F811" s="24">
        <f>IFERROR((D811/E811)-1,0)</f>
        <v/>
      </c>
    </row>
    <row r="812" ht="15" customHeight="1" s="47">
      <c r="B812" s="42" t="inlineStr">
        <is>
          <t>Huntington-Ashland, WV-KY-OH</t>
        </is>
      </c>
      <c r="C812" s="46" t="inlineStr">
        <is>
          <t>SB Loans</t>
        </is>
      </c>
      <c r="D812" s="46" t="n">
        <v>16</v>
      </c>
      <c r="E812" s="25" t="n">
        <v>6806</v>
      </c>
    </row>
    <row r="813" ht="15" customHeight="1" s="47">
      <c r="C813" s="46" t="inlineStr">
        <is>
          <t>#LMICT</t>
        </is>
      </c>
      <c r="D813" s="46" t="n">
        <v>8</v>
      </c>
      <c r="E813" s="46" t="n">
        <v>436</v>
      </c>
      <c r="F813" s="24">
        <f>IFERROR((D813/D812)-(E813/E812),0)</f>
        <v/>
      </c>
    </row>
    <row r="814" ht="15" customHeight="1" s="47">
      <c r="C814" s="46" t="inlineStr">
        <is>
          <t>Avg SB LMICT Loan Amount</t>
        </is>
      </c>
      <c r="D814" s="51" t="n">
        <v>1000</v>
      </c>
      <c r="E814" s="51" t="n">
        <v>5399</v>
      </c>
      <c r="F814" s="24">
        <f>IFERROR((D814/E814)-1,0)</f>
        <v/>
      </c>
    </row>
    <row r="815" ht="15" customHeight="1" s="47">
      <c r="C815" s="46" t="inlineStr">
        <is>
          <t>Loans Rev Under $1m</t>
        </is>
      </c>
      <c r="D815" s="46" t="n">
        <v>10</v>
      </c>
      <c r="E815" s="25" t="n">
        <v>2861</v>
      </c>
      <c r="F815" s="24">
        <f>IFERROR((D815/D812)-(E815/E812),0)</f>
        <v/>
      </c>
    </row>
    <row r="816" ht="15" customHeight="1" s="47">
      <c r="C816" s="46" t="inlineStr">
        <is>
          <t>Avg Loan Amt for RUM SB</t>
        </is>
      </c>
      <c r="D816" s="51" t="n">
        <v>4167</v>
      </c>
      <c r="E816" s="51" t="n">
        <v>91956</v>
      </c>
      <c r="F816" s="24">
        <f>IFERROR((D816/E816)-1,0)</f>
        <v/>
      </c>
    </row>
    <row r="817" ht="15" customHeight="1" s="47">
      <c r="B817" s="42" t="inlineStr">
        <is>
          <t>Morgantown, WV</t>
        </is>
      </c>
      <c r="C817" s="46" t="inlineStr">
        <is>
          <t>SB Loans</t>
        </is>
      </c>
      <c r="D817" s="46" t="n">
        <v>188</v>
      </c>
      <c r="E817" s="25" t="n">
        <v>8760</v>
      </c>
    </row>
    <row r="818" ht="15" customHeight="1" s="47">
      <c r="C818" s="46" t="inlineStr">
        <is>
          <t>#LMICT</t>
        </is>
      </c>
      <c r="D818" s="46" t="n">
        <v>10</v>
      </c>
      <c r="E818" s="46" t="n">
        <v>482</v>
      </c>
      <c r="F818" s="24">
        <f>IFERROR((D818/D817)-(E818/E817),0)</f>
        <v/>
      </c>
    </row>
    <row r="819" ht="15" customHeight="1" s="47">
      <c r="C819" s="46" t="inlineStr">
        <is>
          <t>Avg SB LMICT Loan Amount</t>
        </is>
      </c>
      <c r="D819" s="51" t="n">
        <v>4700</v>
      </c>
      <c r="E819" s="51" t="n">
        <v>3048</v>
      </c>
      <c r="F819" s="24">
        <f>IFERROR((D819/E819)-1,0)</f>
        <v/>
      </c>
    </row>
    <row r="820" ht="15" customHeight="1" s="47">
      <c r="C820" s="46" t="inlineStr">
        <is>
          <t>Loans Rev Under $1m</t>
        </is>
      </c>
      <c r="D820" s="46" t="n">
        <v>106</v>
      </c>
      <c r="E820" s="25" t="n">
        <v>4079</v>
      </c>
      <c r="F820" s="24">
        <f>IFERROR((D820/D817)-(E820/E817),0)</f>
        <v/>
      </c>
    </row>
    <row r="821" ht="15" customHeight="1" s="47">
      <c r="C821" s="46" t="inlineStr">
        <is>
          <t>Avg Loan Amt for RUM SB</t>
        </is>
      </c>
      <c r="D821" s="51" t="n">
        <v>66200</v>
      </c>
      <c r="E821" s="51" t="n">
        <v>101304</v>
      </c>
      <c r="F821" s="24">
        <f>IFERROR((D821/E821)-1,0)</f>
        <v/>
      </c>
    </row>
    <row r="822" ht="15" customHeight="1" s="47">
      <c r="A822" s="46" t="inlineStr">
        <is>
          <t>Wisconsin</t>
        </is>
      </c>
      <c r="B822" s="42" t="inlineStr">
        <is>
          <t>Chicago-Naperville-Elgin, IL-IN-WI</t>
        </is>
      </c>
      <c r="C822" s="46" t="inlineStr">
        <is>
          <t>SB Loans</t>
        </is>
      </c>
      <c r="D822" s="46" t="n">
        <v>117</v>
      </c>
      <c r="E822" s="25" t="n">
        <v>14297</v>
      </c>
    </row>
    <row r="823" ht="15" customHeight="1" s="47">
      <c r="C823" s="46" t="inlineStr">
        <is>
          <t>#LMICT</t>
        </is>
      </c>
      <c r="D823" s="46" t="n">
        <v>10</v>
      </c>
      <c r="E823" s="46" t="n">
        <v>690</v>
      </c>
      <c r="F823" s="24">
        <f>IFERROR((D823/D822)-(E823/E822),0)</f>
        <v/>
      </c>
    </row>
    <row r="824" ht="15" customHeight="1" s="47">
      <c r="C824" s="46" t="inlineStr">
        <is>
          <t>Avg SB LMICT Loan Amount</t>
        </is>
      </c>
      <c r="D824" s="51" t="n">
        <v>3400</v>
      </c>
      <c r="E824" s="51" t="n">
        <v>7733</v>
      </c>
      <c r="F824" s="24">
        <f>IFERROR((D824/E824)-1,0)</f>
        <v/>
      </c>
    </row>
    <row r="825" ht="15" customHeight="1" s="47">
      <c r="C825" s="46" t="inlineStr">
        <is>
          <t>Loans Rev Under $1m</t>
        </is>
      </c>
      <c r="D825" s="46" t="n">
        <v>52</v>
      </c>
      <c r="E825" s="25" t="n">
        <v>7214</v>
      </c>
      <c r="F825" s="24">
        <f>IFERROR((D825/D822)-(E825/E822),0)</f>
        <v/>
      </c>
    </row>
    <row r="826" ht="15" customHeight="1" s="47">
      <c r="C826" s="46" t="inlineStr">
        <is>
          <t>Avg Loan Amt for RUM SB</t>
        </is>
      </c>
      <c r="D826" s="51" t="n">
        <v>36833</v>
      </c>
      <c r="E826" s="51" t="n">
        <v>106016</v>
      </c>
      <c r="F826" s="24">
        <f>IFERROR((D826/E826)-1,0)</f>
        <v/>
      </c>
    </row>
    <row r="827" ht="15" customHeight="1" s="47">
      <c r="B827" s="42" t="inlineStr">
        <is>
          <t>Milwaukee-Waukesha, WI</t>
        </is>
      </c>
      <c r="C827" s="46" t="inlineStr">
        <is>
          <t>SB Loans</t>
        </is>
      </c>
      <c r="D827" s="25" t="n">
        <v>3316</v>
      </c>
      <c r="E827" s="25" t="n">
        <v>154593</v>
      </c>
    </row>
    <row r="828" ht="15" customHeight="1" s="47">
      <c r="C828" s="46" t="inlineStr">
        <is>
          <t>#LMICT</t>
        </is>
      </c>
      <c r="D828" s="46" t="n">
        <v>64</v>
      </c>
      <c r="E828" s="25" t="n">
        <v>5808</v>
      </c>
      <c r="F828" s="24">
        <f>IFERROR((D828/D827)-(E828/E827),0)</f>
        <v/>
      </c>
    </row>
    <row r="829" ht="15" customHeight="1" s="47">
      <c r="C829" s="46" t="inlineStr">
        <is>
          <t>Avg SB LMICT Loan Amount</t>
        </is>
      </c>
      <c r="D829" s="51" t="n">
        <v>9141</v>
      </c>
      <c r="E829" s="51" t="n">
        <v>4762</v>
      </c>
      <c r="F829" s="24">
        <f>IFERROR((D829/E829)-1,0)</f>
        <v/>
      </c>
    </row>
    <row r="830" ht="15" customHeight="1" s="47">
      <c r="C830" s="46" t="inlineStr">
        <is>
          <t>Loans Rev Under $1m</t>
        </is>
      </c>
      <c r="D830" s="25" t="n">
        <v>1873</v>
      </c>
      <c r="E830" s="25" t="n">
        <v>78762</v>
      </c>
      <c r="F830" s="24">
        <f>IFERROR((D830/D827)-(E830/E827),0)</f>
        <v/>
      </c>
    </row>
    <row r="831" ht="15" customHeight="1" s="47">
      <c r="C831" s="46" t="inlineStr">
        <is>
          <t>Avg Loan Amt for RUM SB</t>
        </is>
      </c>
      <c r="D831" s="51" t="n">
        <v>401145</v>
      </c>
      <c r="E831" s="51" t="n">
        <v>144909</v>
      </c>
      <c r="F831" s="24">
        <f>IFERROR((D831/E831)-1,0)</f>
        <v/>
      </c>
    </row>
    <row r="832" ht="15" customHeight="1" s="47">
      <c r="B832" s="42" t="inlineStr">
        <is>
          <t>Wisconsin Non-MSA</t>
        </is>
      </c>
      <c r="C832" s="46" t="inlineStr">
        <is>
          <t>SB Loans</t>
        </is>
      </c>
      <c r="D832" s="46" t="n">
        <v>126</v>
      </c>
      <c r="E832" s="25" t="n">
        <v>11033</v>
      </c>
    </row>
    <row r="833" ht="15" customHeight="1" s="47">
      <c r="C833" s="46" t="inlineStr">
        <is>
          <t>#LMICT</t>
        </is>
      </c>
      <c r="D833" s="46" t="n">
        <v>10</v>
      </c>
      <c r="E833" s="46" t="n">
        <v>594</v>
      </c>
      <c r="F833" s="24">
        <f>IFERROR((D833/D832)-(E833/E832),0)</f>
        <v/>
      </c>
    </row>
    <row r="834" ht="15" customHeight="1" s="47">
      <c r="C834" s="46" t="inlineStr">
        <is>
          <t>Avg SB LMICT Loan Amount</t>
        </is>
      </c>
      <c r="D834" s="51" t="n">
        <v>0</v>
      </c>
      <c r="E834" s="51" t="n">
        <v>0</v>
      </c>
      <c r="F834" s="24">
        <f>IFERROR((D834/E834)-1,0)</f>
        <v/>
      </c>
    </row>
    <row r="835" ht="15" customHeight="1" s="47">
      <c r="C835" s="46" t="inlineStr">
        <is>
          <t>Loans Rev Under $1m</t>
        </is>
      </c>
      <c r="D835" s="46" t="n">
        <v>74</v>
      </c>
      <c r="E835" s="25" t="n">
        <v>6137</v>
      </c>
      <c r="F835" s="24">
        <f>IFERROR((D835/D832)-(E835/E832),0)</f>
        <v/>
      </c>
    </row>
    <row r="836" ht="15" customHeight="1" s="47">
      <c r="C836" s="46" t="inlineStr">
        <is>
          <t>Avg Loan Amt for RUM SB</t>
        </is>
      </c>
      <c r="D836" s="51" t="n">
        <v>99733</v>
      </c>
      <c r="E836" s="51" t="n">
        <v>77496</v>
      </c>
      <c r="F836" s="24">
        <f>IFERROR((D836/E836)-1,0)</f>
        <v/>
      </c>
    </row>
  </sheetData>
  <autoFilter ref="B1:F386"/>
  <mergeCells count="193">
    <mergeCell ref="B317:B321"/>
    <mergeCell ref="B672:B676"/>
    <mergeCell ref="B82:B86"/>
    <mergeCell ref="B147:B151"/>
    <mergeCell ref="B162:B166"/>
    <mergeCell ref="B267:B271"/>
    <mergeCell ref="A362:A431"/>
    <mergeCell ref="B687:B691"/>
    <mergeCell ref="B827:B831"/>
    <mergeCell ref="B137:B141"/>
    <mergeCell ref="A217:A271"/>
    <mergeCell ref="B217:B221"/>
    <mergeCell ref="B422:B426"/>
    <mergeCell ref="A272:A276"/>
    <mergeCell ref="B667:B671"/>
    <mergeCell ref="B722:B726"/>
    <mergeCell ref="A357:A361"/>
    <mergeCell ref="A77:A81"/>
    <mergeCell ref="B522:B526"/>
    <mergeCell ref="B557:B561"/>
    <mergeCell ref="B572:B576"/>
    <mergeCell ref="B772:B776"/>
    <mergeCell ref="B47:B51"/>
    <mergeCell ref="B587:B591"/>
    <mergeCell ref="B22:B26"/>
    <mergeCell ref="B792:B796"/>
    <mergeCell ref="A642:A736"/>
    <mergeCell ref="B202:B206"/>
    <mergeCell ref="B102:B106"/>
    <mergeCell ref="B282:B286"/>
    <mergeCell ref="B662:B666"/>
    <mergeCell ref="A62:A76"/>
    <mergeCell ref="B322:B326"/>
    <mergeCell ref="B387:B391"/>
    <mergeCell ref="B152:B156"/>
    <mergeCell ref="B297:B301"/>
    <mergeCell ref="B272:B276"/>
    <mergeCell ref="A777:A781"/>
    <mergeCell ref="B402:B406"/>
    <mergeCell ref="B437:B441"/>
    <mergeCell ref="B542:B546"/>
    <mergeCell ref="B582:B586"/>
    <mergeCell ref="B622:B626"/>
    <mergeCell ref="B452:B456"/>
    <mergeCell ref="B597:B601"/>
    <mergeCell ref="B737:B741"/>
    <mergeCell ref="B87:B91"/>
    <mergeCell ref="B467:B471"/>
    <mergeCell ref="B647:B651"/>
    <mergeCell ref="B187:B191"/>
    <mergeCell ref="B372:B376"/>
    <mergeCell ref="B752:B756"/>
    <mergeCell ref="B727:B731"/>
    <mergeCell ref="B712:B716"/>
    <mergeCell ref="B702:B706"/>
    <mergeCell ref="B207:B211"/>
    <mergeCell ref="B767:B771"/>
    <mergeCell ref="B487:B491"/>
    <mergeCell ref="A157:A166"/>
    <mergeCell ref="B462:B466"/>
    <mergeCell ref="B222:B226"/>
    <mergeCell ref="A572:A641"/>
    <mergeCell ref="B507:B511"/>
    <mergeCell ref="B277:B281"/>
    <mergeCell ref="B482:B486"/>
    <mergeCell ref="B562:B566"/>
    <mergeCell ref="A477:A481"/>
    <mergeCell ref="B802:B806"/>
    <mergeCell ref="B327:B331"/>
    <mergeCell ref="A7:A51"/>
    <mergeCell ref="B12:B16"/>
    <mergeCell ref="B807:B811"/>
    <mergeCell ref="B432:B436"/>
    <mergeCell ref="B612:B616"/>
    <mergeCell ref="B782:B786"/>
    <mergeCell ref="B27:B31"/>
    <mergeCell ref="B822:B826"/>
    <mergeCell ref="B232:B236"/>
    <mergeCell ref="B247:B251"/>
    <mergeCell ref="A482:A571"/>
    <mergeCell ref="B312:B316"/>
    <mergeCell ref="B832:B836"/>
    <mergeCell ref="B77:B81"/>
    <mergeCell ref="B732:B736"/>
    <mergeCell ref="B117:B121"/>
    <mergeCell ref="B262:B266"/>
    <mergeCell ref="B642:B646"/>
    <mergeCell ref="B182:B186"/>
    <mergeCell ref="B362:B366"/>
    <mergeCell ref="A277:A316"/>
    <mergeCell ref="B427:B431"/>
    <mergeCell ref="B547:B551"/>
    <mergeCell ref="B532:B536"/>
    <mergeCell ref="B337:B341"/>
    <mergeCell ref="B377:B381"/>
    <mergeCell ref="A167:A216"/>
    <mergeCell ref="B417:B421"/>
    <mergeCell ref="B112:B116"/>
    <mergeCell ref="B472:B476"/>
    <mergeCell ref="B637:B641"/>
    <mergeCell ref="B177:B181"/>
    <mergeCell ref="B192:B196"/>
    <mergeCell ref="B652:B656"/>
    <mergeCell ref="B677:B681"/>
    <mergeCell ref="B717:B721"/>
    <mergeCell ref="B127:B131"/>
    <mergeCell ref="B197:B201"/>
    <mergeCell ref="B212:B216"/>
    <mergeCell ref="A792:A806"/>
    <mergeCell ref="B607:B611"/>
    <mergeCell ref="B787:B791"/>
    <mergeCell ref="A807:A821"/>
    <mergeCell ref="B97:B101"/>
    <mergeCell ref="B237:B241"/>
    <mergeCell ref="B302:B306"/>
    <mergeCell ref="B382:B386"/>
    <mergeCell ref="B292:B296"/>
    <mergeCell ref="B357:B361"/>
    <mergeCell ref="B777:B781"/>
    <mergeCell ref="B537:B541"/>
    <mergeCell ref="B347:B351"/>
    <mergeCell ref="B52:B56"/>
    <mergeCell ref="B67:B71"/>
    <mergeCell ref="A737:A776"/>
    <mergeCell ref="B592:B596"/>
    <mergeCell ref="B132:B136"/>
    <mergeCell ref="B657:B661"/>
    <mergeCell ref="B797:B801"/>
    <mergeCell ref="B42:B46"/>
    <mergeCell ref="B107:B111"/>
    <mergeCell ref="B287:B291"/>
    <mergeCell ref="B707:B711"/>
    <mergeCell ref="B812:B816"/>
    <mergeCell ref="B352:B356"/>
    <mergeCell ref="B367:B371"/>
    <mergeCell ref="B747:B751"/>
    <mergeCell ref="B157:B161"/>
    <mergeCell ref="A317:A356"/>
    <mergeCell ref="B342:B346"/>
    <mergeCell ref="B407:B411"/>
    <mergeCell ref="A57:A61"/>
    <mergeCell ref="A442:A476"/>
    <mergeCell ref="B762:B766"/>
    <mergeCell ref="B627:B631"/>
    <mergeCell ref="B392:B396"/>
    <mergeCell ref="B37:B41"/>
    <mergeCell ref="B397:B401"/>
    <mergeCell ref="B457:B461"/>
    <mergeCell ref="B257:B261"/>
    <mergeCell ref="B602:B606"/>
    <mergeCell ref="B497:B501"/>
    <mergeCell ref="A782:A791"/>
    <mergeCell ref="B742:B746"/>
    <mergeCell ref="B502:B506"/>
    <mergeCell ref="B92:B96"/>
    <mergeCell ref="B447:B451"/>
    <mergeCell ref="B477:B481"/>
    <mergeCell ref="B692:B696"/>
    <mergeCell ref="A52:A56"/>
    <mergeCell ref="B757:B761"/>
    <mergeCell ref="B142:B146"/>
    <mergeCell ref="A432:A441"/>
    <mergeCell ref="B7:B11"/>
    <mergeCell ref="B72:B76"/>
    <mergeCell ref="B527:B531"/>
    <mergeCell ref="B252:B256"/>
    <mergeCell ref="B492:B496"/>
    <mergeCell ref="B817:B821"/>
    <mergeCell ref="B62:B66"/>
    <mergeCell ref="B122:B126"/>
    <mergeCell ref="B227:B231"/>
    <mergeCell ref="B242:B246"/>
    <mergeCell ref="B442:B446"/>
    <mergeCell ref="B307:B311"/>
    <mergeCell ref="B32:B36"/>
    <mergeCell ref="B512:B516"/>
    <mergeCell ref="A822:A836"/>
    <mergeCell ref="B552:B556"/>
    <mergeCell ref="A82:A156"/>
    <mergeCell ref="B567:B571"/>
    <mergeCell ref="B167:B171"/>
    <mergeCell ref="B332:B336"/>
    <mergeCell ref="A2:B6"/>
    <mergeCell ref="B17:B21"/>
    <mergeCell ref="B517:B521"/>
    <mergeCell ref="B57:B61"/>
    <mergeCell ref="B412:B416"/>
    <mergeCell ref="B577:B581"/>
    <mergeCell ref="B617:B621"/>
    <mergeCell ref="B682:B686"/>
    <mergeCell ref="B697:B701"/>
    <mergeCell ref="B632:B636"/>
    <mergeCell ref="B172:B17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G3" sqref="G3"/>
    </sheetView>
  </sheetViews>
  <sheetFormatPr baseColWidth="8" defaultRowHeight="14.45"/>
  <sheetData>
    <row r="1">
      <c r="C1" s="45" t="inlineStr">
        <is>
          <t>Atlantic Union</t>
        </is>
      </c>
      <c r="H1" s="45" t="inlineStr">
        <is>
          <t>Other Banks</t>
        </is>
      </c>
    </row>
    <row r="2">
      <c r="A2" s="3" t="inlineStr">
        <is>
          <t>Atlantic Union Assessment Areas</t>
        </is>
      </c>
      <c r="C2" s="45" t="inlineStr">
        <is>
          <t>2018</t>
        </is>
      </c>
      <c r="D2" s="45" t="inlineStr">
        <is>
          <t>2019</t>
        </is>
      </c>
      <c r="E2" s="45" t="inlineStr">
        <is>
          <t>2020</t>
        </is>
      </c>
      <c r="F2" s="45" t="inlineStr">
        <is>
          <t>2021</t>
        </is>
      </c>
      <c r="G2" s="45" t="inlineStr">
        <is>
          <t>2022</t>
        </is>
      </c>
      <c r="H2" s="45" t="inlineStr">
        <is>
          <t>2018</t>
        </is>
      </c>
      <c r="I2" s="45" t="inlineStr">
        <is>
          <t>2019</t>
        </is>
      </c>
      <c r="J2" s="45" t="inlineStr">
        <is>
          <t>2020</t>
        </is>
      </c>
      <c r="K2" s="45" t="inlineStr">
        <is>
          <t>2021</t>
        </is>
      </c>
      <c r="L2" s="45" t="inlineStr">
        <is>
          <t>2022</t>
        </is>
      </c>
    </row>
    <row r="3">
      <c r="A3" s="44" t="inlineStr">
        <is>
          <t>Grand Total</t>
        </is>
      </c>
      <c r="B3" s="44" t="inlineStr">
        <is>
          <t>Small Business Loans</t>
        </is>
      </c>
      <c r="C3" s="1" t="n">
        <v>1850</v>
      </c>
      <c r="D3" s="1" t="n">
        <v>1586</v>
      </c>
      <c r="E3" s="1" t="n">
        <v>11127</v>
      </c>
      <c r="F3" s="1" t="n">
        <v>6170</v>
      </c>
      <c r="G3" s="1" t="n">
        <v>981</v>
      </c>
      <c r="H3" s="1" t="n">
        <v>199297</v>
      </c>
      <c r="I3" s="1" t="n">
        <v>212506</v>
      </c>
      <c r="J3" s="1" t="n">
        <v>223962</v>
      </c>
      <c r="K3" s="1" t="n">
        <v>257130</v>
      </c>
      <c r="L3" s="1" t="n">
        <v>247425</v>
      </c>
    </row>
    <row r="4">
      <c r="B4" s="44" t="inlineStr">
        <is>
          <t>Loans to Rev Under $1m (RUM)</t>
        </is>
      </c>
      <c r="C4" s="2" t="n">
        <v>0.4410810810810811</v>
      </c>
      <c r="D4" s="2" t="n">
        <v>0.4703656998738966</v>
      </c>
      <c r="E4" s="2" t="n">
        <v>0.6423114945627753</v>
      </c>
      <c r="F4" s="2" t="n">
        <v>0.6786061588330632</v>
      </c>
      <c r="G4" s="2" t="n">
        <v>0.3944954128440367</v>
      </c>
      <c r="H4" s="2" t="n">
        <v>0.5185175893264826</v>
      </c>
      <c r="I4" s="2" t="n">
        <v>0.5114584999952942</v>
      </c>
      <c r="J4" s="2" t="n">
        <v>0.4350693421205383</v>
      </c>
      <c r="K4" s="2" t="n">
        <v>0.5019250962548127</v>
      </c>
      <c r="L4" s="2" t="n">
        <v>0.5374679195715873</v>
      </c>
    </row>
    <row r="5">
      <c r="B5" s="44" t="inlineStr">
        <is>
          <t>Loans to LMICT</t>
        </is>
      </c>
      <c r="C5" s="2" t="n">
        <v>0.2589189189189189</v>
      </c>
      <c r="D5" s="2" t="n">
        <v>0.2578814627994956</v>
      </c>
      <c r="E5" s="2" t="n">
        <v>0.224678709445493</v>
      </c>
      <c r="F5" s="2" t="n">
        <v>0.2435980551053485</v>
      </c>
      <c r="G5" s="2" t="n">
        <v>0.2375127420998981</v>
      </c>
      <c r="H5" s="2" t="n">
        <v>0.1891598970380889</v>
      </c>
      <c r="I5" s="2" t="n">
        <v>0.1719010286768373</v>
      </c>
      <c r="J5" s="2" t="n">
        <v>0.1977344370920067</v>
      </c>
      <c r="K5" s="2" t="n">
        <v>0.2004239100843931</v>
      </c>
      <c r="L5" s="2" t="n">
        <v>0.1991189249267455</v>
      </c>
    </row>
    <row r="6">
      <c r="B6" s="44" t="inlineStr">
        <is>
          <t>Small Business Loan Amount (000s)</t>
        </is>
      </c>
      <c r="C6" s="1" t="n">
        <v>433128</v>
      </c>
      <c r="D6" s="1" t="n">
        <v>401462</v>
      </c>
      <c r="E6" s="1" t="n">
        <v>1252403</v>
      </c>
      <c r="F6" s="1" t="n">
        <v>751724</v>
      </c>
      <c r="G6" s="1" t="n">
        <v>294254</v>
      </c>
      <c r="H6" s="1" t="n">
        <v>6911638</v>
      </c>
      <c r="I6" s="1" t="n">
        <v>7230031</v>
      </c>
      <c r="J6" s="1" t="n">
        <v>12782996</v>
      </c>
      <c r="K6" s="1" t="n">
        <v>9955871</v>
      </c>
      <c r="L6" s="1" t="n">
        <v>7542731</v>
      </c>
    </row>
    <row r="7">
      <c r="B7" s="44" t="inlineStr">
        <is>
          <t>Amount to Rev Under $1m (RUM)</t>
        </is>
      </c>
      <c r="C7" s="2" t="n">
        <v>0.4545653940636486</v>
      </c>
      <c r="D7" s="2" t="n">
        <v>0.4945399564591418</v>
      </c>
      <c r="E7" s="2" t="n">
        <v>0.3015195588001626</v>
      </c>
      <c r="F7" s="2" t="n">
        <v>0.3883233740042888</v>
      </c>
      <c r="G7" s="2" t="n">
        <v>0.3836175549015476</v>
      </c>
      <c r="H7" s="2" t="n">
        <v>0.3685773184301608</v>
      </c>
      <c r="I7" s="2" t="n">
        <v>0.3804175943367324</v>
      </c>
      <c r="J7" s="2" t="n">
        <v>0.2704186874501095</v>
      </c>
      <c r="K7" s="2" t="n">
        <v>0.3181261589267277</v>
      </c>
      <c r="L7" s="2" t="n">
        <v>0.3706739641119377</v>
      </c>
    </row>
    <row r="8">
      <c r="B8" s="44" t="inlineStr">
        <is>
          <t>Amount to LMICT</t>
        </is>
      </c>
      <c r="C8" s="2" t="n">
        <v>0.3045266064535195</v>
      </c>
      <c r="D8" s="2" t="n">
        <v>0.2977666628472931</v>
      </c>
      <c r="E8" s="2" t="n">
        <v>0.2371337341095478</v>
      </c>
      <c r="F8" s="2" t="n">
        <v>0.2816738590227264</v>
      </c>
      <c r="G8" s="2" t="n">
        <v>0.2735765699021934</v>
      </c>
      <c r="H8" s="2" t="n">
        <v>0.2013194267408102</v>
      </c>
      <c r="I8" s="2" t="n">
        <v>0.1673185080395921</v>
      </c>
      <c r="J8" s="2" t="n">
        <v>0.2118515878437262</v>
      </c>
      <c r="K8" s="2" t="n">
        <v>0.2076812767059758</v>
      </c>
      <c r="L8" s="2" t="n">
        <v>0.2031455185131221</v>
      </c>
    </row>
    <row r="9">
      <c r="A9" s="44" t="inlineStr">
        <is>
          <t>Arlington-Alexandria-Reston, VA AA</t>
        </is>
      </c>
      <c r="B9" s="44" t="inlineStr">
        <is>
          <t>Small Business Loans</t>
        </is>
      </c>
      <c r="C9" s="1" t="n">
        <v>420</v>
      </c>
      <c r="D9" s="1" t="n">
        <v>480</v>
      </c>
      <c r="E9" s="1" t="n">
        <v>3627</v>
      </c>
      <c r="F9" s="1" t="n">
        <v>2090</v>
      </c>
      <c r="G9" s="1" t="n">
        <v>340</v>
      </c>
      <c r="H9" s="1" t="n">
        <v>74718</v>
      </c>
      <c r="I9" s="1" t="n">
        <v>79552</v>
      </c>
      <c r="J9" s="1" t="n">
        <v>78180</v>
      </c>
      <c r="K9" s="1" t="n">
        <v>90921</v>
      </c>
      <c r="L9" s="1" t="n">
        <v>88110</v>
      </c>
    </row>
    <row r="10">
      <c r="B10" s="44" t="inlineStr">
        <is>
          <t>Loans to Rev Under $1m (RUM)</t>
        </is>
      </c>
      <c r="C10" s="2" t="n">
        <v>0.3547619047619048</v>
      </c>
      <c r="D10" s="2" t="n">
        <v>0.3916666666666667</v>
      </c>
      <c r="E10" s="2" t="n">
        <v>0.5618968844775296</v>
      </c>
      <c r="F10" s="2" t="n">
        <v>0.6244019138755981</v>
      </c>
      <c r="G10" s="2" t="n">
        <v>0.3058823529411765</v>
      </c>
      <c r="H10" s="2" t="n">
        <v>0.5157927139377392</v>
      </c>
      <c r="I10" s="2" t="n">
        <v>0.5250276548672567</v>
      </c>
      <c r="J10" s="2" t="n">
        <v>0.4613200306983883</v>
      </c>
      <c r="K10" s="2" t="n">
        <v>0.5088043466305914</v>
      </c>
      <c r="L10" s="2" t="n">
        <v>0.537010554988083</v>
      </c>
    </row>
    <row r="11">
      <c r="B11" s="44" t="inlineStr">
        <is>
          <t>Loans to LMICT</t>
        </is>
      </c>
      <c r="C11" s="2" t="n">
        <v>0.480952380952381</v>
      </c>
      <c r="D11" s="2" t="n">
        <v>0.35</v>
      </c>
      <c r="E11" s="2" t="n">
        <v>0.28287841191067</v>
      </c>
      <c r="F11" s="2" t="n">
        <v>0.2909090909090909</v>
      </c>
      <c r="G11" s="2" t="n">
        <v>0.2647058823529412</v>
      </c>
      <c r="H11" s="2" t="n">
        <v>0.1621563746352954</v>
      </c>
      <c r="I11" s="2" t="n">
        <v>0.1817930410297667</v>
      </c>
      <c r="J11" s="2" t="n">
        <v>0.1591327705295472</v>
      </c>
      <c r="K11" s="2" t="n">
        <v>0.168409938298083</v>
      </c>
      <c r="L11" s="2" t="n">
        <v>0.1796731358529111</v>
      </c>
    </row>
    <row r="12">
      <c r="B12" s="44" t="inlineStr">
        <is>
          <t>Small Business Loan Amount (000s)</t>
        </is>
      </c>
      <c r="C12" s="1" t="n">
        <v>107748</v>
      </c>
      <c r="D12" s="1" t="n">
        <v>136377</v>
      </c>
      <c r="E12" s="1" t="n">
        <v>526728</v>
      </c>
      <c r="F12" s="1" t="n">
        <v>302508</v>
      </c>
      <c r="G12" s="1" t="n">
        <v>102938</v>
      </c>
      <c r="H12" s="1" t="n">
        <v>2338123</v>
      </c>
      <c r="I12" s="1" t="n">
        <v>2323198</v>
      </c>
      <c r="J12" s="1" t="n">
        <v>4122784</v>
      </c>
      <c r="K12" s="1" t="n">
        <v>3209540</v>
      </c>
      <c r="L12" s="1" t="n">
        <v>2446231</v>
      </c>
    </row>
    <row r="13">
      <c r="B13" s="44" t="inlineStr">
        <is>
          <t>Amount to Rev Under $1m (RUM)</t>
        </is>
      </c>
      <c r="C13" s="2" t="n">
        <v>0.3328878494264395</v>
      </c>
      <c r="D13" s="2" t="n">
        <v>0.4106557557359379</v>
      </c>
      <c r="E13" s="2" t="n">
        <v>0.252420604182804</v>
      </c>
      <c r="F13" s="2" t="n">
        <v>0.3741091144697</v>
      </c>
      <c r="G13" s="2" t="n">
        <v>0.3496765043035613</v>
      </c>
      <c r="H13" s="2" t="n">
        <v>0.3345405695081055</v>
      </c>
      <c r="I13" s="2" t="n">
        <v>0.3468305327397837</v>
      </c>
      <c r="J13" s="2" t="n">
        <v>0.2700165713265599</v>
      </c>
      <c r="K13" s="2" t="n">
        <v>0.2981863444605769</v>
      </c>
      <c r="L13" s="2" t="n">
        <v>0.3564156451291803</v>
      </c>
    </row>
    <row r="14">
      <c r="B14" s="44" t="inlineStr">
        <is>
          <t>Amount to LMICT</t>
        </is>
      </c>
      <c r="C14" s="2" t="n">
        <v>0.4803801462672161</v>
      </c>
      <c r="D14" s="2" t="n">
        <v>0.3337366271438733</v>
      </c>
      <c r="E14" s="2" t="n">
        <v>0.2531932990082167</v>
      </c>
      <c r="F14" s="2" t="n">
        <v>0.2959227524561334</v>
      </c>
      <c r="G14" s="2" t="n">
        <v>0.2773222716586684</v>
      </c>
      <c r="H14" s="2" t="n">
        <v>0.1403510422676651</v>
      </c>
      <c r="I14" s="2" t="n">
        <v>0.1631488146942275</v>
      </c>
      <c r="J14" s="2" t="n">
        <v>0.138875090230291</v>
      </c>
      <c r="K14" s="2" t="n">
        <v>0.1474703540071163</v>
      </c>
      <c r="L14" s="2" t="n">
        <v>0.169741941787182</v>
      </c>
    </row>
    <row r="15">
      <c r="A15" s="44" t="inlineStr">
        <is>
          <t>Richmond, VA AA</t>
        </is>
      </c>
      <c r="B15" s="44" t="inlineStr">
        <is>
          <t>Small Business Loans</t>
        </is>
      </c>
      <c r="C15" s="1" t="n">
        <v>442</v>
      </c>
      <c r="D15" s="1" t="n">
        <v>339</v>
      </c>
      <c r="E15" s="1" t="n">
        <v>3034</v>
      </c>
      <c r="F15" s="1" t="n">
        <v>1664</v>
      </c>
      <c r="G15" s="1" t="n">
        <v>253</v>
      </c>
      <c r="H15" s="1" t="n">
        <v>22229</v>
      </c>
      <c r="I15" s="1" t="n">
        <v>23361</v>
      </c>
      <c r="J15" s="1" t="n">
        <v>24350</v>
      </c>
      <c r="K15" s="1" t="n">
        <v>29263</v>
      </c>
      <c r="L15" s="1" t="n">
        <v>28542</v>
      </c>
    </row>
    <row r="16">
      <c r="B16" s="44" t="inlineStr">
        <is>
          <t>Loans to Rev Under $1m (RUM)</t>
        </is>
      </c>
      <c r="C16" s="2" t="n">
        <v>0.4864253393665158</v>
      </c>
      <c r="D16" s="2" t="n">
        <v>0.5457227138643068</v>
      </c>
      <c r="E16" s="2" t="n">
        <v>0.6746868820039552</v>
      </c>
      <c r="F16" s="2" t="n">
        <v>0.7013221153846154</v>
      </c>
      <c r="G16" s="2" t="n">
        <v>0.4387351778656127</v>
      </c>
      <c r="H16" s="2" t="n">
        <v>0.5154977731791803</v>
      </c>
      <c r="I16" s="2" t="n">
        <v>0.5104233551645906</v>
      </c>
      <c r="J16" s="2" t="n">
        <v>0.4448459958932238</v>
      </c>
      <c r="K16" s="2" t="n">
        <v>0.4969415302600554</v>
      </c>
      <c r="L16" s="2" t="n">
        <v>0.5214771214350782</v>
      </c>
    </row>
    <row r="17">
      <c r="B17" s="44" t="inlineStr">
        <is>
          <t>Loans to LMICT</t>
        </is>
      </c>
      <c r="C17" s="2" t="n">
        <v>0.3031674208144796</v>
      </c>
      <c r="D17" s="2" t="n">
        <v>0.3244837758112095</v>
      </c>
      <c r="E17" s="2" t="n">
        <v>0.2320369149637442</v>
      </c>
      <c r="F17" s="2" t="n">
        <v>0.2734375</v>
      </c>
      <c r="G17" s="2" t="n">
        <v>0.2450592885375494</v>
      </c>
      <c r="H17" s="2" t="n">
        <v>0.2323091457105583</v>
      </c>
      <c r="I17" s="2" t="n">
        <v>0.2603056376011301</v>
      </c>
      <c r="J17" s="2" t="n">
        <v>0.2485010266940452</v>
      </c>
      <c r="K17" s="2" t="n">
        <v>0.2503502716741277</v>
      </c>
      <c r="L17" s="2" t="n">
        <v>0.2241608857122837</v>
      </c>
    </row>
    <row r="18">
      <c r="B18" s="44" t="inlineStr">
        <is>
          <t>Small Business Loan Amount (000s)</t>
        </is>
      </c>
      <c r="C18" s="1" t="n">
        <v>125545</v>
      </c>
      <c r="D18" s="1" t="n">
        <v>98739</v>
      </c>
      <c r="E18" s="1" t="n">
        <v>318471</v>
      </c>
      <c r="F18" s="1" t="n">
        <v>188967</v>
      </c>
      <c r="G18" s="1" t="n">
        <v>82129</v>
      </c>
      <c r="H18" s="1" t="n">
        <v>676718</v>
      </c>
      <c r="I18" s="1" t="n">
        <v>792198</v>
      </c>
      <c r="J18" s="1" t="n">
        <v>1320232</v>
      </c>
      <c r="K18" s="1" t="n">
        <v>1042980</v>
      </c>
      <c r="L18" s="1" t="n">
        <v>814208</v>
      </c>
    </row>
    <row r="19">
      <c r="B19" s="44" t="inlineStr">
        <is>
          <t>Amount to Rev Under $1m (RUM)</t>
        </is>
      </c>
      <c r="C19" s="2" t="n">
        <v>0.4928272730893305</v>
      </c>
      <c r="D19" s="2" t="n">
        <v>0.5864754554937766</v>
      </c>
      <c r="E19" s="2" t="n">
        <v>0.3153065742249687</v>
      </c>
      <c r="F19" s="2" t="n">
        <v>0.3308355427138072</v>
      </c>
      <c r="G19" s="2" t="n">
        <v>0.3711600043833482</v>
      </c>
      <c r="H19" s="2" t="n">
        <v>0.3511181910337837</v>
      </c>
      <c r="I19" s="2" t="n">
        <v>0.3908934382565974</v>
      </c>
      <c r="J19" s="2" t="n">
        <v>0.276670312490532</v>
      </c>
      <c r="K19" s="2" t="n">
        <v>0.300599244472569</v>
      </c>
      <c r="L19" s="2" t="n">
        <v>0.3413366117748782</v>
      </c>
    </row>
    <row r="20">
      <c r="B20" s="44" t="inlineStr">
        <is>
          <t>Amount to LMICT</t>
        </is>
      </c>
      <c r="C20" s="2" t="n">
        <v>0.3268628778525628</v>
      </c>
      <c r="D20" s="2" t="n">
        <v>0.3961656488317686</v>
      </c>
      <c r="E20" s="2" t="n">
        <v>0.2523589275004631</v>
      </c>
      <c r="F20" s="2" t="n">
        <v>0.3496483512994332</v>
      </c>
      <c r="G20" s="2" t="n">
        <v>0.2704404047291456</v>
      </c>
      <c r="H20" s="2" t="n">
        <v>0.2619067321986411</v>
      </c>
      <c r="I20" s="2" t="n">
        <v>0.2855132176551822</v>
      </c>
      <c r="J20" s="2" t="n">
        <v>0.2773966999739439</v>
      </c>
      <c r="K20" s="2" t="n">
        <v>0.2710483422500911</v>
      </c>
      <c r="L20" s="2" t="n">
        <v>0.2357395161924226</v>
      </c>
    </row>
    <row r="21">
      <c r="A21" s="44" t="inlineStr">
        <is>
          <t>Virginia Beach VA-NC AA</t>
        </is>
      </c>
      <c r="B21" s="44" t="inlineStr">
        <is>
          <t>Small Business Loans</t>
        </is>
      </c>
      <c r="C21" s="1" t="n">
        <v>338</v>
      </c>
      <c r="D21" s="1" t="n">
        <v>306</v>
      </c>
      <c r="E21" s="1" t="n">
        <v>1706</v>
      </c>
      <c r="F21" s="1" t="n">
        <v>921</v>
      </c>
      <c r="G21" s="1" t="n">
        <v>168</v>
      </c>
      <c r="H21" s="1" t="n">
        <v>24824</v>
      </c>
      <c r="I21" s="1" t="n">
        <v>26848</v>
      </c>
      <c r="J21" s="1" t="n">
        <v>29170</v>
      </c>
      <c r="K21" s="1" t="n">
        <v>33445</v>
      </c>
      <c r="L21" s="1" t="n">
        <v>32243</v>
      </c>
    </row>
    <row r="22">
      <c r="B22" s="44" t="inlineStr">
        <is>
          <t>Loans to Rev Under $1m (RUM)</t>
        </is>
      </c>
      <c r="C22" s="2" t="n">
        <v>0.5</v>
      </c>
      <c r="D22" s="2" t="n">
        <v>0.4313725490196079</v>
      </c>
      <c r="E22" s="2" t="n">
        <v>0.6324736225087925</v>
      </c>
      <c r="F22" s="2" t="n">
        <v>0.6710097719869706</v>
      </c>
      <c r="G22" s="2" t="n">
        <v>0.4226190476190476</v>
      </c>
      <c r="H22" s="2" t="n">
        <v>0.5201820818562681</v>
      </c>
      <c r="I22" s="2" t="n">
        <v>0.4955676400476758</v>
      </c>
      <c r="J22" s="2" t="n">
        <v>0.3886870071991773</v>
      </c>
      <c r="K22" s="2" t="n">
        <v>0.4697563163402601</v>
      </c>
      <c r="L22" s="2" t="n">
        <v>0.5144372421921037</v>
      </c>
    </row>
    <row r="23">
      <c r="B23" s="44" t="inlineStr">
        <is>
          <t>Loans to LMICT</t>
        </is>
      </c>
      <c r="C23" s="2" t="n">
        <v>0.2692307692307692</v>
      </c>
      <c r="D23" s="2" t="n">
        <v>0.2647058823529412</v>
      </c>
      <c r="E23" s="2" t="n">
        <v>0.2280187573270809</v>
      </c>
      <c r="F23" s="2" t="n">
        <v>0.2345276872964169</v>
      </c>
      <c r="G23" s="2" t="n">
        <v>0.2797619047619048</v>
      </c>
      <c r="H23" s="2" t="n">
        <v>0.2448436996455043</v>
      </c>
      <c r="I23" s="2" t="n">
        <v>0.2514526221692491</v>
      </c>
      <c r="J23" s="2" t="n">
        <v>0.2508741858073363</v>
      </c>
      <c r="K23" s="2" t="n">
        <v>0.2512184182986993</v>
      </c>
      <c r="L23" s="2" t="n">
        <v>0.2516825357441925</v>
      </c>
    </row>
    <row r="24">
      <c r="B24" s="44" t="inlineStr">
        <is>
          <t>Small Business Loan Amount (000s)</t>
        </is>
      </c>
      <c r="C24" s="1" t="n">
        <v>87250</v>
      </c>
      <c r="D24" s="1" t="n">
        <v>80884</v>
      </c>
      <c r="E24" s="1" t="n">
        <v>179907</v>
      </c>
      <c r="F24" s="1" t="n">
        <v>116501</v>
      </c>
      <c r="G24" s="1" t="n">
        <v>55935</v>
      </c>
      <c r="H24" s="1" t="n">
        <v>824810</v>
      </c>
      <c r="I24" s="1" t="n">
        <v>835071</v>
      </c>
      <c r="J24" s="1" t="n">
        <v>1689976</v>
      </c>
      <c r="K24" s="1" t="n">
        <v>1240110</v>
      </c>
      <c r="L24" s="1" t="n">
        <v>851704</v>
      </c>
    </row>
    <row r="25">
      <c r="B25" s="44" t="inlineStr">
        <is>
          <t>Amount to Rev Under $1m (RUM)</t>
        </is>
      </c>
      <c r="C25" s="2" t="n">
        <v>0.5179598853868195</v>
      </c>
      <c r="D25" s="2" t="n">
        <v>0.4598190000494535</v>
      </c>
      <c r="E25" s="2" t="n">
        <v>0.3339114097839439</v>
      </c>
      <c r="F25" s="2" t="n">
        <v>0.4052583239628844</v>
      </c>
      <c r="G25" s="2" t="n">
        <v>0.4194690265486726</v>
      </c>
      <c r="H25" s="2" t="n">
        <v>0.3754876880736169</v>
      </c>
      <c r="I25" s="2" t="n">
        <v>0.3842571469970817</v>
      </c>
      <c r="J25" s="2" t="n">
        <v>0.2200043077534829</v>
      </c>
      <c r="K25" s="2" t="n">
        <v>0.2743409858802848</v>
      </c>
      <c r="L25" s="2" t="n">
        <v>0.3544200802156618</v>
      </c>
    </row>
    <row r="26">
      <c r="B26" s="44" t="inlineStr">
        <is>
          <t>Amount to LMICT</t>
        </is>
      </c>
      <c r="C26" s="2" t="n">
        <v>0.3062349570200573</v>
      </c>
      <c r="D26" s="2" t="n">
        <v>0.2890064784135305</v>
      </c>
      <c r="E26" s="2" t="n">
        <v>0.2682497067929541</v>
      </c>
      <c r="F26" s="2" t="n">
        <v>0.2836112994738242</v>
      </c>
      <c r="G26" s="2" t="n">
        <v>0.3595244480200233</v>
      </c>
      <c r="H26" s="2" t="n">
        <v>0.3002618784932287</v>
      </c>
      <c r="I26" s="2" t="n">
        <v>0.3040687558303426</v>
      </c>
      <c r="J26" s="2" t="n">
        <v>0.3121174501886417</v>
      </c>
      <c r="K26" s="2" t="n">
        <v>0.2862439622291571</v>
      </c>
      <c r="L26" s="2" t="n">
        <v>0.2569143740078713</v>
      </c>
    </row>
    <row r="27">
      <c r="A27" s="44" t="inlineStr">
        <is>
          <t>Northeastern VA non-MSA AA</t>
        </is>
      </c>
      <c r="B27" s="44" t="inlineStr">
        <is>
          <t>Small Business Loans</t>
        </is>
      </c>
      <c r="C27" s="1" t="n">
        <v>207</v>
      </c>
      <c r="D27" s="1" t="n">
        <v>145</v>
      </c>
      <c r="E27" s="1" t="n">
        <v>426</v>
      </c>
      <c r="F27" s="1" t="n">
        <v>264</v>
      </c>
      <c r="G27" s="1" t="n">
        <v>52</v>
      </c>
      <c r="H27" s="1" t="n">
        <v>1560</v>
      </c>
      <c r="I27" s="1" t="n">
        <v>1810</v>
      </c>
      <c r="J27" s="1" t="n">
        <v>1765</v>
      </c>
      <c r="K27" s="1" t="n">
        <v>2316</v>
      </c>
      <c r="L27" s="1" t="n">
        <v>2341</v>
      </c>
    </row>
    <row r="28">
      <c r="B28" s="44" t="inlineStr">
        <is>
          <t>Loans to Rev Under $1m (RUM)</t>
        </is>
      </c>
      <c r="C28" s="2" t="n">
        <v>0.3623188405797101</v>
      </c>
      <c r="D28" s="2" t="n">
        <v>0.5241379310344828</v>
      </c>
      <c r="E28" s="2" t="n">
        <v>0.7300469483568075</v>
      </c>
      <c r="F28" s="2" t="n">
        <v>0.6856060606060606</v>
      </c>
      <c r="G28" s="2" t="n">
        <v>0.4230769230769231</v>
      </c>
      <c r="H28" s="2" t="n">
        <v>0.5243589743589744</v>
      </c>
      <c r="I28" s="2" t="n">
        <v>0.4834254143646409</v>
      </c>
      <c r="J28" s="2" t="n">
        <v>0.369971671388102</v>
      </c>
      <c r="K28" s="2" t="n">
        <v>0.5116580310880829</v>
      </c>
      <c r="L28" s="2" t="n">
        <v>0.5736864587782998</v>
      </c>
    </row>
    <row r="29">
      <c r="B29" s="44" t="inlineStr">
        <is>
          <t>Loans to LMICT</t>
        </is>
      </c>
      <c r="C29" s="2" t="n">
        <v>0.02415458937198068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0.04551282051282051</v>
      </c>
      <c r="I29" s="2" t="n">
        <v>0</v>
      </c>
      <c r="J29" s="2" t="n">
        <v>0</v>
      </c>
      <c r="K29" s="2" t="n">
        <v>0</v>
      </c>
      <c r="L29" s="2" t="n">
        <v>0.02007689021785562</v>
      </c>
    </row>
    <row r="30">
      <c r="B30" s="44" t="inlineStr">
        <is>
          <t>Small Business Loan Amount (000s)</t>
        </is>
      </c>
      <c r="C30" s="1" t="n">
        <v>17983</v>
      </c>
      <c r="D30" s="1" t="n">
        <v>14484</v>
      </c>
      <c r="E30" s="1" t="n">
        <v>31253</v>
      </c>
      <c r="F30" s="1" t="n">
        <v>24929</v>
      </c>
      <c r="G30" s="1" t="n">
        <v>8291</v>
      </c>
      <c r="H30" s="1" t="n">
        <v>40363</v>
      </c>
      <c r="I30" s="1" t="n">
        <v>52052</v>
      </c>
      <c r="J30" s="1" t="n">
        <v>73373</v>
      </c>
      <c r="K30" s="1" t="n">
        <v>71133</v>
      </c>
      <c r="L30" s="1" t="n">
        <v>73569</v>
      </c>
    </row>
    <row r="31">
      <c r="B31" s="44" t="inlineStr">
        <is>
          <t>Amount to Rev Under $1m (RUM)</t>
        </is>
      </c>
      <c r="C31" s="2" t="n">
        <v>0.5729299894344659</v>
      </c>
      <c r="D31" s="2" t="n">
        <v>0.6809582988124827</v>
      </c>
      <c r="E31" s="2" t="n">
        <v>0.4787380411480498</v>
      </c>
      <c r="F31" s="2" t="n">
        <v>0.5433832083116049</v>
      </c>
      <c r="G31" s="2" t="n">
        <v>0.4416837534676155</v>
      </c>
      <c r="H31" s="2" t="n">
        <v>0.3855015732230013</v>
      </c>
      <c r="I31" s="2" t="n">
        <v>0.4017905171751325</v>
      </c>
      <c r="J31" s="2" t="n">
        <v>0.308710288525752</v>
      </c>
      <c r="K31" s="2" t="n">
        <v>0.35429406885693</v>
      </c>
      <c r="L31" s="2" t="n">
        <v>0.3638760891136212</v>
      </c>
    </row>
    <row r="32">
      <c r="B32" s="44" t="inlineStr">
        <is>
          <t>Amount to LMICT</t>
        </is>
      </c>
      <c r="C32" s="2" t="n">
        <v>0.01312350553300339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0.06235909124693408</v>
      </c>
      <c r="I32" s="2" t="n">
        <v>0</v>
      </c>
      <c r="J32" s="2" t="n">
        <v>0</v>
      </c>
      <c r="K32" s="2" t="n">
        <v>0</v>
      </c>
      <c r="L32" s="2" t="n">
        <v>0.02791936821215458</v>
      </c>
    </row>
    <row r="33">
      <c r="A33" s="44" t="inlineStr">
        <is>
          <t>Charlottesville, VA MSA</t>
        </is>
      </c>
      <c r="B33" s="44" t="inlineStr">
        <is>
          <t>Small Business Loans</t>
        </is>
      </c>
      <c r="C33" s="1" t="n">
        <v>72</v>
      </c>
      <c r="D33" s="1" t="n">
        <v>47</v>
      </c>
      <c r="E33" s="1" t="n">
        <v>518</v>
      </c>
      <c r="F33" s="1" t="n">
        <v>293</v>
      </c>
      <c r="G33" s="1" t="n">
        <v>31</v>
      </c>
      <c r="H33" s="1" t="n">
        <v>4418</v>
      </c>
      <c r="I33" s="1" t="n">
        <v>4518</v>
      </c>
      <c r="J33" s="1" t="n">
        <v>4387</v>
      </c>
      <c r="K33" s="1" t="n">
        <v>5258</v>
      </c>
      <c r="L33" s="1" t="n">
        <v>5179</v>
      </c>
    </row>
    <row r="34">
      <c r="B34" s="44" t="inlineStr">
        <is>
          <t>Loans to Rev Under $1m (RUM)</t>
        </is>
      </c>
      <c r="C34" s="2" t="n">
        <v>0.5277777777777778</v>
      </c>
      <c r="D34" s="2" t="n">
        <v>0.5319148936170213</v>
      </c>
      <c r="E34" s="2" t="n">
        <v>0.6525096525096525</v>
      </c>
      <c r="F34" s="2" t="n">
        <v>0.7303754266211604</v>
      </c>
      <c r="G34" s="2" t="n">
        <v>0.3870967741935484</v>
      </c>
      <c r="H34" s="2" t="n">
        <v>0.5210502489814396</v>
      </c>
      <c r="I34" s="2" t="n">
        <v>0.518149623727313</v>
      </c>
      <c r="J34" s="2" t="n">
        <v>0.4729883747435605</v>
      </c>
      <c r="K34" s="2" t="n">
        <v>0.5439330543933054</v>
      </c>
      <c r="L34" s="2" t="n">
        <v>0.5867928171461673</v>
      </c>
    </row>
    <row r="35">
      <c r="B35" s="44" t="inlineStr">
        <is>
          <t>Loans to LMICT</t>
        </is>
      </c>
      <c r="C35" s="2" t="n">
        <v>0.1527777777777778</v>
      </c>
      <c r="D35" s="2" t="n">
        <v>0.148936170212766</v>
      </c>
      <c r="E35" s="2" t="n">
        <v>0.1988416988416988</v>
      </c>
      <c r="F35" s="2" t="n">
        <v>0.2320819112627986</v>
      </c>
      <c r="G35" s="2" t="n">
        <v>0.2258064516129032</v>
      </c>
      <c r="H35" s="2" t="n">
        <v>0.186962426437302</v>
      </c>
      <c r="I35" s="2" t="n">
        <v>0.199203187250996</v>
      </c>
      <c r="J35" s="2" t="n">
        <v>0.205607476635514</v>
      </c>
      <c r="K35" s="2" t="n">
        <v>0.2154811715481172</v>
      </c>
      <c r="L35" s="2" t="n">
        <v>0.2013902297740877</v>
      </c>
    </row>
    <row r="36">
      <c r="B36" s="44" t="inlineStr">
        <is>
          <t>Small Business Loan Amount (000s)</t>
        </is>
      </c>
      <c r="C36" s="1" t="n">
        <v>20524</v>
      </c>
      <c r="D36" s="1" t="n">
        <v>12948</v>
      </c>
      <c r="E36" s="1" t="n">
        <v>54079</v>
      </c>
      <c r="F36" s="1" t="n">
        <v>27291</v>
      </c>
      <c r="G36" s="1" t="n">
        <v>12439</v>
      </c>
      <c r="H36" s="1" t="n">
        <v>119594</v>
      </c>
      <c r="I36" s="1" t="n">
        <v>117326</v>
      </c>
      <c r="J36" s="1" t="n">
        <v>225452</v>
      </c>
      <c r="K36" s="1" t="n">
        <v>163860</v>
      </c>
      <c r="L36" s="1" t="n">
        <v>128995</v>
      </c>
    </row>
    <row r="37">
      <c r="B37" s="44" t="inlineStr">
        <is>
          <t>Amount to Rev Under $1m (RUM)</t>
        </is>
      </c>
      <c r="C37" s="2" t="n">
        <v>0.568212824010914</v>
      </c>
      <c r="D37" s="2" t="n">
        <v>0.5415508186592524</v>
      </c>
      <c r="E37" s="2" t="n">
        <v>0.2853603062186801</v>
      </c>
      <c r="F37" s="2" t="n">
        <v>0.3704151551793632</v>
      </c>
      <c r="G37" s="2" t="n">
        <v>0.4882225259265214</v>
      </c>
      <c r="H37" s="2" t="n">
        <v>0.3837232637088817</v>
      </c>
      <c r="I37" s="2" t="n">
        <v>0.4163868196307724</v>
      </c>
      <c r="J37" s="2" t="n">
        <v>0.3103676170537409</v>
      </c>
      <c r="K37" s="2" t="n">
        <v>0.3737336750884901</v>
      </c>
      <c r="L37" s="2" t="n">
        <v>0.4475367262296988</v>
      </c>
    </row>
    <row r="38">
      <c r="B38" s="44" t="inlineStr">
        <is>
          <t>Amount to LMICT</t>
        </is>
      </c>
      <c r="C38" s="2" t="n">
        <v>0.1302864938608458</v>
      </c>
      <c r="D38" s="2" t="n">
        <v>0.1718412109978375</v>
      </c>
      <c r="E38" s="2" t="n">
        <v>0.2144085504539655</v>
      </c>
      <c r="F38" s="2" t="n">
        <v>0.2873841193067311</v>
      </c>
      <c r="G38" s="2" t="n">
        <v>0.2544416753758341</v>
      </c>
      <c r="H38" s="2" t="n">
        <v>0.1784286837132298</v>
      </c>
      <c r="I38" s="2" t="n">
        <v>0.1542369125343061</v>
      </c>
      <c r="J38" s="2" t="n">
        <v>0.2165959938257367</v>
      </c>
      <c r="K38" s="2" t="n">
        <v>0.2277798120346637</v>
      </c>
      <c r="L38" s="2" t="n">
        <v>0.1811077948757704</v>
      </c>
    </row>
    <row r="39">
      <c r="A39" s="44" t="inlineStr">
        <is>
          <t>Roanoke, VA MSA</t>
        </is>
      </c>
      <c r="B39" s="44" t="inlineStr">
        <is>
          <t>Small Business Loans</t>
        </is>
      </c>
      <c r="C39" s="1" t="n">
        <v>87</v>
      </c>
      <c r="D39" s="1" t="n">
        <v>59</v>
      </c>
      <c r="E39" s="1" t="n">
        <v>375</v>
      </c>
      <c r="F39" s="1" t="n">
        <v>209</v>
      </c>
      <c r="G39" s="1" t="n">
        <v>22</v>
      </c>
      <c r="H39" s="1" t="n">
        <v>5270</v>
      </c>
      <c r="I39" s="1" t="n">
        <v>5363</v>
      </c>
      <c r="J39" s="1" t="n">
        <v>6443</v>
      </c>
      <c r="K39" s="1" t="n">
        <v>6321</v>
      </c>
      <c r="L39" s="1" t="n">
        <v>6071</v>
      </c>
    </row>
    <row r="40">
      <c r="B40" s="44" t="inlineStr">
        <is>
          <t>Loans to Rev Under $1m (RUM)</t>
        </is>
      </c>
      <c r="C40" s="2" t="n">
        <v>0.4022988505747127</v>
      </c>
      <c r="D40" s="2" t="n">
        <v>0.5932203389830508</v>
      </c>
      <c r="E40" s="2" t="n">
        <v>0.7466666666666667</v>
      </c>
      <c r="F40" s="2" t="n">
        <v>0.722488038277512</v>
      </c>
      <c r="G40" s="2" t="n">
        <v>0.5454545454545454</v>
      </c>
      <c r="H40" s="2" t="n">
        <v>0.5292220113851992</v>
      </c>
      <c r="I40" s="2" t="n">
        <v>0.5056871154204736</v>
      </c>
      <c r="J40" s="2" t="n">
        <v>0.3968648145273941</v>
      </c>
      <c r="K40" s="2" t="n">
        <v>0.5008701154880557</v>
      </c>
      <c r="L40" s="2" t="n">
        <v>0.5483445890298139</v>
      </c>
    </row>
    <row r="41">
      <c r="B41" s="44" t="inlineStr">
        <is>
          <t>Loans to LMICT</t>
        </is>
      </c>
      <c r="C41" s="2" t="n">
        <v>0.09195402298850575</v>
      </c>
      <c r="D41" s="2" t="n">
        <v>0.2711864406779661</v>
      </c>
      <c r="E41" s="2" t="n">
        <v>0.136</v>
      </c>
      <c r="F41" s="2" t="n">
        <v>0.138755980861244</v>
      </c>
      <c r="G41" s="2" t="n">
        <v>0.1818181818181818</v>
      </c>
      <c r="H41" s="2" t="n">
        <v>0.1785578747628083</v>
      </c>
      <c r="I41" s="2" t="n">
        <v>0.1942942382994593</v>
      </c>
      <c r="J41" s="2" t="n">
        <v>0.1927673444047804</v>
      </c>
      <c r="K41" s="2" t="n">
        <v>0.1817750355956336</v>
      </c>
      <c r="L41" s="2" t="n">
        <v>0.2230275078240817</v>
      </c>
    </row>
    <row r="42">
      <c r="B42" s="44" t="inlineStr">
        <is>
          <t>Small Business Loan Amount (000s)</t>
        </is>
      </c>
      <c r="C42" s="1" t="n">
        <v>16986</v>
      </c>
      <c r="D42" s="1" t="n">
        <v>12384</v>
      </c>
      <c r="E42" s="1" t="n">
        <v>25024</v>
      </c>
      <c r="F42" s="1" t="n">
        <v>21627</v>
      </c>
      <c r="G42" s="1" t="n">
        <v>4858</v>
      </c>
      <c r="H42" s="1" t="n">
        <v>220732</v>
      </c>
      <c r="I42" s="1" t="n">
        <v>242529</v>
      </c>
      <c r="J42" s="1" t="n">
        <v>482780</v>
      </c>
      <c r="K42" s="1" t="n">
        <v>361028</v>
      </c>
      <c r="L42" s="1" t="n">
        <v>281105</v>
      </c>
    </row>
    <row r="43">
      <c r="B43" s="44" t="inlineStr">
        <is>
          <t>Amount to Rev Under $1m (RUM)</t>
        </is>
      </c>
      <c r="C43" s="2" t="n">
        <v>0.4221123277993642</v>
      </c>
      <c r="D43" s="2" t="n">
        <v>0.6648094315245479</v>
      </c>
      <c r="E43" s="2" t="n">
        <v>0.3827125959079284</v>
      </c>
      <c r="F43" s="2" t="n">
        <v>0.4123086882138068</v>
      </c>
      <c r="G43" s="2" t="n">
        <v>0.468917249897077</v>
      </c>
      <c r="H43" s="2" t="n">
        <v>0.4141492851059203</v>
      </c>
      <c r="I43" s="2" t="n">
        <v>0.4112621583398274</v>
      </c>
      <c r="J43" s="2" t="n">
        <v>0.2534135631136336</v>
      </c>
      <c r="K43" s="2" t="n">
        <v>0.3807100834284322</v>
      </c>
      <c r="L43" s="2" t="n">
        <v>0.4366944735952758</v>
      </c>
    </row>
    <row r="44">
      <c r="B44" s="44" t="inlineStr">
        <is>
          <t>Amount to LMICT</t>
        </is>
      </c>
      <c r="C44" s="2" t="n">
        <v>0.1276933945602261</v>
      </c>
      <c r="D44" s="2" t="n">
        <v>0.2755167958656331</v>
      </c>
      <c r="E44" s="2" t="n">
        <v>0.1233216112531969</v>
      </c>
      <c r="F44" s="2" t="n">
        <v>0.1563786008230453</v>
      </c>
      <c r="G44" s="2" t="n">
        <v>0.1729106628242075</v>
      </c>
      <c r="H44" s="2" t="n">
        <v>0.1829594259101535</v>
      </c>
      <c r="I44" s="2" t="n">
        <v>0.1902535366904576</v>
      </c>
      <c r="J44" s="2" t="n">
        <v>0.1896267451012884</v>
      </c>
      <c r="K44" s="2" t="n">
        <v>0.1616218132665611</v>
      </c>
      <c r="L44" s="2" t="n">
        <v>0.2394407783568417</v>
      </c>
    </row>
    <row r="45">
      <c r="A45" s="44" t="inlineStr">
        <is>
          <t>Blacksburg-Christiansburg-Radford, VA MSA</t>
        </is>
      </c>
      <c r="B45" s="44" t="inlineStr">
        <is>
          <t>Small Business Loans</t>
        </is>
      </c>
      <c r="C45" s="1" t="n">
        <v>49</v>
      </c>
      <c r="D45" s="1" t="n">
        <v>33</v>
      </c>
      <c r="E45" s="1" t="n">
        <v>318</v>
      </c>
      <c r="F45" s="1" t="n">
        <v>165</v>
      </c>
      <c r="G45" s="1" t="n">
        <v>25</v>
      </c>
      <c r="H45" s="1" t="n">
        <v>1782</v>
      </c>
      <c r="I45" s="1" t="n">
        <v>1956</v>
      </c>
      <c r="J45" s="1" t="n">
        <v>1914</v>
      </c>
      <c r="K45" s="1" t="n">
        <v>2284</v>
      </c>
      <c r="L45" s="1" t="n">
        <v>2649</v>
      </c>
    </row>
    <row r="46">
      <c r="B46" s="44" t="inlineStr">
        <is>
          <t>Loans to Rev Under $1m (RUM)</t>
        </is>
      </c>
      <c r="C46" s="2" t="n">
        <v>0.3877551020408163</v>
      </c>
      <c r="D46" s="2" t="n">
        <v>0.3636363636363636</v>
      </c>
      <c r="E46" s="2" t="n">
        <v>0.8018867924528302</v>
      </c>
      <c r="F46" s="2" t="n">
        <v>0.8121212121212121</v>
      </c>
      <c r="G46" s="2" t="n">
        <v>0.6</v>
      </c>
      <c r="H46" s="2" t="n">
        <v>0.5404040404040404</v>
      </c>
      <c r="I46" s="2" t="n">
        <v>0.5260736196319018</v>
      </c>
      <c r="J46" s="2" t="n">
        <v>0.4446185997910136</v>
      </c>
      <c r="K46" s="2" t="n">
        <v>0.5385288966725044</v>
      </c>
      <c r="L46" s="2" t="n">
        <v>0.5790864477161193</v>
      </c>
    </row>
    <row r="47">
      <c r="B47" s="44" t="inlineStr">
        <is>
          <t>Loans to LMICT</t>
        </is>
      </c>
      <c r="C47" s="2" t="n">
        <v>0</v>
      </c>
      <c r="D47" s="2" t="n">
        <v>0</v>
      </c>
      <c r="E47" s="2" t="n">
        <v>0.0220125786163522</v>
      </c>
      <c r="F47" s="2" t="n">
        <v>0.01818181818181818</v>
      </c>
      <c r="G47" s="2" t="n">
        <v>0.12</v>
      </c>
      <c r="H47" s="2" t="n">
        <v>0.01851851851851852</v>
      </c>
      <c r="I47" s="2" t="n">
        <v>0.01175869120654397</v>
      </c>
      <c r="J47" s="2" t="n">
        <v>0.01358411703239289</v>
      </c>
      <c r="K47" s="2" t="n">
        <v>0.01094570928196147</v>
      </c>
      <c r="L47" s="2" t="n">
        <v>0.1347678369195923</v>
      </c>
    </row>
    <row r="48">
      <c r="B48" s="44" t="inlineStr">
        <is>
          <t>Small Business Loan Amount (000s)</t>
        </is>
      </c>
      <c r="C48" s="1" t="n">
        <v>4373</v>
      </c>
      <c r="D48" s="1" t="n">
        <v>5833</v>
      </c>
      <c r="E48" s="1" t="n">
        <v>23288</v>
      </c>
      <c r="F48" s="1" t="n">
        <v>11037</v>
      </c>
      <c r="G48" s="1" t="n">
        <v>4589</v>
      </c>
      <c r="H48" s="1" t="n">
        <v>50628</v>
      </c>
      <c r="I48" s="1" t="n">
        <v>73703</v>
      </c>
      <c r="J48" s="1" t="n">
        <v>109190</v>
      </c>
      <c r="K48" s="1" t="n">
        <v>87866</v>
      </c>
      <c r="L48" s="1" t="n">
        <v>84582</v>
      </c>
    </row>
    <row r="49">
      <c r="B49" s="44" t="inlineStr">
        <is>
          <t>Amount to Rev Under $1m (RUM)</t>
        </is>
      </c>
      <c r="C49" s="2" t="n">
        <v>0.2897324491195976</v>
      </c>
      <c r="D49" s="2" t="n">
        <v>0.3687639293673924</v>
      </c>
      <c r="E49" s="2" t="n">
        <v>0.4139041566472003</v>
      </c>
      <c r="F49" s="2" t="n">
        <v>0.4580954969647549</v>
      </c>
      <c r="G49" s="2" t="n">
        <v>0.3809108738287209</v>
      </c>
      <c r="H49" s="2" t="n">
        <v>0.4415343288298965</v>
      </c>
      <c r="I49" s="2" t="n">
        <v>0.435911699659444</v>
      </c>
      <c r="J49" s="2" t="n">
        <v>0.3290960710687792</v>
      </c>
      <c r="K49" s="2" t="n">
        <v>0.4124917487993081</v>
      </c>
      <c r="L49" s="2" t="n">
        <v>0.462474285308931</v>
      </c>
    </row>
    <row r="50">
      <c r="B50" s="44" t="inlineStr">
        <is>
          <t>Amount to LMICT</t>
        </is>
      </c>
      <c r="C50" s="2" t="n">
        <v>0</v>
      </c>
      <c r="D50" s="2" t="n">
        <v>0</v>
      </c>
      <c r="E50" s="2" t="n">
        <v>0.0160168327035383</v>
      </c>
      <c r="F50" s="2" t="n">
        <v>0.01041949805200689</v>
      </c>
      <c r="G50" s="2" t="n">
        <v>0.1669208977990848</v>
      </c>
      <c r="H50" s="2" t="n">
        <v>0.007762502962787391</v>
      </c>
      <c r="I50" s="2" t="n">
        <v>0.003120632810062006</v>
      </c>
      <c r="J50" s="2" t="n">
        <v>0.008288304789815917</v>
      </c>
      <c r="K50" s="2" t="n">
        <v>0.01283773018004689</v>
      </c>
      <c r="L50" s="2" t="n">
        <v>0.1438012815965572</v>
      </c>
    </row>
    <row r="51">
      <c r="A51" s="44" t="inlineStr">
        <is>
          <t>Staunton-Stuarts Draft, VA MSA</t>
        </is>
      </c>
      <c r="B51" s="44" t="inlineStr">
        <is>
          <t>Small Business Loans</t>
        </is>
      </c>
      <c r="C51" s="1" t="n">
        <v>58</v>
      </c>
      <c r="D51" s="1" t="n">
        <v>30</v>
      </c>
      <c r="E51" s="1" t="n">
        <v>239</v>
      </c>
      <c r="F51" s="1" t="n">
        <v>120</v>
      </c>
      <c r="G51" s="1" t="n">
        <v>19</v>
      </c>
      <c r="H51" s="1" t="n">
        <v>1666</v>
      </c>
      <c r="I51" s="1" t="n">
        <v>1747</v>
      </c>
      <c r="J51" s="1" t="n">
        <v>1714</v>
      </c>
      <c r="K51" s="1" t="n">
        <v>2023</v>
      </c>
      <c r="L51" s="1" t="n">
        <v>2046</v>
      </c>
    </row>
    <row r="52">
      <c r="B52" s="44" t="inlineStr">
        <is>
          <t>Loans to Rev Under $1m (RUM)</t>
        </is>
      </c>
      <c r="C52" s="2" t="n">
        <v>0.4137931034482759</v>
      </c>
      <c r="D52" s="2" t="n">
        <v>0.5</v>
      </c>
      <c r="E52" s="2" t="n">
        <v>0.7071129707112971</v>
      </c>
      <c r="F52" s="2" t="n">
        <v>0.7916666666666666</v>
      </c>
      <c r="G52" s="2" t="n">
        <v>0.3684210526315789</v>
      </c>
      <c r="H52" s="2" t="n">
        <v>0.5786314525810324</v>
      </c>
      <c r="I52" s="2" t="n">
        <v>0.5174585002862049</v>
      </c>
      <c r="J52" s="2" t="n">
        <v>0.3763127187864644</v>
      </c>
      <c r="K52" s="2" t="n">
        <v>0.5477014335145823</v>
      </c>
      <c r="L52" s="2" t="n">
        <v>0.6148582600195504</v>
      </c>
    </row>
    <row r="53">
      <c r="B53" s="44" t="inlineStr">
        <is>
          <t>Loans to LMICT</t>
        </is>
      </c>
      <c r="C53" s="2" t="n">
        <v>0.01724137931034483</v>
      </c>
      <c r="D53" s="2" t="n">
        <v>0.1333333333333333</v>
      </c>
      <c r="E53" s="2" t="n">
        <v>0.1213389121338912</v>
      </c>
      <c r="F53" s="2" t="n">
        <v>0.1</v>
      </c>
      <c r="G53" s="2" t="n">
        <v>0.3157894736842105</v>
      </c>
      <c r="H53" s="2" t="n">
        <v>0.09483793517406963</v>
      </c>
      <c r="I53" s="2" t="n">
        <v>0.09673726388093876</v>
      </c>
      <c r="J53" s="2" t="n">
        <v>0.09626604434072346</v>
      </c>
      <c r="K53" s="2" t="n">
        <v>0.09787444389520514</v>
      </c>
      <c r="L53" s="2" t="n">
        <v>0.104594330400782</v>
      </c>
    </row>
    <row r="54">
      <c r="B54" s="44" t="inlineStr">
        <is>
          <t>Small Business Loan Amount (000s)</t>
        </is>
      </c>
      <c r="C54" s="1" t="n">
        <v>10380</v>
      </c>
      <c r="D54" s="1" t="n">
        <v>7382</v>
      </c>
      <c r="E54" s="1" t="n">
        <v>21434</v>
      </c>
      <c r="F54" s="1" t="n">
        <v>10898</v>
      </c>
      <c r="G54" s="1" t="n">
        <v>5475</v>
      </c>
      <c r="H54" s="1" t="n">
        <v>59042</v>
      </c>
      <c r="I54" s="1" t="n">
        <v>70068</v>
      </c>
      <c r="J54" s="1" t="n">
        <v>91715</v>
      </c>
      <c r="K54" s="1" t="n">
        <v>78330</v>
      </c>
      <c r="L54" s="1" t="n">
        <v>57482</v>
      </c>
    </row>
    <row r="55">
      <c r="B55" s="44" t="inlineStr">
        <is>
          <t>Amount to Rev Under $1m (RUM)</t>
        </is>
      </c>
      <c r="C55" s="2" t="n">
        <v>0.3611753371868979</v>
      </c>
      <c r="D55" s="2" t="n">
        <v>0.2358439447304254</v>
      </c>
      <c r="E55" s="2" t="n">
        <v>0.2865540729681814</v>
      </c>
      <c r="F55" s="2" t="n">
        <v>0.4023674068636447</v>
      </c>
      <c r="G55" s="2" t="n">
        <v>0.3075799086757991</v>
      </c>
      <c r="H55" s="2" t="n">
        <v>0.4481894244774906</v>
      </c>
      <c r="I55" s="2" t="n">
        <v>0.4336073528572244</v>
      </c>
      <c r="J55" s="2" t="n">
        <v>0.3082374747860219</v>
      </c>
      <c r="K55" s="2" t="n">
        <v>0.3805566194306141</v>
      </c>
      <c r="L55" s="2" t="n">
        <v>0.4422079955464319</v>
      </c>
    </row>
    <row r="56">
      <c r="B56" s="44" t="inlineStr">
        <is>
          <t>Amount to LMICT</t>
        </is>
      </c>
      <c r="C56" s="2" t="n">
        <v>0.01425818882466281</v>
      </c>
      <c r="D56" s="2" t="n">
        <v>0.08046599837442428</v>
      </c>
      <c r="E56" s="2" t="n">
        <v>0.09806848931603994</v>
      </c>
      <c r="F56" s="2" t="n">
        <v>0.04973389612772986</v>
      </c>
      <c r="G56" s="2" t="n">
        <v>0.3729680365296804</v>
      </c>
      <c r="H56" s="2" t="n">
        <v>0.07586125131262492</v>
      </c>
      <c r="I56" s="2" t="n">
        <v>0.05003710681052691</v>
      </c>
      <c r="J56" s="2" t="n">
        <v>0.06792781987679224</v>
      </c>
      <c r="K56" s="2" t="n">
        <v>0.07218179496999873</v>
      </c>
      <c r="L56" s="2" t="n">
        <v>0.1250652378135764</v>
      </c>
    </row>
    <row r="57">
      <c r="A57" s="44" t="inlineStr">
        <is>
          <t>Northeast NC non-MSA AA</t>
        </is>
      </c>
      <c r="B57" s="44" t="inlineStr">
        <is>
          <t>Small Business Loans</t>
        </is>
      </c>
      <c r="C57" s="1" t="n">
        <v>41</v>
      </c>
      <c r="D57" s="1" t="n">
        <v>35</v>
      </c>
      <c r="E57" s="1" t="n">
        <v>215</v>
      </c>
      <c r="F57" s="1" t="n">
        <v>104</v>
      </c>
      <c r="G57" s="1" t="n">
        <v>14</v>
      </c>
      <c r="H57" s="1" t="n">
        <v>3108</v>
      </c>
      <c r="I57" s="1" t="n">
        <v>3250</v>
      </c>
      <c r="J57" s="1" t="n">
        <v>3699</v>
      </c>
      <c r="K57" s="1" t="n">
        <v>4054</v>
      </c>
      <c r="L57" s="1" t="n">
        <v>3652</v>
      </c>
    </row>
    <row r="58">
      <c r="B58" s="44" t="inlineStr">
        <is>
          <t>Loans to Rev Under $1m (RUM)</t>
        </is>
      </c>
      <c r="C58" s="2" t="n">
        <v>0.3414634146341464</v>
      </c>
      <c r="D58" s="2" t="n">
        <v>0.6</v>
      </c>
      <c r="E58" s="2" t="n">
        <v>0.7348837209302326</v>
      </c>
      <c r="F58" s="2" t="n">
        <v>0.8173076923076923</v>
      </c>
      <c r="G58" s="2" t="n">
        <v>0.6428571428571429</v>
      </c>
      <c r="H58" s="2" t="n">
        <v>0.5231660231660231</v>
      </c>
      <c r="I58" s="2" t="n">
        <v>0.4870769230769231</v>
      </c>
      <c r="J58" s="2" t="n">
        <v>0.4071370640713706</v>
      </c>
      <c r="K58" s="2" t="n">
        <v>0.486679822397632</v>
      </c>
      <c r="L58" s="2" t="n">
        <v>0.5498357064622125</v>
      </c>
    </row>
    <row r="59">
      <c r="B59" s="44" t="inlineStr">
        <is>
          <t>Loans to LMICT</t>
        </is>
      </c>
      <c r="C59" s="2" t="n">
        <v>0.1463414634146341</v>
      </c>
      <c r="D59" s="2" t="n">
        <v>0.1428571428571428</v>
      </c>
      <c r="E59" s="2" t="n">
        <v>0.1348837209302326</v>
      </c>
      <c r="F59" s="2" t="n">
        <v>0.1634615384615385</v>
      </c>
      <c r="G59" s="2" t="n">
        <v>0.07142857142857142</v>
      </c>
      <c r="H59" s="2" t="n">
        <v>0.09813384813384814</v>
      </c>
      <c r="I59" s="2" t="n">
        <v>0.08492307692307692</v>
      </c>
      <c r="J59" s="2" t="n">
        <v>0.09624222762908895</v>
      </c>
      <c r="K59" s="2" t="n">
        <v>0.08608781450419339</v>
      </c>
      <c r="L59" s="2" t="n">
        <v>0.09556407447973712</v>
      </c>
    </row>
    <row r="60">
      <c r="B60" s="44" t="inlineStr">
        <is>
          <t>Small Business Loan Amount (000s)</t>
        </is>
      </c>
      <c r="C60" s="1" t="n">
        <v>9606</v>
      </c>
      <c r="D60" s="1" t="n">
        <v>8184</v>
      </c>
      <c r="E60" s="1" t="n">
        <v>14914</v>
      </c>
      <c r="F60" s="1" t="n">
        <v>8961</v>
      </c>
      <c r="G60" s="1" t="n">
        <v>3348</v>
      </c>
      <c r="H60" s="1" t="n">
        <v>115281</v>
      </c>
      <c r="I60" s="1" t="n">
        <v>119198</v>
      </c>
      <c r="J60" s="1" t="n">
        <v>223219</v>
      </c>
      <c r="K60" s="1" t="n">
        <v>177467</v>
      </c>
      <c r="L60" s="1" t="n">
        <v>121196</v>
      </c>
    </row>
    <row r="61">
      <c r="B61" s="44" t="inlineStr">
        <is>
          <t>Amount to Rev Under $1m (RUM)</t>
        </is>
      </c>
      <c r="C61" s="2" t="n">
        <v>0.3877784717884655</v>
      </c>
      <c r="D61" s="2" t="n">
        <v>0.6620234604105572</v>
      </c>
      <c r="E61" s="2" t="n">
        <v>0.3669706316212955</v>
      </c>
      <c r="F61" s="2" t="n">
        <v>0.565896663318826</v>
      </c>
      <c r="G61" s="2" t="n">
        <v>0.4662485065710872</v>
      </c>
      <c r="H61" s="2" t="n">
        <v>0.5007590149287393</v>
      </c>
      <c r="I61" s="2" t="n">
        <v>0.4355693887481333</v>
      </c>
      <c r="J61" s="2" t="n">
        <v>0.3064165684820737</v>
      </c>
      <c r="K61" s="2" t="n">
        <v>0.3679275583629633</v>
      </c>
      <c r="L61" s="2" t="n">
        <v>0.4103683289877554</v>
      </c>
    </row>
    <row r="62">
      <c r="B62" s="44" t="inlineStr">
        <is>
          <t>Amount to LMICT</t>
        </is>
      </c>
      <c r="C62" s="2" t="n">
        <v>0.1305434103685197</v>
      </c>
      <c r="D62" s="2" t="n">
        <v>0.07734604105571848</v>
      </c>
      <c r="E62" s="2" t="n">
        <v>0.1103660989674132</v>
      </c>
      <c r="F62" s="2" t="n">
        <v>0.05947996875348734</v>
      </c>
      <c r="G62" s="2" t="n">
        <v>0.007467144563918757</v>
      </c>
      <c r="H62" s="2" t="n">
        <v>0.1398842827525785</v>
      </c>
      <c r="I62" s="2" t="n">
        <v>0.1227034010637762</v>
      </c>
      <c r="J62" s="2" t="n">
        <v>0.1278654594814957</v>
      </c>
      <c r="K62" s="2" t="n">
        <v>0.1110798063865395</v>
      </c>
      <c r="L62" s="2" t="n">
        <v>0.1202267401564408</v>
      </c>
    </row>
    <row r="63">
      <c r="A63" s="44" t="inlineStr">
        <is>
          <t>Lynchburg, VA MSA</t>
        </is>
      </c>
      <c r="B63" s="44" t="inlineStr">
        <is>
          <t>Small Business Loans</t>
        </is>
      </c>
      <c r="C63" s="1" t="n">
        <v>40</v>
      </c>
      <c r="D63" s="1" t="n">
        <v>44</v>
      </c>
      <c r="E63" s="1" t="n">
        <v>153</v>
      </c>
      <c r="F63" s="1" t="n">
        <v>65</v>
      </c>
      <c r="G63" s="1" t="n">
        <v>12</v>
      </c>
      <c r="H63" s="1" t="n">
        <v>3905</v>
      </c>
      <c r="I63" s="1" t="n">
        <v>3918</v>
      </c>
      <c r="J63" s="1" t="n">
        <v>3919</v>
      </c>
      <c r="K63" s="1" t="n">
        <v>4687</v>
      </c>
      <c r="L63" s="1" t="n">
        <v>4613</v>
      </c>
    </row>
    <row r="64">
      <c r="B64" s="44" t="inlineStr">
        <is>
          <t>Loans to Rev Under $1m (RUM)</t>
        </is>
      </c>
      <c r="C64" s="2" t="n">
        <v>0.6</v>
      </c>
      <c r="D64" s="2" t="n">
        <v>0.5</v>
      </c>
      <c r="E64" s="2" t="n">
        <v>0.7712418300653595</v>
      </c>
      <c r="F64" s="2" t="n">
        <v>0.7230769230769231</v>
      </c>
      <c r="G64" s="2" t="n">
        <v>0.4166666666666667</v>
      </c>
      <c r="H64" s="2" t="n">
        <v>0.5444302176696543</v>
      </c>
      <c r="I64" s="2" t="n">
        <v>0.5163348647269015</v>
      </c>
      <c r="J64" s="2" t="n">
        <v>0.4432253125797397</v>
      </c>
      <c r="K64" s="2" t="n">
        <v>0.5400042671218264</v>
      </c>
      <c r="L64" s="2" t="n">
        <v>0.6041621504443963</v>
      </c>
    </row>
    <row r="65">
      <c r="B65" s="44" t="inlineStr">
        <is>
          <t>Loans to LMICT</t>
        </is>
      </c>
      <c r="C65" s="2" t="n">
        <v>0.1</v>
      </c>
      <c r="D65" s="2" t="n">
        <v>0.1136363636363636</v>
      </c>
      <c r="E65" s="2" t="n">
        <v>0.0457516339869281</v>
      </c>
      <c r="F65" s="2" t="n">
        <v>0.1384615384615385</v>
      </c>
      <c r="G65" s="2" t="n">
        <v>0.1666666666666667</v>
      </c>
      <c r="H65" s="2" t="n">
        <v>0.1971830985915493</v>
      </c>
      <c r="I65" s="2" t="n">
        <v>0.2187340479836651</v>
      </c>
      <c r="J65" s="2" t="n">
        <v>0.2202092370502679</v>
      </c>
      <c r="K65" s="2" t="n">
        <v>0.1907403456368679</v>
      </c>
      <c r="L65" s="2" t="n">
        <v>0.1164101452417082</v>
      </c>
    </row>
    <row r="66">
      <c r="B66" s="44" t="inlineStr">
        <is>
          <t>Small Business Loan Amount (000s)</t>
        </is>
      </c>
      <c r="C66" s="1" t="n">
        <v>9168</v>
      </c>
      <c r="D66" s="1" t="n">
        <v>7064</v>
      </c>
      <c r="E66" s="1" t="n">
        <v>10012</v>
      </c>
      <c r="F66" s="1" t="n">
        <v>7607</v>
      </c>
      <c r="G66" s="1" t="n">
        <v>2203</v>
      </c>
      <c r="H66" s="1" t="n">
        <v>137983</v>
      </c>
      <c r="I66" s="1" t="n">
        <v>149141</v>
      </c>
      <c r="J66" s="1" t="n">
        <v>224216</v>
      </c>
      <c r="K66" s="1" t="n">
        <v>179058</v>
      </c>
      <c r="L66" s="1" t="n">
        <v>155285</v>
      </c>
    </row>
    <row r="67">
      <c r="B67" s="44" t="inlineStr">
        <is>
          <t>Amount to Rev Under $1m (RUM)</t>
        </is>
      </c>
      <c r="C67" s="2" t="n">
        <v>0.5912958115183246</v>
      </c>
      <c r="D67" s="2" t="n">
        <v>0.6201868629671574</v>
      </c>
      <c r="E67" s="2" t="n">
        <v>0.4856172592888534</v>
      </c>
      <c r="F67" s="2" t="n">
        <v>0.489943473116866</v>
      </c>
      <c r="G67" s="2" t="n">
        <v>0.2482977757603268</v>
      </c>
      <c r="H67" s="2" t="n">
        <v>0.4009914264800736</v>
      </c>
      <c r="I67" s="2" t="n">
        <v>0.4221642606660811</v>
      </c>
      <c r="J67" s="2" t="n">
        <v>0.3129482284939523</v>
      </c>
      <c r="K67" s="2" t="n">
        <v>0.3561304158429112</v>
      </c>
      <c r="L67" s="2" t="n">
        <v>0.4395723991370705</v>
      </c>
    </row>
    <row r="68">
      <c r="B68" s="44" t="inlineStr">
        <is>
          <t>Amount to LMICT</t>
        </is>
      </c>
      <c r="C68" s="2" t="n">
        <v>0.1094022687609075</v>
      </c>
      <c r="D68" s="2" t="n">
        <v>0.1194790486976217</v>
      </c>
      <c r="E68" s="2" t="n">
        <v>0.08330003995205754</v>
      </c>
      <c r="F68" s="2" t="n">
        <v>0.1456553174707506</v>
      </c>
      <c r="G68" s="2" t="n">
        <v>0.1552428506581934</v>
      </c>
      <c r="H68" s="2" t="n">
        <v>0.2122652790561156</v>
      </c>
      <c r="I68" s="2" t="n">
        <v>0.2199998658987133</v>
      </c>
      <c r="J68" s="2" t="n">
        <v>0.3103837371106433</v>
      </c>
      <c r="K68" s="2" t="n">
        <v>0.2236482033754426</v>
      </c>
      <c r="L68" s="2" t="n">
        <v>0.1524744824033229</v>
      </c>
    </row>
    <row r="69">
      <c r="A69" s="44" t="inlineStr">
        <is>
          <t>Central VA non-MSA AA</t>
        </is>
      </c>
      <c r="B69" s="44" t="inlineStr">
        <is>
          <t>Small Business Loans</t>
        </is>
      </c>
      <c r="C69" s="1" t="n">
        <v>21</v>
      </c>
      <c r="D69" s="1" t="n">
        <v>13</v>
      </c>
      <c r="E69" s="1" t="n">
        <v>173</v>
      </c>
      <c r="F69" s="1" t="n">
        <v>74</v>
      </c>
      <c r="G69" s="1" t="n">
        <v>15</v>
      </c>
      <c r="H69" s="1" t="n">
        <v>1255</v>
      </c>
      <c r="I69" s="1" t="n">
        <v>1452</v>
      </c>
      <c r="J69" s="1" t="n">
        <v>1278</v>
      </c>
      <c r="K69" s="1" t="n">
        <v>1720</v>
      </c>
      <c r="L69" s="1" t="n">
        <v>1693</v>
      </c>
    </row>
    <row r="70">
      <c r="B70" s="44" t="inlineStr">
        <is>
          <t>Loans to Rev Under $1m (RUM)</t>
        </is>
      </c>
      <c r="C70" s="2" t="n">
        <v>0.4285714285714285</v>
      </c>
      <c r="D70" s="2" t="n">
        <v>0.6153846153846154</v>
      </c>
      <c r="E70" s="2" t="n">
        <v>0.7109826589595376</v>
      </c>
      <c r="F70" s="2" t="n">
        <v>0.7162162162162162</v>
      </c>
      <c r="G70" s="2" t="n">
        <v>0.4666666666666667</v>
      </c>
      <c r="H70" s="2" t="n">
        <v>0.5322709163346614</v>
      </c>
      <c r="I70" s="2" t="n">
        <v>0.5082644628099173</v>
      </c>
      <c r="J70" s="2" t="n">
        <v>0.4921752738654147</v>
      </c>
      <c r="K70" s="2" t="n">
        <v>0.5854651162790697</v>
      </c>
      <c r="L70" s="2" t="n">
        <v>0.6213821618428824</v>
      </c>
    </row>
    <row r="71">
      <c r="B71" s="44" t="inlineStr">
        <is>
          <t>Loans to LMICT</t>
        </is>
      </c>
      <c r="C71" s="2" t="n">
        <v>0.09523809523809523</v>
      </c>
      <c r="D71" s="2" t="n">
        <v>0.2307692307692308</v>
      </c>
      <c r="E71" s="2" t="n">
        <v>0.4682080924855491</v>
      </c>
      <c r="F71" s="2" t="n">
        <v>0.527027027027027</v>
      </c>
      <c r="G71" s="2" t="n">
        <v>0.4</v>
      </c>
      <c r="H71" s="2" t="n">
        <v>0.07250996015936255</v>
      </c>
      <c r="I71" s="2" t="n">
        <v>0.2210743801652893</v>
      </c>
      <c r="J71" s="2" t="n">
        <v>0.229264475743349</v>
      </c>
      <c r="K71" s="2" t="n">
        <v>0.2244186046511628</v>
      </c>
      <c r="L71" s="2" t="n">
        <v>0.1677495569994093</v>
      </c>
    </row>
    <row r="72">
      <c r="B72" s="44" t="inlineStr">
        <is>
          <t>Small Business Loan Amount (000s)</t>
        </is>
      </c>
      <c r="C72" s="1" t="n">
        <v>4091</v>
      </c>
      <c r="D72" s="1" t="n">
        <v>4021</v>
      </c>
      <c r="E72" s="1" t="n">
        <v>16430</v>
      </c>
      <c r="F72" s="1" t="n">
        <v>6836</v>
      </c>
      <c r="G72" s="1" t="n">
        <v>4576</v>
      </c>
      <c r="H72" s="1" t="n">
        <v>24591</v>
      </c>
      <c r="I72" s="1" t="n">
        <v>32030</v>
      </c>
      <c r="J72" s="1" t="n">
        <v>50183</v>
      </c>
      <c r="K72" s="1" t="n">
        <v>37644</v>
      </c>
      <c r="L72" s="1" t="n">
        <v>40303</v>
      </c>
    </row>
    <row r="73">
      <c r="B73" s="44" t="inlineStr">
        <is>
          <t>Amount to Rev Under $1m (RUM)</t>
        </is>
      </c>
      <c r="C73" s="2" t="n">
        <v>0.3119041799071132</v>
      </c>
      <c r="D73" s="2" t="n">
        <v>0.734145734891818</v>
      </c>
      <c r="E73" s="2" t="n">
        <v>0.3845404747413269</v>
      </c>
      <c r="F73" s="2" t="n">
        <v>0.5520772381509654</v>
      </c>
      <c r="G73" s="2" t="n">
        <v>0.5216346153846154</v>
      </c>
      <c r="H73" s="2" t="n">
        <v>0.4064901793339026</v>
      </c>
      <c r="I73" s="2" t="n">
        <v>0.4172962847330627</v>
      </c>
      <c r="J73" s="2" t="n">
        <v>0.4545762509216268</v>
      </c>
      <c r="K73" s="2" t="n">
        <v>0.4063861438741898</v>
      </c>
      <c r="L73" s="2" t="n">
        <v>0.4166439222886634</v>
      </c>
    </row>
    <row r="74">
      <c r="B74" s="44" t="inlineStr">
        <is>
          <t>Amount to LMICT</t>
        </is>
      </c>
      <c r="C74" s="2" t="n">
        <v>0.009777560498655585</v>
      </c>
      <c r="D74" s="2" t="n">
        <v>0.2845063417060433</v>
      </c>
      <c r="E74" s="2" t="n">
        <v>0.4637857577601948</v>
      </c>
      <c r="F74" s="2" t="n">
        <v>0.5105324751316559</v>
      </c>
      <c r="G74" s="2" t="n">
        <v>0.2878059440559441</v>
      </c>
      <c r="H74" s="2" t="n">
        <v>0.10333048676345</v>
      </c>
      <c r="I74" s="2" t="n">
        <v>0.1920074929753356</v>
      </c>
      <c r="J74" s="2" t="n">
        <v>0.1920969252535719</v>
      </c>
      <c r="K74" s="2" t="n">
        <v>0.2022101795770906</v>
      </c>
      <c r="L74" s="2" t="n">
        <v>0.1184030965436816</v>
      </c>
    </row>
    <row r="75">
      <c r="A75" s="44" t="inlineStr">
        <is>
          <t>Harrisonburg, VA MSA</t>
        </is>
      </c>
      <c r="B75" s="44" t="inlineStr">
        <is>
          <t>Small Business Loans</t>
        </is>
      </c>
      <c r="C75" s="1" t="n">
        <v>33</v>
      </c>
      <c r="D75" s="1" t="n">
        <v>15</v>
      </c>
      <c r="E75" s="1" t="n">
        <v>103</v>
      </c>
      <c r="F75" s="1" t="n">
        <v>57</v>
      </c>
      <c r="G75" s="1" t="n">
        <v>19</v>
      </c>
      <c r="H75" s="1" t="n">
        <v>1860</v>
      </c>
      <c r="I75" s="1" t="n">
        <v>1856</v>
      </c>
      <c r="J75" s="1" t="n">
        <v>1702</v>
      </c>
      <c r="K75" s="1" t="n">
        <v>2155</v>
      </c>
      <c r="L75" s="1" t="n">
        <v>1958</v>
      </c>
    </row>
    <row r="76">
      <c r="B76" s="44" t="inlineStr">
        <is>
          <t>Loans to Rev Under $1m (RUM)</t>
        </is>
      </c>
      <c r="C76" s="2" t="n">
        <v>0.5757575757575758</v>
      </c>
      <c r="D76" s="2" t="n">
        <v>0.4666666666666667</v>
      </c>
      <c r="E76" s="2" t="n">
        <v>0.6213592233009708</v>
      </c>
      <c r="F76" s="2" t="n">
        <v>0.6140350877192983</v>
      </c>
      <c r="G76" s="2" t="n">
        <v>0.4210526315789473</v>
      </c>
      <c r="H76" s="2" t="n">
        <v>0.5693548387096774</v>
      </c>
      <c r="I76" s="2" t="n">
        <v>0.5290948275862069</v>
      </c>
      <c r="J76" s="2" t="n">
        <v>0.4148061104582844</v>
      </c>
      <c r="K76" s="2" t="n">
        <v>0.5540603248259861</v>
      </c>
      <c r="L76" s="2" t="n">
        <v>0.5832482124616956</v>
      </c>
    </row>
    <row r="77">
      <c r="B77" s="44" t="inlineStr">
        <is>
          <t>Loans to LMICT</t>
        </is>
      </c>
      <c r="C77" s="2" t="n">
        <v>0.2727272727272727</v>
      </c>
      <c r="D77" s="2" t="n">
        <v>0.4</v>
      </c>
      <c r="E77" s="2" t="n">
        <v>0.3203883495145631</v>
      </c>
      <c r="F77" s="2" t="n">
        <v>0.4035087719298245</v>
      </c>
      <c r="G77" s="2" t="n">
        <v>0.2105263157894737</v>
      </c>
      <c r="H77" s="2" t="n">
        <v>0.2241935483870968</v>
      </c>
      <c r="I77" s="2" t="n">
        <v>0.209051724137931</v>
      </c>
      <c r="J77" s="2" t="n">
        <v>0.2068155111633372</v>
      </c>
      <c r="K77" s="2" t="n">
        <v>0.1916473317865429</v>
      </c>
      <c r="L77" s="2" t="n">
        <v>0.1741573033707865</v>
      </c>
    </row>
    <row r="78">
      <c r="B78" s="44" t="inlineStr">
        <is>
          <t>Small Business Loan Amount (000s)</t>
        </is>
      </c>
      <c r="C78" s="1" t="n">
        <v>9347</v>
      </c>
      <c r="D78" s="1" t="n">
        <v>4082</v>
      </c>
      <c r="E78" s="1" t="n">
        <v>11075</v>
      </c>
      <c r="F78" s="1" t="n">
        <v>7298</v>
      </c>
      <c r="G78" s="1" t="n">
        <v>5267</v>
      </c>
      <c r="H78" s="1" t="n">
        <v>64875</v>
      </c>
      <c r="I78" s="1" t="n">
        <v>79199</v>
      </c>
      <c r="J78" s="1" t="n">
        <v>100032</v>
      </c>
      <c r="K78" s="1" t="n">
        <v>76468</v>
      </c>
      <c r="L78" s="1" t="n">
        <v>72565</v>
      </c>
    </row>
    <row r="79">
      <c r="B79" s="44" t="inlineStr">
        <is>
          <t>Amount to Rev Under $1m (RUM)</t>
        </is>
      </c>
      <c r="C79" s="2" t="n">
        <v>0.3555151385471274</v>
      </c>
      <c r="D79" s="2" t="n">
        <v>0.4189122978931896</v>
      </c>
      <c r="E79" s="2" t="n">
        <v>0.3473589164785553</v>
      </c>
      <c r="F79" s="2" t="n">
        <v>0.5702932310221979</v>
      </c>
      <c r="G79" s="2" t="n">
        <v>0.5297133092842226</v>
      </c>
      <c r="H79" s="2" t="n">
        <v>0.4473988439306358</v>
      </c>
      <c r="I79" s="2" t="n">
        <v>0.4047020795717118</v>
      </c>
      <c r="J79" s="2" t="n">
        <v>0.272032949456174</v>
      </c>
      <c r="K79" s="2" t="n">
        <v>0.3011063451378354</v>
      </c>
      <c r="L79" s="2" t="n">
        <v>0.3345001033556122</v>
      </c>
    </row>
    <row r="80">
      <c r="B80" s="44" t="inlineStr">
        <is>
          <t>Amount to LMICT</t>
        </is>
      </c>
      <c r="C80" s="2" t="n">
        <v>0.1924681716058629</v>
      </c>
      <c r="D80" s="2" t="n">
        <v>0.5414012738853503</v>
      </c>
      <c r="E80" s="2" t="n">
        <v>0.247313769751693</v>
      </c>
      <c r="F80" s="2" t="n">
        <v>0.396546999177857</v>
      </c>
      <c r="G80" s="2" t="n">
        <v>0.2137839377254604</v>
      </c>
      <c r="H80" s="2" t="n">
        <v>0.2102196531791908</v>
      </c>
      <c r="I80" s="2" t="n">
        <v>0.2036515612570866</v>
      </c>
      <c r="J80" s="2" t="n">
        <v>0.2328454894433781</v>
      </c>
      <c r="K80" s="2" t="n">
        <v>0.1765836689857195</v>
      </c>
      <c r="L80" s="2" t="n">
        <v>0.2243643629849101</v>
      </c>
    </row>
    <row r="81">
      <c r="A81" s="44" t="inlineStr">
        <is>
          <t>Raleigh-Cary, NC AA</t>
        </is>
      </c>
      <c r="B81" s="44" t="inlineStr">
        <is>
          <t>Small Business Loans</t>
        </is>
      </c>
      <c r="C81" s="1" t="n">
        <v>10</v>
      </c>
      <c r="D81" s="1" t="n">
        <v>20</v>
      </c>
      <c r="E81" s="1" t="n">
        <v>85</v>
      </c>
      <c r="F81" s="1" t="n">
        <v>42</v>
      </c>
      <c r="G81" s="1" t="n">
        <v>2</v>
      </c>
      <c r="H81" s="1" t="n">
        <v>25970</v>
      </c>
      <c r="I81" s="1" t="n">
        <v>28240</v>
      </c>
      <c r="J81" s="1" t="n">
        <v>32757</v>
      </c>
      <c r="K81" s="1" t="n">
        <v>36486</v>
      </c>
      <c r="L81" s="1" t="n">
        <v>34844</v>
      </c>
    </row>
    <row r="82">
      <c r="B82" s="44" t="inlineStr">
        <is>
          <t>Loans to Rev Under $1m (RUM)</t>
        </is>
      </c>
      <c r="C82" s="2" t="n">
        <v>0.7</v>
      </c>
      <c r="D82" s="2" t="n">
        <v>0.5</v>
      </c>
      <c r="E82" s="2" t="n">
        <v>0.611764705882353</v>
      </c>
      <c r="F82" s="2" t="n">
        <v>0.6190476190476191</v>
      </c>
      <c r="G82" s="2" t="n">
        <v>0</v>
      </c>
      <c r="H82" s="2" t="n">
        <v>0.4998844820947247</v>
      </c>
      <c r="I82" s="2" t="n">
        <v>0.5064447592067989</v>
      </c>
      <c r="J82" s="2" t="n">
        <v>0.4363952742925176</v>
      </c>
      <c r="K82" s="2" t="n">
        <v>0.490955434961355</v>
      </c>
      <c r="L82" s="2" t="n">
        <v>0.5230742739065549</v>
      </c>
    </row>
    <row r="83">
      <c r="B83" s="44" t="inlineStr">
        <is>
          <t>Loans to LMICT</t>
        </is>
      </c>
      <c r="C83" s="2" t="n">
        <v>0.2</v>
      </c>
      <c r="D83" s="2" t="n">
        <v>0</v>
      </c>
      <c r="E83" s="2" t="n">
        <v>0.2470588235294118</v>
      </c>
      <c r="F83" s="2" t="n">
        <v>0.2142857142857143</v>
      </c>
      <c r="G83" s="2" t="n">
        <v>0</v>
      </c>
      <c r="H83" s="2" t="n">
        <v>0.2042356565267616</v>
      </c>
      <c r="I83" s="2" t="n">
        <v>0.06048158640226629</v>
      </c>
      <c r="J83" s="2" t="n">
        <v>0.2201056262783527</v>
      </c>
      <c r="K83" s="2" t="n">
        <v>0.2231814942717755</v>
      </c>
      <c r="L83" s="2" t="n">
        <v>0.1984559752037653</v>
      </c>
    </row>
    <row r="84">
      <c r="B84" s="44" t="inlineStr">
        <is>
          <t>Small Business Loan Amount (000s)</t>
        </is>
      </c>
      <c r="C84" s="1" t="n">
        <v>3203</v>
      </c>
      <c r="D84" s="1" t="n">
        <v>6208</v>
      </c>
      <c r="E84" s="1" t="n">
        <v>9589</v>
      </c>
      <c r="F84" s="1" t="n">
        <v>4510</v>
      </c>
      <c r="G84" s="1" t="n">
        <v>35</v>
      </c>
      <c r="H84" s="1" t="n">
        <v>1051146</v>
      </c>
      <c r="I84" s="1" t="n">
        <v>1126430</v>
      </c>
      <c r="J84" s="1" t="n">
        <v>1983597</v>
      </c>
      <c r="K84" s="1" t="n">
        <v>1574150</v>
      </c>
      <c r="L84" s="1" t="n">
        <v>1178897</v>
      </c>
    </row>
    <row r="85">
      <c r="B85" s="44" t="inlineStr">
        <is>
          <t>Amount to Rev Under $1m (RUM)</t>
        </is>
      </c>
      <c r="C85" s="2" t="n">
        <v>0.5850764907898844</v>
      </c>
      <c r="D85" s="2" t="n">
        <v>0.4698775773195876</v>
      </c>
      <c r="E85" s="2" t="n">
        <v>0.3867973719887371</v>
      </c>
      <c r="F85" s="2" t="n">
        <v>0.4725055432372506</v>
      </c>
      <c r="G85" s="2" t="n">
        <v>0</v>
      </c>
      <c r="H85" s="2" t="n">
        <v>0.3631636328350201</v>
      </c>
      <c r="I85" s="2" t="n">
        <v>0.3910371705299042</v>
      </c>
      <c r="J85" s="2" t="n">
        <v>0.2832974641522447</v>
      </c>
      <c r="K85" s="2" t="n">
        <v>0.3258139313280183</v>
      </c>
      <c r="L85" s="2" t="n">
        <v>0.3670676912402017</v>
      </c>
    </row>
    <row r="86">
      <c r="B86" s="44" t="inlineStr">
        <is>
          <t>Amount to LMICT</t>
        </is>
      </c>
      <c r="C86" s="2" t="n">
        <v>0.4370902279113331</v>
      </c>
      <c r="D86" s="2" t="n">
        <v>0</v>
      </c>
      <c r="E86" s="2" t="n">
        <v>0.3374700177286474</v>
      </c>
      <c r="F86" s="2" t="n">
        <v>0.2106430155210643</v>
      </c>
      <c r="G86" s="2" t="n">
        <v>0</v>
      </c>
      <c r="H86" s="2" t="n">
        <v>0.2291993690695679</v>
      </c>
      <c r="I86" s="2" t="n">
        <v>0.04684534325257673</v>
      </c>
      <c r="J86" s="2" t="n">
        <v>0.2311896015168404</v>
      </c>
      <c r="K86" s="2" t="n">
        <v>0.2366496204300734</v>
      </c>
      <c r="L86" s="2" t="n">
        <v>0.1886899364405881</v>
      </c>
    </row>
    <row r="87">
      <c r="A87" s="44" t="inlineStr">
        <is>
          <t>Eastern Shore VA non-MSA AA</t>
        </is>
      </c>
      <c r="B87" s="44" t="inlineStr">
        <is>
          <t>Small Business Loans</t>
        </is>
      </c>
      <c r="C87" s="1" t="n">
        <v>12</v>
      </c>
      <c r="D87" s="1" t="n">
        <v>7</v>
      </c>
      <c r="E87" s="1" t="n">
        <v>59</v>
      </c>
      <c r="F87" s="1" t="n">
        <v>35</v>
      </c>
      <c r="G87" s="1" t="n">
        <v>3</v>
      </c>
      <c r="H87" s="1" t="n">
        <v>253</v>
      </c>
      <c r="I87" s="1" t="n">
        <v>259</v>
      </c>
      <c r="J87" s="1" t="n">
        <v>223</v>
      </c>
      <c r="K87" s="1" t="n">
        <v>273</v>
      </c>
      <c r="L87" s="1" t="n">
        <v>237</v>
      </c>
    </row>
    <row r="88">
      <c r="B88" s="44" t="inlineStr">
        <is>
          <t>Loans to Rev Under $1m (RUM)</t>
        </is>
      </c>
      <c r="C88" s="2" t="n">
        <v>0.5</v>
      </c>
      <c r="D88" s="2" t="n">
        <v>0.2857142857142857</v>
      </c>
      <c r="E88" s="2" t="n">
        <v>0.7796610169491526</v>
      </c>
      <c r="F88" s="2" t="n">
        <v>0.7142857142857143</v>
      </c>
      <c r="G88" s="2" t="n">
        <v>0.3333333333333333</v>
      </c>
      <c r="H88" s="2" t="n">
        <v>0.6086956521739131</v>
      </c>
      <c r="I88" s="2" t="n">
        <v>0.4864864864864865</v>
      </c>
      <c r="J88" s="2" t="n">
        <v>0.4798206278026906</v>
      </c>
      <c r="K88" s="2" t="n">
        <v>0.5384615384615384</v>
      </c>
      <c r="L88" s="2" t="n">
        <v>0.5864978902953587</v>
      </c>
    </row>
    <row r="89">
      <c r="B89" s="44" t="inlineStr">
        <is>
          <t>Loans to LMICT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</row>
    <row r="90">
      <c r="B90" s="44" t="inlineStr">
        <is>
          <t>Small Business Loan Amount (000s)</t>
        </is>
      </c>
      <c r="C90" s="1" t="n">
        <v>2027</v>
      </c>
      <c r="D90" s="1" t="n">
        <v>661</v>
      </c>
      <c r="E90" s="1" t="n">
        <v>2161</v>
      </c>
      <c r="F90" s="1" t="n">
        <v>2915</v>
      </c>
      <c r="G90" s="1" t="n">
        <v>348</v>
      </c>
      <c r="H90" s="1" t="n">
        <v>9461</v>
      </c>
      <c r="I90" s="1" t="n">
        <v>6787</v>
      </c>
      <c r="J90" s="1" t="n">
        <v>9631</v>
      </c>
      <c r="K90" s="1" t="n">
        <v>9853</v>
      </c>
      <c r="L90" s="1" t="n">
        <v>7999</v>
      </c>
    </row>
    <row r="91">
      <c r="B91" s="44" t="inlineStr">
        <is>
          <t>Amount to Rev Under $1m (RUM)</t>
        </is>
      </c>
      <c r="C91" s="2" t="n">
        <v>0.3670448939319191</v>
      </c>
      <c r="D91" s="2" t="n">
        <v>0.102874432677761</v>
      </c>
      <c r="E91" s="2" t="n">
        <v>0.5034706154558075</v>
      </c>
      <c r="F91" s="2" t="n">
        <v>0.3005145797598628</v>
      </c>
      <c r="G91" s="2" t="n">
        <v>0.06609195402298851</v>
      </c>
      <c r="H91" s="2" t="n">
        <v>0.3790297008772857</v>
      </c>
      <c r="I91" s="2" t="n">
        <v>0.3346102843671726</v>
      </c>
      <c r="J91" s="2" t="n">
        <v>0.2968539092513758</v>
      </c>
      <c r="K91" s="2" t="n">
        <v>0.4126661930376535</v>
      </c>
      <c r="L91" s="2" t="n">
        <v>0.4501812726590824</v>
      </c>
    </row>
    <row r="92">
      <c r="B92" s="44" t="inlineStr">
        <is>
          <t>Amount to LMICT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</row>
    <row r="93">
      <c r="A93" s="44" t="inlineStr">
        <is>
          <t>Southside VA non-MSA AA</t>
        </is>
      </c>
      <c r="B93" s="44" t="inlineStr">
        <is>
          <t>Small Business Loans</t>
        </is>
      </c>
      <c r="C93" s="1" t="n">
        <v>5</v>
      </c>
      <c r="D93" s="1" t="n">
        <v>4</v>
      </c>
      <c r="E93" s="1" t="n">
        <v>32</v>
      </c>
      <c r="F93" s="1" t="n">
        <v>27</v>
      </c>
      <c r="G93" s="1" t="n">
        <v>1</v>
      </c>
      <c r="H93" s="1" t="n">
        <v>3418</v>
      </c>
      <c r="I93" s="1" t="n">
        <v>3395</v>
      </c>
      <c r="J93" s="1" t="n">
        <v>3915</v>
      </c>
      <c r="K93" s="1" t="n">
        <v>4211</v>
      </c>
      <c r="L93" s="1" t="n">
        <v>4190</v>
      </c>
    </row>
    <row r="94">
      <c r="B94" s="44" t="inlineStr">
        <is>
          <t>Loans to Rev Under $1m (RUM)</t>
        </is>
      </c>
      <c r="C94" s="2" t="n">
        <v>0.8</v>
      </c>
      <c r="D94" s="2" t="n">
        <v>0.25</v>
      </c>
      <c r="E94" s="2" t="n">
        <v>0.875</v>
      </c>
      <c r="F94" s="2" t="n">
        <v>0.8888888888888888</v>
      </c>
      <c r="G94" s="2" t="n">
        <v>0</v>
      </c>
      <c r="H94" s="2" t="n">
        <v>0.5705090696313634</v>
      </c>
      <c r="I94" s="2" t="n">
        <v>0.4933726067746687</v>
      </c>
      <c r="J94" s="2" t="n">
        <v>0.3808429118773947</v>
      </c>
      <c r="K94" s="2" t="n">
        <v>0.5207789123723581</v>
      </c>
      <c r="L94" s="2" t="n">
        <v>0.5957040572792363</v>
      </c>
    </row>
    <row r="95">
      <c r="B95" s="44" t="inlineStr">
        <is>
          <t>Loans to LMICT</t>
        </is>
      </c>
      <c r="C95" s="2" t="n">
        <v>0.2</v>
      </c>
      <c r="D95" s="2" t="n">
        <v>0</v>
      </c>
      <c r="E95" s="2" t="n">
        <v>0</v>
      </c>
      <c r="F95" s="2" t="n">
        <v>0.07407407407407407</v>
      </c>
      <c r="G95" s="2" t="n">
        <v>0</v>
      </c>
      <c r="H95" s="2" t="n">
        <v>0.1296079578700995</v>
      </c>
      <c r="I95" s="2" t="n">
        <v>0.1575846833578792</v>
      </c>
      <c r="J95" s="2" t="n">
        <v>0.1550446998722861</v>
      </c>
      <c r="K95" s="2" t="n">
        <v>0.1695559249584422</v>
      </c>
      <c r="L95" s="2" t="n">
        <v>0.2374701670644391</v>
      </c>
    </row>
    <row r="96">
      <c r="B96" s="44" t="inlineStr">
        <is>
          <t>Small Business Loan Amount (000s)</t>
        </is>
      </c>
      <c r="C96" s="1" t="n">
        <v>1809</v>
      </c>
      <c r="D96" s="1" t="n">
        <v>985</v>
      </c>
      <c r="E96" s="1" t="n">
        <v>1641</v>
      </c>
      <c r="F96" s="1" t="n">
        <v>3906</v>
      </c>
      <c r="G96" s="1" t="n">
        <v>203</v>
      </c>
      <c r="H96" s="1" t="n">
        <v>128837</v>
      </c>
      <c r="I96" s="1" t="n">
        <v>138209</v>
      </c>
      <c r="J96" s="1" t="n">
        <v>235038</v>
      </c>
      <c r="K96" s="1" t="n">
        <v>175210</v>
      </c>
      <c r="L96" s="1" t="n">
        <v>140550</v>
      </c>
    </row>
    <row r="97">
      <c r="B97" s="44" t="inlineStr">
        <is>
          <t>Amount to Rev Under $1m (RUM)</t>
        </is>
      </c>
      <c r="C97" s="2" t="n">
        <v>0.9275843007186291</v>
      </c>
      <c r="D97" s="2" t="n">
        <v>0.03553299492385787</v>
      </c>
      <c r="E97" s="2" t="n">
        <v>0.6331505179768434</v>
      </c>
      <c r="F97" s="2" t="n">
        <v>0.8581669226830517</v>
      </c>
      <c r="G97" s="2" t="n">
        <v>0</v>
      </c>
      <c r="H97" s="2" t="n">
        <v>0.4628716905857789</v>
      </c>
      <c r="I97" s="2" t="n">
        <v>0.477385698471156</v>
      </c>
      <c r="J97" s="2" t="n">
        <v>0.2608471821577787</v>
      </c>
      <c r="K97" s="2" t="n">
        <v>0.3852805205182352</v>
      </c>
      <c r="L97" s="2" t="n">
        <v>0.4792244752757026</v>
      </c>
    </row>
    <row r="98">
      <c r="B98" s="44" t="inlineStr">
        <is>
          <t>Amount to LMICT</t>
        </is>
      </c>
      <c r="C98" s="2" t="n">
        <v>0.359314538419016</v>
      </c>
      <c r="D98" s="2" t="n">
        <v>0</v>
      </c>
      <c r="E98" s="2" t="n">
        <v>0</v>
      </c>
      <c r="F98" s="2" t="n">
        <v>0.3200204813108039</v>
      </c>
      <c r="G98" s="2" t="n">
        <v>0</v>
      </c>
      <c r="H98" s="2" t="n">
        <v>0.1398821767038972</v>
      </c>
      <c r="I98" s="2" t="n">
        <v>0.1851688384982165</v>
      </c>
      <c r="J98" s="2" t="n">
        <v>0.1587870897471898</v>
      </c>
      <c r="K98" s="2" t="n">
        <v>0.1931624907254152</v>
      </c>
      <c r="L98" s="2" t="n">
        <v>0.2413376022767698</v>
      </c>
    </row>
    <row r="99">
      <c r="A99" s="44" t="inlineStr">
        <is>
          <t>Northwestern VA non-MSA AA</t>
        </is>
      </c>
      <c r="B99" s="44" t="inlineStr">
        <is>
          <t>Small Business Loans</t>
        </is>
      </c>
      <c r="C99" s="1" t="n">
        <v>9</v>
      </c>
      <c r="D99" s="1" t="n">
        <v>4</v>
      </c>
      <c r="E99" s="1" t="n">
        <v>25</v>
      </c>
      <c r="F99" s="1" t="n">
        <v>18</v>
      </c>
      <c r="G99" s="1" t="n">
        <v>2</v>
      </c>
      <c r="H99" s="1" t="n">
        <v>569</v>
      </c>
      <c r="I99" s="1" t="n">
        <v>579</v>
      </c>
      <c r="J99" s="1" t="n">
        <v>399</v>
      </c>
      <c r="K99" s="1" t="n">
        <v>559</v>
      </c>
      <c r="L99" s="1" t="n">
        <v>559</v>
      </c>
    </row>
    <row r="100">
      <c r="B100" s="44" t="inlineStr">
        <is>
          <t>Loans to Rev Under $1m (RUM)</t>
        </is>
      </c>
      <c r="C100" s="2" t="n">
        <v>0.7777777777777778</v>
      </c>
      <c r="D100" s="2" t="n">
        <v>1</v>
      </c>
      <c r="E100" s="2" t="n">
        <v>0.76</v>
      </c>
      <c r="F100" s="2" t="n">
        <v>0.8333333333333334</v>
      </c>
      <c r="G100" s="2" t="n">
        <v>1</v>
      </c>
      <c r="H100" s="2" t="n">
        <v>0.6010544815465729</v>
      </c>
      <c r="I100" s="2" t="n">
        <v>0.4715025906735751</v>
      </c>
      <c r="J100" s="2" t="n">
        <v>0.3784461152882205</v>
      </c>
      <c r="K100" s="2" t="n">
        <v>0.6100178890876565</v>
      </c>
      <c r="L100" s="2" t="n">
        <v>0.6833631484794276</v>
      </c>
    </row>
    <row r="101">
      <c r="B101" s="44" t="inlineStr">
        <is>
          <t>Loans to LMICT</t>
        </is>
      </c>
      <c r="C101" s="2" t="n">
        <v>0</v>
      </c>
      <c r="D101" s="2" t="n">
        <v>0.5</v>
      </c>
      <c r="E101" s="2" t="n">
        <v>0.24</v>
      </c>
      <c r="F101" s="2" t="n">
        <v>0.3333333333333333</v>
      </c>
      <c r="G101" s="2" t="n">
        <v>0</v>
      </c>
      <c r="H101" s="2" t="n">
        <v>0.1476274165202109</v>
      </c>
      <c r="I101" s="2" t="n">
        <v>0.1329879101899827</v>
      </c>
      <c r="J101" s="2" t="n">
        <v>0.1453634085213033</v>
      </c>
      <c r="K101" s="2" t="n">
        <v>0.1055456171735241</v>
      </c>
      <c r="L101" s="2" t="n">
        <v>0.03935599284436494</v>
      </c>
    </row>
    <row r="102">
      <c r="B102" s="44" t="inlineStr">
        <is>
          <t>Small Business Loan Amount (000s)</t>
        </is>
      </c>
      <c r="C102" s="1" t="n">
        <v>1099</v>
      </c>
      <c r="D102" s="1" t="n">
        <v>335</v>
      </c>
      <c r="E102" s="1" t="n">
        <v>1886</v>
      </c>
      <c r="F102" s="1" t="n">
        <v>2894</v>
      </c>
      <c r="G102" s="1" t="n">
        <v>177</v>
      </c>
      <c r="H102" s="1" t="n">
        <v>17574</v>
      </c>
      <c r="I102" s="1" t="n">
        <v>14212</v>
      </c>
      <c r="J102" s="1" t="n">
        <v>15968</v>
      </c>
      <c r="K102" s="1" t="n">
        <v>15012</v>
      </c>
      <c r="L102" s="1" t="n">
        <v>15497</v>
      </c>
    </row>
    <row r="103">
      <c r="B103" s="44" t="inlineStr">
        <is>
          <t>Amount to Rev Under $1m (RUM)</t>
        </is>
      </c>
      <c r="C103" s="2" t="n">
        <v>0.7725204731574158</v>
      </c>
      <c r="D103" s="2" t="n">
        <v>1</v>
      </c>
      <c r="E103" s="2" t="n">
        <v>0.23966065747614</v>
      </c>
      <c r="F103" s="2" t="n">
        <v>0.6876295784381479</v>
      </c>
      <c r="G103" s="2" t="n">
        <v>1</v>
      </c>
      <c r="H103" s="2" t="n">
        <v>0.5298736770228747</v>
      </c>
      <c r="I103" s="2" t="n">
        <v>0.4821981424148607</v>
      </c>
      <c r="J103" s="2" t="n">
        <v>0.2868862725450902</v>
      </c>
      <c r="K103" s="2" t="n">
        <v>0.4867439381827871</v>
      </c>
      <c r="L103" s="2" t="n">
        <v>0.4500871136348971</v>
      </c>
    </row>
    <row r="104">
      <c r="B104" s="44" t="inlineStr">
        <is>
          <t>Amount to LMICT</t>
        </is>
      </c>
      <c r="C104" s="2" t="n">
        <v>0</v>
      </c>
      <c r="D104" s="2" t="n">
        <v>0.4477611940298508</v>
      </c>
      <c r="E104" s="2" t="n">
        <v>0.07635206786850478</v>
      </c>
      <c r="F104" s="2" t="n">
        <v>0.2498272287491362</v>
      </c>
      <c r="G104" s="2" t="n">
        <v>0</v>
      </c>
      <c r="H104" s="2" t="n">
        <v>0.1479458290656652</v>
      </c>
      <c r="I104" s="2" t="n">
        <v>0.1652828595553054</v>
      </c>
      <c r="J104" s="2" t="n">
        <v>0.1209293587174349</v>
      </c>
      <c r="K104" s="2" t="n">
        <v>0.119371169730882</v>
      </c>
      <c r="L104" s="2" t="n">
        <v>0.0609795444279538</v>
      </c>
    </row>
    <row r="105">
      <c r="A105" s="44" t="inlineStr">
        <is>
          <t>Eastern Shore MD AA</t>
        </is>
      </c>
      <c r="B105" s="44" t="inlineStr">
        <is>
          <t>Small Business Loans</t>
        </is>
      </c>
      <c r="C105" s="1" t="n">
        <v>3</v>
      </c>
      <c r="D105" s="1" t="n">
        <v>3</v>
      </c>
      <c r="E105" s="1" t="n">
        <v>21</v>
      </c>
      <c r="F105" s="1" t="n">
        <v>12</v>
      </c>
      <c r="G105" s="1" t="n">
        <v>2</v>
      </c>
      <c r="H105" s="1" t="n">
        <v>1971</v>
      </c>
      <c r="I105" s="1" t="n">
        <v>2219</v>
      </c>
      <c r="J105" s="1" t="n">
        <v>2416</v>
      </c>
      <c r="K105" s="1" t="n">
        <v>2361</v>
      </c>
      <c r="L105" s="1" t="n">
        <v>2273</v>
      </c>
    </row>
    <row r="106">
      <c r="B106" s="44" t="inlineStr">
        <is>
          <t>Loans to Rev Under $1m (RUM)</t>
        </is>
      </c>
      <c r="C106" s="2" t="n">
        <v>0.3333333333333333</v>
      </c>
      <c r="D106" s="2" t="n">
        <v>0.3333333333333333</v>
      </c>
      <c r="E106" s="2" t="n">
        <v>0.5238095238095238</v>
      </c>
      <c r="F106" s="2" t="n">
        <v>0.5833333333333334</v>
      </c>
      <c r="G106" s="2" t="n">
        <v>0</v>
      </c>
      <c r="H106" s="2" t="n">
        <v>0.4946727549467275</v>
      </c>
      <c r="I106" s="2" t="n">
        <v>0.4952681388012618</v>
      </c>
      <c r="J106" s="2" t="n">
        <v>0.3141556291390729</v>
      </c>
      <c r="K106" s="2" t="n">
        <v>0.435408725116476</v>
      </c>
      <c r="L106" s="2" t="n">
        <v>0.5384953805543334</v>
      </c>
    </row>
    <row r="107">
      <c r="B107" s="44" t="inlineStr">
        <is>
          <t>Loans to LMICT</t>
        </is>
      </c>
      <c r="C107" s="2" t="n">
        <v>0.6666666666666666</v>
      </c>
      <c r="D107" s="2" t="n">
        <v>0.6666666666666666</v>
      </c>
      <c r="E107" s="2" t="n">
        <v>0.3333333333333333</v>
      </c>
      <c r="F107" s="2" t="n">
        <v>0.3333333333333333</v>
      </c>
      <c r="G107" s="2" t="n">
        <v>0</v>
      </c>
      <c r="H107" s="2" t="n">
        <v>0.1496702181633688</v>
      </c>
      <c r="I107" s="2" t="n">
        <v>0.1545741324921136</v>
      </c>
      <c r="J107" s="2" t="n">
        <v>0.1365894039735099</v>
      </c>
      <c r="K107" s="2" t="n">
        <v>0.1190173655230834</v>
      </c>
      <c r="L107" s="2" t="n">
        <v>0.2393312802463704</v>
      </c>
    </row>
    <row r="108">
      <c r="B108" s="44" t="inlineStr">
        <is>
          <t>Small Business Loan Amount (000s)</t>
        </is>
      </c>
      <c r="C108" s="1" t="n">
        <v>199</v>
      </c>
      <c r="D108" s="1" t="n">
        <v>373</v>
      </c>
      <c r="E108" s="1" t="n">
        <v>2037</v>
      </c>
      <c r="F108" s="1" t="n">
        <v>1761</v>
      </c>
      <c r="G108" s="1" t="n">
        <v>1433</v>
      </c>
      <c r="H108" s="1" t="n">
        <v>87590</v>
      </c>
      <c r="I108" s="1" t="n">
        <v>85624</v>
      </c>
      <c r="J108" s="1" t="n">
        <v>127019</v>
      </c>
      <c r="K108" s="1" t="n">
        <v>95805</v>
      </c>
      <c r="L108" s="1" t="n">
        <v>63519</v>
      </c>
    </row>
    <row r="109">
      <c r="B109" s="44" t="inlineStr">
        <is>
          <t>Amount to Rev Under $1m (RUM)</t>
        </is>
      </c>
      <c r="C109" s="2" t="n">
        <v>0.2512562814070352</v>
      </c>
      <c r="D109" s="2" t="n">
        <v>0.2707774798927614</v>
      </c>
      <c r="E109" s="2" t="n">
        <v>0.6435935198821797</v>
      </c>
      <c r="F109" s="2" t="n">
        <v>0.6155593412833618</v>
      </c>
      <c r="G109" s="2" t="n">
        <v>0</v>
      </c>
      <c r="H109" s="2" t="n">
        <v>0.4726566959698596</v>
      </c>
      <c r="I109" s="2" t="n">
        <v>0.4511585536765393</v>
      </c>
      <c r="J109" s="2" t="n">
        <v>0.2747384249600454</v>
      </c>
      <c r="K109" s="2" t="n">
        <v>0.3312875110902354</v>
      </c>
      <c r="L109" s="2" t="n">
        <v>0.4432531998299721</v>
      </c>
    </row>
    <row r="110">
      <c r="B110" s="44" t="inlineStr">
        <is>
          <t>Amount to LMICT</t>
        </is>
      </c>
      <c r="C110" s="2" t="n">
        <v>0.7487437185929648</v>
      </c>
      <c r="D110" s="2" t="n">
        <v>0.8659517426273459</v>
      </c>
      <c r="E110" s="2" t="n">
        <v>0.1050564555719195</v>
      </c>
      <c r="F110" s="2" t="n">
        <v>0.09710391822827939</v>
      </c>
      <c r="G110" s="2" t="n">
        <v>0</v>
      </c>
      <c r="H110" s="2" t="n">
        <v>0.1452791414545039</v>
      </c>
      <c r="I110" s="2" t="n">
        <v>0.1321008128562085</v>
      </c>
      <c r="J110" s="2" t="n">
        <v>0.1243042379486533</v>
      </c>
      <c r="K110" s="2" t="n">
        <v>0.1195970982725327</v>
      </c>
      <c r="L110" s="2" t="n">
        <v>0.2585525590768117</v>
      </c>
    </row>
    <row r="111">
      <c r="A111" s="44" t="inlineStr">
        <is>
          <t>Southeastern VA non-MSA AA</t>
        </is>
      </c>
      <c r="B111" s="44" t="inlineStr">
        <is>
          <t>Small Business Loans</t>
        </is>
      </c>
      <c r="C111" s="1" t="n">
        <v>3</v>
      </c>
      <c r="D111" s="1" t="n">
        <v>1</v>
      </c>
      <c r="E111" s="1" t="n">
        <v>11</v>
      </c>
      <c r="F111" s="1" t="n">
        <v>7</v>
      </c>
      <c r="G111" s="1" t="n">
        <v>1</v>
      </c>
      <c r="H111" s="1" t="n">
        <v>148</v>
      </c>
      <c r="I111" s="1" t="n">
        <v>142</v>
      </c>
      <c r="J111" s="1" t="n">
        <v>149</v>
      </c>
      <c r="K111" s="1" t="n">
        <v>170</v>
      </c>
      <c r="L111" s="1" t="n">
        <v>159</v>
      </c>
    </row>
    <row r="112">
      <c r="B112" s="44" t="inlineStr">
        <is>
          <t>Loans to Rev Under $1m (RUM)</t>
        </is>
      </c>
      <c r="C112" s="2" t="n">
        <v>0.3333333333333333</v>
      </c>
      <c r="D112" s="2" t="n">
        <v>1</v>
      </c>
      <c r="E112" s="2" t="n">
        <v>0.5454545454545454</v>
      </c>
      <c r="F112" s="2" t="n">
        <v>0.5714285714285714</v>
      </c>
      <c r="G112" s="2" t="n">
        <v>1</v>
      </c>
      <c r="H112" s="2" t="n">
        <v>0.5472972972972973</v>
      </c>
      <c r="I112" s="2" t="n">
        <v>0.6197183098591549</v>
      </c>
      <c r="J112" s="2" t="n">
        <v>0.4295302013422819</v>
      </c>
      <c r="K112" s="2" t="n">
        <v>0.5882352941176471</v>
      </c>
      <c r="L112" s="2" t="n">
        <v>0.6289308176100629</v>
      </c>
    </row>
    <row r="113">
      <c r="B113" s="44" t="inlineStr">
        <is>
          <t>Loans to LMICT</t>
        </is>
      </c>
      <c r="C113" s="2" t="n">
        <v>0.3333333333333333</v>
      </c>
      <c r="D113" s="2" t="n">
        <v>0</v>
      </c>
      <c r="E113" s="2" t="n">
        <v>0.3636363636363636</v>
      </c>
      <c r="F113" s="2" t="n">
        <v>0.4285714285714285</v>
      </c>
      <c r="G113" s="2" t="n">
        <v>1</v>
      </c>
      <c r="H113" s="2" t="n">
        <v>0.3851351351351351</v>
      </c>
      <c r="I113" s="2" t="n">
        <v>0.4647887323943662</v>
      </c>
      <c r="J113" s="2" t="n">
        <v>0.3892617449664429</v>
      </c>
      <c r="K113" s="2" t="n">
        <v>0.4529411764705882</v>
      </c>
      <c r="L113" s="2" t="n">
        <v>0.5094339622641509</v>
      </c>
    </row>
    <row r="114">
      <c r="B114" s="44" t="inlineStr">
        <is>
          <t>Small Business Loan Amount (000s)</t>
        </is>
      </c>
      <c r="C114" s="1" t="n">
        <v>1790</v>
      </c>
      <c r="D114" s="1" t="n">
        <v>350</v>
      </c>
      <c r="E114" s="1" t="n">
        <v>2080</v>
      </c>
      <c r="F114" s="1" t="n">
        <v>1036</v>
      </c>
      <c r="G114" s="1" t="n">
        <v>10</v>
      </c>
      <c r="H114" s="1" t="n">
        <v>6273</v>
      </c>
      <c r="I114" s="1" t="n">
        <v>6285</v>
      </c>
      <c r="J114" s="1" t="n">
        <v>9625</v>
      </c>
      <c r="K114" s="1" t="n">
        <v>7393</v>
      </c>
      <c r="L114" s="1" t="n">
        <v>5312</v>
      </c>
    </row>
    <row r="115">
      <c r="B115" s="44" t="inlineStr">
        <is>
          <t>Amount to Rev Under $1m (RUM)</t>
        </is>
      </c>
      <c r="C115" s="2" t="n">
        <v>0.4815642458100559</v>
      </c>
      <c r="D115" s="2" t="n">
        <v>1</v>
      </c>
      <c r="E115" s="2" t="n">
        <v>0.1067307692307692</v>
      </c>
      <c r="F115" s="2" t="n">
        <v>0.7905405405405406</v>
      </c>
      <c r="G115" s="2" t="n">
        <v>1</v>
      </c>
      <c r="H115" s="2" t="n">
        <v>0.626813326956799</v>
      </c>
      <c r="I115" s="2" t="n">
        <v>0.60381861575179</v>
      </c>
      <c r="J115" s="2" t="n">
        <v>0.3389090909090909</v>
      </c>
      <c r="K115" s="2" t="n">
        <v>0.5180576220749358</v>
      </c>
      <c r="L115" s="2" t="n">
        <v>0.3693524096385542</v>
      </c>
    </row>
    <row r="116">
      <c r="B116" s="44" t="inlineStr">
        <is>
          <t>Amount to LMICT</t>
        </is>
      </c>
      <c r="C116" s="2" t="n">
        <v>0.4815642458100559</v>
      </c>
      <c r="D116" s="2" t="n">
        <v>0</v>
      </c>
      <c r="E116" s="2" t="n">
        <v>0.5528846153846154</v>
      </c>
      <c r="F116" s="2" t="n">
        <v>0.1042471042471042</v>
      </c>
      <c r="G116" s="2" t="n">
        <v>1</v>
      </c>
      <c r="H116" s="2" t="n">
        <v>0.2376853180296509</v>
      </c>
      <c r="I116" s="2" t="n">
        <v>0.2852824184566428</v>
      </c>
      <c r="J116" s="2" t="n">
        <v>0.2944415584415584</v>
      </c>
      <c r="K116" s="2" t="n">
        <v>0.3780603273366698</v>
      </c>
      <c r="L116" s="2" t="n">
        <v>0.5269201807228916</v>
      </c>
    </row>
    <row r="117">
      <c r="A117" s="44" t="inlineStr">
        <is>
          <t>Winston-Salem, NC AA</t>
        </is>
      </c>
      <c r="B117" s="44" t="inlineStr">
        <is>
          <t>Small Business Loans</t>
        </is>
      </c>
      <c r="E117" s="1" t="n">
        <v>5</v>
      </c>
      <c r="F117" s="1" t="n">
        <v>3</v>
      </c>
      <c r="H117" s="1" t="n">
        <v>9623</v>
      </c>
      <c r="I117" s="1" t="n">
        <v>10453</v>
      </c>
      <c r="J117" s="1" t="n">
        <v>12121</v>
      </c>
      <c r="K117" s="1" t="n">
        <v>13262</v>
      </c>
      <c r="L117" s="1" t="n">
        <v>11954</v>
      </c>
    </row>
    <row r="118">
      <c r="B118" s="44" t="inlineStr">
        <is>
          <t>Loans to Rev Under $1m (RUM)</t>
        </is>
      </c>
      <c r="E118" s="2" t="n">
        <v>0.6</v>
      </c>
      <c r="F118" s="2" t="n">
        <v>0.3333333333333333</v>
      </c>
      <c r="H118" s="2" t="n">
        <v>0.529980255637535</v>
      </c>
      <c r="I118" s="2" t="n">
        <v>0.5014828278962977</v>
      </c>
      <c r="J118" s="2" t="n">
        <v>0.4361026317960564</v>
      </c>
      <c r="K118" s="2" t="n">
        <v>0.5278238576383653</v>
      </c>
      <c r="L118" s="2" t="n">
        <v>0.5631587753053371</v>
      </c>
    </row>
    <row r="119">
      <c r="B119" s="44" t="inlineStr">
        <is>
          <t>Loans to LMICT</t>
        </is>
      </c>
      <c r="E119" s="2" t="n">
        <v>0.6</v>
      </c>
      <c r="F119" s="2" t="n">
        <v>0</v>
      </c>
      <c r="H119" s="2" t="n">
        <v>0.1979632131351969</v>
      </c>
      <c r="I119" s="2" t="n">
        <v>0.1905673012532287</v>
      </c>
      <c r="J119" s="2" t="n">
        <v>0.2107086874020295</v>
      </c>
      <c r="K119" s="2" t="n">
        <v>0.2029105715578344</v>
      </c>
      <c r="L119" s="2" t="n">
        <v>0.199180190731136</v>
      </c>
    </row>
    <row r="120">
      <c r="B120" s="44" t="inlineStr">
        <is>
          <t>Small Business Loan Amount (000s)</t>
        </is>
      </c>
      <c r="E120" s="1" t="n">
        <v>368</v>
      </c>
      <c r="F120" s="1" t="n">
        <v>242</v>
      </c>
      <c r="H120" s="1" t="n">
        <v>439841</v>
      </c>
      <c r="I120" s="1" t="n">
        <v>451108</v>
      </c>
      <c r="J120" s="1" t="n">
        <v>812091</v>
      </c>
      <c r="K120" s="1" t="n">
        <v>651279</v>
      </c>
      <c r="L120" s="1" t="n">
        <v>460935</v>
      </c>
    </row>
    <row r="121">
      <c r="B121" s="44" t="inlineStr">
        <is>
          <t>Amount to Rev Under $1m (RUM)</t>
        </is>
      </c>
      <c r="E121" s="2" t="n">
        <v>0.2146739130434783</v>
      </c>
      <c r="F121" s="2" t="n">
        <v>0.04958677685950413</v>
      </c>
      <c r="H121" s="2" t="n">
        <v>0.395081404416596</v>
      </c>
      <c r="I121" s="2" t="n">
        <v>0.3869383828262855</v>
      </c>
      <c r="J121" s="2" t="n">
        <v>0.2768544411894726</v>
      </c>
      <c r="K121" s="2" t="n">
        <v>0.3557906826413872</v>
      </c>
      <c r="L121" s="2" t="n">
        <v>0.3994597936802369</v>
      </c>
    </row>
    <row r="122">
      <c r="B122" s="44" t="inlineStr">
        <is>
          <t>Amount to LMICT</t>
        </is>
      </c>
      <c r="E122" s="2" t="n">
        <v>0.6929347826086957</v>
      </c>
      <c r="F122" s="2" t="n">
        <v>0</v>
      </c>
      <c r="H122" s="2" t="n">
        <v>0.2096189304771497</v>
      </c>
      <c r="I122" s="2" t="n">
        <v>0.2110071202461495</v>
      </c>
      <c r="J122" s="2" t="n">
        <v>0.230032102313657</v>
      </c>
      <c r="K122" s="2" t="n">
        <v>0.2182536209520037</v>
      </c>
      <c r="L122" s="2" t="n">
        <v>0.2305986744334884</v>
      </c>
    </row>
    <row r="123">
      <c r="A123" s="44" t="inlineStr">
        <is>
          <t>Greensboro-High Point, NC AA</t>
        </is>
      </c>
      <c r="B123" s="44" t="inlineStr">
        <is>
          <t>Small Business Loans</t>
        </is>
      </c>
      <c r="D123" s="1" t="n">
        <v>1</v>
      </c>
      <c r="E123" s="1" t="n">
        <v>2</v>
      </c>
      <c r="H123" s="1" t="n">
        <v>10578</v>
      </c>
      <c r="I123" s="1" t="n">
        <v>11370</v>
      </c>
      <c r="J123" s="1" t="n">
        <v>13232</v>
      </c>
      <c r="K123" s="1" t="n">
        <v>15087</v>
      </c>
      <c r="L123" s="1" t="n">
        <v>13829</v>
      </c>
    </row>
    <row r="124">
      <c r="B124" s="44" t="inlineStr">
        <is>
          <t>Loans to Rev Under $1m (RUM)</t>
        </is>
      </c>
      <c r="D124" s="2" t="n">
        <v>1</v>
      </c>
      <c r="E124" s="2" t="n">
        <v>1</v>
      </c>
      <c r="H124" s="2" t="n">
        <v>0.5131404802420118</v>
      </c>
      <c r="I124" s="2" t="n">
        <v>0.4912928759894459</v>
      </c>
      <c r="J124" s="2" t="n">
        <v>0.4233675937122128</v>
      </c>
      <c r="K124" s="2" t="n">
        <v>0.491085040100749</v>
      </c>
      <c r="L124" s="2" t="n">
        <v>0.5240436763323451</v>
      </c>
    </row>
    <row r="125">
      <c r="B125" s="44" t="inlineStr">
        <is>
          <t>Loans to LMICT</t>
        </is>
      </c>
      <c r="D125" s="2" t="n">
        <v>0</v>
      </c>
      <c r="E125" s="2" t="n">
        <v>0</v>
      </c>
      <c r="H125" s="2" t="n">
        <v>0.2496691245982227</v>
      </c>
      <c r="I125" s="2" t="n">
        <v>0.04740545294635004</v>
      </c>
      <c r="J125" s="2" t="n">
        <v>0.2614117291414752</v>
      </c>
      <c r="K125" s="2" t="n">
        <v>0.2640021210313515</v>
      </c>
      <c r="L125" s="2" t="n">
        <v>0.2501265456649071</v>
      </c>
    </row>
    <row r="126">
      <c r="B126" s="44" t="inlineStr">
        <is>
          <t>Small Business Loan Amount (000s)</t>
        </is>
      </c>
      <c r="D126" s="1" t="n">
        <v>168</v>
      </c>
      <c r="E126" s="1" t="n">
        <v>26</v>
      </c>
      <c r="H126" s="1" t="n">
        <v>494471</v>
      </c>
      <c r="I126" s="1" t="n">
        <v>510186</v>
      </c>
      <c r="J126" s="1" t="n">
        <v>867177</v>
      </c>
      <c r="K126" s="1" t="n">
        <v>693810</v>
      </c>
      <c r="L126" s="1" t="n">
        <v>535630</v>
      </c>
    </row>
    <row r="127">
      <c r="B127" s="44" t="inlineStr">
        <is>
          <t>Amount to Rev Under $1m (RUM)</t>
        </is>
      </c>
      <c r="D127" s="2" t="n">
        <v>1</v>
      </c>
      <c r="E127" s="2" t="n">
        <v>1</v>
      </c>
      <c r="H127" s="2" t="n">
        <v>0.3826715823577116</v>
      </c>
      <c r="I127" s="2" t="n">
        <v>0.3663546236078606</v>
      </c>
      <c r="J127" s="2" t="n">
        <v>0.2800224175687316</v>
      </c>
      <c r="K127" s="2" t="n">
        <v>0.3405399172684164</v>
      </c>
      <c r="L127" s="2" t="n">
        <v>0.3477269757108452</v>
      </c>
    </row>
    <row r="128">
      <c r="B128" s="44" t="inlineStr">
        <is>
          <t>Amount to LMICT</t>
        </is>
      </c>
      <c r="D128" s="2" t="n">
        <v>0</v>
      </c>
      <c r="E128" s="2" t="n">
        <v>0</v>
      </c>
      <c r="H128" s="2" t="n">
        <v>0.2825787558825492</v>
      </c>
      <c r="I128" s="2" t="n">
        <v>0.04684370014073299</v>
      </c>
      <c r="J128" s="2" t="n">
        <v>0.2998188374461038</v>
      </c>
      <c r="K128" s="2" t="n">
        <v>0.3009166774765425</v>
      </c>
      <c r="L128" s="2" t="n">
        <v>0.2839404066239755</v>
      </c>
    </row>
    <row r="129">
      <c r="A129" s="44" t="inlineStr">
        <is>
          <t>Yanceyville, NC non-MSA AA</t>
        </is>
      </c>
      <c r="B129" s="44" t="inlineStr">
        <is>
          <t>Small Business Loans</t>
        </is>
      </c>
      <c r="H129" s="1" t="n">
        <v>172</v>
      </c>
      <c r="I129" s="1" t="n">
        <v>218</v>
      </c>
      <c r="J129" s="1" t="n">
        <v>229</v>
      </c>
      <c r="K129" s="1" t="n">
        <v>274</v>
      </c>
      <c r="L129" s="1" t="n">
        <v>283</v>
      </c>
    </row>
    <row r="130">
      <c r="B130" s="44" t="inlineStr">
        <is>
          <t>Loans to Rev Under $1m (RUM)</t>
        </is>
      </c>
      <c r="H130" s="2" t="n">
        <v>0.5872093023255814</v>
      </c>
      <c r="I130" s="2" t="n">
        <v>0.5229357798165137</v>
      </c>
      <c r="J130" s="2" t="n">
        <v>0.388646288209607</v>
      </c>
      <c r="K130" s="2" t="n">
        <v>0.5875912408759124</v>
      </c>
      <c r="L130" s="2" t="n">
        <v>0.558303886925795</v>
      </c>
    </row>
    <row r="131">
      <c r="B131" s="44" t="inlineStr">
        <is>
          <t>Loans to LMICT</t>
        </is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</row>
    <row r="132">
      <c r="B132" s="44" t="inlineStr">
        <is>
          <t>Small Business Loan Amount (000s)</t>
        </is>
      </c>
      <c r="H132" s="1" t="n">
        <v>3705</v>
      </c>
      <c r="I132" s="1" t="n">
        <v>5477</v>
      </c>
      <c r="J132" s="1" t="n">
        <v>9698</v>
      </c>
      <c r="K132" s="1" t="n">
        <v>7875</v>
      </c>
      <c r="L132" s="1" t="n">
        <v>7167</v>
      </c>
    </row>
    <row r="133">
      <c r="B133" s="44" t="inlineStr">
        <is>
          <t>Amount to Rev Under $1m (RUM)</t>
        </is>
      </c>
      <c r="H133" s="2" t="n">
        <v>0.4329284750337382</v>
      </c>
      <c r="I133" s="2" t="n">
        <v>0.4281540989592843</v>
      </c>
      <c r="J133" s="2" t="n">
        <v>0.2261290987832543</v>
      </c>
      <c r="K133" s="2" t="n">
        <v>0.4833015873015873</v>
      </c>
      <c r="L133" s="2" t="n">
        <v>0.3105902051067392</v>
      </c>
    </row>
    <row r="134">
      <c r="B134" s="44" t="inlineStr">
        <is>
          <t>Amount to LMICT</t>
        </is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</row>
  </sheetData>
  <mergeCells count="24">
    <mergeCell ref="A9:A14"/>
    <mergeCell ref="A39:A44"/>
    <mergeCell ref="A15:A20"/>
    <mergeCell ref="A111:A116"/>
    <mergeCell ref="H1:L1"/>
    <mergeCell ref="A51:A56"/>
    <mergeCell ref="A123:A128"/>
    <mergeCell ref="A69:A74"/>
    <mergeCell ref="A87:A92"/>
    <mergeCell ref="C1:G1"/>
    <mergeCell ref="A45:A50"/>
    <mergeCell ref="A105:A110"/>
    <mergeCell ref="A99:A104"/>
    <mergeCell ref="A75:A80"/>
    <mergeCell ref="A27:A32"/>
    <mergeCell ref="A3:A8"/>
    <mergeCell ref="A21:A26"/>
    <mergeCell ref="A57:A62"/>
    <mergeCell ref="A129:A134"/>
    <mergeCell ref="A33:A38"/>
    <mergeCell ref="A81:A86"/>
    <mergeCell ref="A63:A68"/>
    <mergeCell ref="A117:A122"/>
    <mergeCell ref="A93:A9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filterMode="1">
    <outlinePr summaryBelow="1" summaryRight="1"/>
    <pageSetUpPr/>
  </sheetPr>
  <dimension ref="A1:F301"/>
  <sheetViews>
    <sheetView workbookViewId="0">
      <selection activeCell="A2" sqref="A2:E36"/>
    </sheetView>
  </sheetViews>
  <sheetFormatPr baseColWidth="8" defaultRowHeight="15" customHeight="1"/>
  <cols>
    <col width="51" bestFit="1" customWidth="1" style="47" min="2" max="2"/>
    <col width="30.7109375" bestFit="1" customWidth="1" style="47" min="3" max="3"/>
    <col width="16" bestFit="1" customWidth="1" style="47" min="4" max="4"/>
    <col width="26.5703125" customWidth="1" style="47" min="5" max="5"/>
    <col width="15" customWidth="1" style="47" min="6" max="6"/>
  </cols>
  <sheetData>
    <row r="1">
      <c r="A1" s="46" t="inlineStr">
        <is>
          <t>State</t>
        </is>
      </c>
      <c r="B1" s="36" t="inlineStr">
        <is>
          <t>@FirstBank AA</t>
        </is>
      </c>
      <c r="C1" s="37" t="n"/>
      <c r="D1" s="46" t="inlineStr">
        <is>
          <t>FirstBank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Grand Total</t>
        </is>
      </c>
      <c r="C2" s="46" t="inlineStr">
        <is>
          <t>SB Loans</t>
        </is>
      </c>
      <c r="D2" s="25" t="n">
        <v>30539</v>
      </c>
      <c r="E2" s="25" t="n">
        <v>1361406</v>
      </c>
      <c r="F2" s="8" t="n"/>
    </row>
    <row r="3">
      <c r="C3" s="46" t="inlineStr">
        <is>
          <t>#LMICT</t>
        </is>
      </c>
      <c r="D3" s="46" t="n">
        <v>362</v>
      </c>
      <c r="E3" s="25" t="n">
        <v>37884</v>
      </c>
      <c r="F3" s="24">
        <f>IFERROR((D3/D2)-(E3/E2),0)</f>
        <v/>
      </c>
    </row>
    <row r="4">
      <c r="C4" s="46" t="inlineStr">
        <is>
          <t>Avg SB LMICT Loan Amount</t>
        </is>
      </c>
      <c r="D4" s="51" t="n">
        <v>18166</v>
      </c>
      <c r="E4" s="51" t="n">
        <v>7611</v>
      </c>
      <c r="F4" s="24">
        <f>IFERROR((D4/E4)-1,0)</f>
        <v/>
      </c>
    </row>
    <row r="5">
      <c r="C5" s="46" t="inlineStr">
        <is>
          <t>Loans Rev Under $1m</t>
        </is>
      </c>
      <c r="D5" s="25" t="n">
        <v>8113</v>
      </c>
      <c r="E5" s="25" t="n">
        <v>713125</v>
      </c>
      <c r="F5" s="24">
        <f>IFERROR((D5/D2)-(E5/E2),0)</f>
        <v/>
      </c>
    </row>
    <row r="6">
      <c r="C6" s="46" t="inlineStr">
        <is>
          <t>Avg Loan Amt for RUM SB</t>
        </is>
      </c>
      <c r="D6" s="51" t="n">
        <v>876526</v>
      </c>
      <c r="E6" s="51" t="n">
        <v>158544</v>
      </c>
      <c r="F6" s="24">
        <f>IFERROR((D6/E6)-1,0)</f>
        <v/>
      </c>
    </row>
    <row r="7">
      <c r="A7" s="46" t="inlineStr">
        <is>
          <t>Arizona</t>
        </is>
      </c>
      <c r="B7" s="46" t="inlineStr">
        <is>
          <t>Phoenix-Mesa-Chandler, AZ</t>
        </is>
      </c>
      <c r="C7" s="46" t="inlineStr">
        <is>
          <t>SB Loans</t>
        </is>
      </c>
      <c r="D7" s="25" t="n">
        <v>1466</v>
      </c>
      <c r="E7" s="25" t="n">
        <v>628075</v>
      </c>
      <c r="F7" s="8" t="n"/>
    </row>
    <row r="8">
      <c r="C8" s="46" t="inlineStr">
        <is>
          <t>#LMICT</t>
        </is>
      </c>
      <c r="D8" s="46" t="n">
        <v>44</v>
      </c>
      <c r="E8" s="25" t="n">
        <v>9152</v>
      </c>
      <c r="F8" s="24">
        <f>IFERROR((D8/D7)-(E8/E7),0)</f>
        <v/>
      </c>
    </row>
    <row r="9">
      <c r="C9" s="46" t="inlineStr">
        <is>
          <t>Avg SB LMICT Loan Amount</t>
        </is>
      </c>
      <c r="D9" s="51" t="n">
        <v>7409</v>
      </c>
      <c r="E9" s="51" t="n">
        <v>13576</v>
      </c>
      <c r="F9" s="24">
        <f>IFERROR((D9/E9)-1,0)</f>
        <v/>
      </c>
    </row>
    <row r="10">
      <c r="C10" s="46" t="inlineStr">
        <is>
          <t>Loans Rev Under $1m</t>
        </is>
      </c>
      <c r="D10" s="46" t="n">
        <v>437</v>
      </c>
      <c r="E10" s="25" t="n">
        <v>323809</v>
      </c>
      <c r="F10" s="24">
        <f>IFERROR((D10/D7)-(E10/E7),0)</f>
        <v/>
      </c>
    </row>
    <row r="11">
      <c r="C11" s="46" t="inlineStr">
        <is>
          <t>Avg Loan Amt for RUM SB</t>
        </is>
      </c>
      <c r="D11" s="51" t="n">
        <v>863952</v>
      </c>
      <c r="E11" s="51" t="n">
        <v>299657</v>
      </c>
      <c r="F11" s="24">
        <f>IFERROR((D11/E11)-1,0)</f>
        <v/>
      </c>
    </row>
    <row r="12">
      <c r="A12" s="46" t="inlineStr">
        <is>
          <t>Colorado</t>
        </is>
      </c>
      <c r="B12" s="46" t="inlineStr">
        <is>
          <t>Colorado Mountain Non-MSA</t>
        </is>
      </c>
      <c r="C12" s="46" t="inlineStr">
        <is>
          <t>SB Loans</t>
        </is>
      </c>
      <c r="D12" s="25" t="n">
        <v>3212</v>
      </c>
      <c r="E12" s="25" t="n">
        <v>53833</v>
      </c>
      <c r="F12" s="8" t="n"/>
    </row>
    <row r="13">
      <c r="C13" s="46" t="inlineStr">
        <is>
          <t>#LMICT</t>
        </is>
      </c>
      <c r="D13" s="46" t="n">
        <v>70</v>
      </c>
      <c r="E13" s="25" t="n">
        <v>3118</v>
      </c>
      <c r="F13" s="24">
        <f>IFERROR((D13/D12)-(E13/E12),0)</f>
        <v/>
      </c>
    </row>
    <row r="14">
      <c r="C14" s="46" t="inlineStr">
        <is>
          <t>Avg SB LMICT Loan Amount</t>
        </is>
      </c>
      <c r="D14" s="51" t="n">
        <v>157</v>
      </c>
      <c r="E14" s="51" t="n">
        <v>173</v>
      </c>
      <c r="F14" s="24">
        <f>IFERROR((D14/E14)-1,0)</f>
        <v/>
      </c>
    </row>
    <row r="15">
      <c r="C15" s="46" t="inlineStr">
        <is>
          <t>Loans Rev Under $1m</t>
        </is>
      </c>
      <c r="D15" s="46" t="n">
        <v>769</v>
      </c>
      <c r="E15" s="25" t="n">
        <v>26863</v>
      </c>
      <c r="F15" s="24">
        <f>IFERROR((D15/D12)-(E15/E12),0)</f>
        <v/>
      </c>
    </row>
    <row r="16">
      <c r="C16" s="46" t="inlineStr">
        <is>
          <t>Avg Loan Amt for RUM SB</t>
        </is>
      </c>
      <c r="D16" s="51" t="n">
        <v>304362</v>
      </c>
      <c r="E16" s="51" t="n">
        <v>77516</v>
      </c>
      <c r="F16" s="24">
        <f>IFERROR((D16/E16)-1,0)</f>
        <v/>
      </c>
    </row>
    <row r="17">
      <c r="B17" s="46" t="inlineStr">
        <is>
          <t>Colorado Springs, CO</t>
        </is>
      </c>
      <c r="C17" s="46" t="inlineStr">
        <is>
          <t>SB Loans</t>
        </is>
      </c>
      <c r="D17" s="25" t="n">
        <v>1626</v>
      </c>
      <c r="E17" s="25" t="n">
        <v>83853</v>
      </c>
      <c r="F17" s="8" t="n"/>
    </row>
    <row r="18">
      <c r="C18" s="46" t="inlineStr">
        <is>
          <t>#LMICT</t>
        </is>
      </c>
      <c r="D18" s="46" t="n">
        <v>44</v>
      </c>
      <c r="E18" s="25" t="n">
        <v>4446</v>
      </c>
      <c r="F18" s="24">
        <f>IFERROR((D18/D17)-(E18/E17),0)</f>
        <v/>
      </c>
    </row>
    <row r="19">
      <c r="C19" s="46" t="inlineStr">
        <is>
          <t>Avg SB LMICT Loan Amount</t>
        </is>
      </c>
      <c r="D19" s="51" t="n">
        <v>9659</v>
      </c>
      <c r="E19" s="51" t="n">
        <v>4546</v>
      </c>
      <c r="F19" s="24">
        <f>IFERROR((D19/E19)-1,0)</f>
        <v/>
      </c>
    </row>
    <row r="20">
      <c r="C20" s="46" t="inlineStr">
        <is>
          <t>Loans Rev Under $1m</t>
        </is>
      </c>
      <c r="D20" s="46" t="n">
        <v>526</v>
      </c>
      <c r="E20" s="25" t="n">
        <v>48072</v>
      </c>
      <c r="F20" s="24">
        <f>IFERROR((D20/D17)-(E20/E17),0)</f>
        <v/>
      </c>
    </row>
    <row r="21">
      <c r="C21" s="46" t="inlineStr">
        <is>
          <t>Avg Loan Amt for RUM SB</t>
        </is>
      </c>
      <c r="D21" s="51" t="n">
        <v>531524</v>
      </c>
      <c r="E21" s="51" t="n">
        <v>78677</v>
      </c>
      <c r="F21" s="24">
        <f>IFERROR((D21/E21)-1,0)</f>
        <v/>
      </c>
    </row>
    <row r="22">
      <c r="B22" s="46" t="inlineStr">
        <is>
          <t>Denver-Boulder-Greeley CSA</t>
        </is>
      </c>
      <c r="C22" s="46" t="inlineStr">
        <is>
          <t>SB Loans</t>
        </is>
      </c>
      <c r="D22" s="25" t="n">
        <v>22434</v>
      </c>
      <c r="E22" s="25" t="n">
        <v>543303</v>
      </c>
      <c r="F22" s="8" t="n"/>
    </row>
    <row r="23">
      <c r="C23" s="46" t="inlineStr">
        <is>
          <t>#LMICT</t>
        </is>
      </c>
      <c r="D23" s="46" t="n">
        <v>194</v>
      </c>
      <c r="E23" s="25" t="n">
        <v>20176</v>
      </c>
      <c r="F23" s="24">
        <f>IFERROR((D23/D22)-(E23/E22),0)</f>
        <v/>
      </c>
    </row>
    <row r="24">
      <c r="C24" s="46" t="inlineStr">
        <is>
          <t>Avg SB LMICT Loan Amount</t>
        </is>
      </c>
      <c r="D24" s="51" t="n">
        <v>26948</v>
      </c>
      <c r="E24" s="51" t="n">
        <v>6450</v>
      </c>
      <c r="F24" s="24">
        <f>IFERROR((D24/E24)-1,0)</f>
        <v/>
      </c>
    </row>
    <row r="25">
      <c r="C25" s="46" t="inlineStr">
        <is>
          <t>Loans Rev Under $1m</t>
        </is>
      </c>
      <c r="D25" s="25" t="n">
        <v>5902</v>
      </c>
      <c r="E25" s="25" t="n">
        <v>286347</v>
      </c>
      <c r="F25" s="24">
        <f>IFERROR((D25/D22)-(E25/E22),0)</f>
        <v/>
      </c>
    </row>
    <row r="26">
      <c r="C26" s="46" t="inlineStr">
        <is>
          <t>Avg Loan Amt for RUM SB</t>
        </is>
      </c>
      <c r="D26" s="51" t="n">
        <v>1121547</v>
      </c>
      <c r="E26" s="51" t="n">
        <v>126326</v>
      </c>
      <c r="F26" s="24">
        <f>IFERROR((D26/E26)-1,0)</f>
        <v/>
      </c>
    </row>
    <row r="27">
      <c r="B27" s="46" t="inlineStr">
        <is>
          <t>Fort Collins, CO</t>
        </is>
      </c>
      <c r="C27" s="46" t="inlineStr">
        <is>
          <t>SB Loans</t>
        </is>
      </c>
      <c r="D27" s="25" t="n">
        <v>1801</v>
      </c>
      <c r="E27" s="25" t="n">
        <v>52342</v>
      </c>
      <c r="F27" s="8" t="n"/>
    </row>
    <row r="28">
      <c r="C28" s="46" t="inlineStr">
        <is>
          <t>#LMICT</t>
        </is>
      </c>
      <c r="D28" s="46" t="n">
        <v>10</v>
      </c>
      <c r="E28" s="46" t="n">
        <v>992</v>
      </c>
      <c r="F28" s="24">
        <f>IFERROR((D28/D27)-(E28/E27),0)</f>
        <v/>
      </c>
    </row>
    <row r="29">
      <c r="C29" s="46" t="inlineStr">
        <is>
          <t>Avg SB LMICT Loan Amount</t>
        </is>
      </c>
      <c r="D29" s="51" t="n">
        <v>58600</v>
      </c>
      <c r="E29" s="51" t="n">
        <v>13302</v>
      </c>
      <c r="F29" s="24">
        <f>IFERROR((D29/E29)-1,0)</f>
        <v/>
      </c>
    </row>
    <row r="30">
      <c r="C30" s="46" t="inlineStr">
        <is>
          <t>Loans Rev Under $1m</t>
        </is>
      </c>
      <c r="D30" s="46" t="n">
        <v>479</v>
      </c>
      <c r="E30" s="25" t="n">
        <v>28034</v>
      </c>
      <c r="F30" s="24">
        <f>IFERROR((D30/D27)-(E30/E27),0)</f>
        <v/>
      </c>
    </row>
    <row r="31">
      <c r="C31" s="46" t="inlineStr">
        <is>
          <t>Avg Loan Amt for RUM SB</t>
        </is>
      </c>
      <c r="D31" s="51" t="n">
        <v>2188367</v>
      </c>
      <c r="E31" s="51" t="n">
        <v>227245</v>
      </c>
      <c r="F31" s="24">
        <f>IFERROR((D31/E31)-1,0)</f>
        <v/>
      </c>
    </row>
    <row r="32">
      <c r="A32" s="46" t="n"/>
      <c r="B32" s="46" t="n"/>
      <c r="C32" s="46" t="n"/>
      <c r="D32" s="25" t="n"/>
      <c r="E32" s="25" t="n"/>
      <c r="F32" s="8" t="n"/>
    </row>
    <row r="33">
      <c r="A33" s="46" t="n"/>
      <c r="B33" s="46" t="n"/>
      <c r="C33" s="46" t="n"/>
      <c r="D33" s="46" t="n"/>
      <c r="E33" s="46" t="n"/>
      <c r="F33" s="24">
        <f>IFERROR((D33/D32)-(E33/E32),0)</f>
        <v/>
      </c>
    </row>
    <row r="34">
      <c r="A34" s="46" t="n"/>
      <c r="B34" s="46" t="n"/>
      <c r="C34" s="46" t="n"/>
      <c r="D34" s="51" t="n"/>
      <c r="E34" s="51" t="n"/>
      <c r="F34" s="24">
        <f>IFERROR((D34/E34)-1,0)</f>
        <v/>
      </c>
    </row>
    <row r="35">
      <c r="A35" s="46" t="n"/>
      <c r="B35" s="46" t="n"/>
      <c r="C35" s="46" t="n"/>
      <c r="D35" s="46" t="n"/>
      <c r="E35" s="25" t="n"/>
      <c r="F35" s="24">
        <f>IFERROR((D35/D32)-(E35/E32),0)</f>
        <v/>
      </c>
    </row>
    <row r="36">
      <c r="A36" s="46" t="n"/>
      <c r="B36" s="46" t="n"/>
      <c r="C36" s="46" t="n"/>
      <c r="D36" s="51" t="n"/>
      <c r="E36" s="51" t="n"/>
      <c r="F36" s="24">
        <f>IFERROR((D36/E36)-1,0)</f>
        <v/>
      </c>
    </row>
    <row r="37">
      <c r="B37" s="44" t="n"/>
      <c r="C37" s="44" t="n"/>
      <c r="D37" s="1" t="n"/>
      <c r="E37" s="1" t="n"/>
      <c r="F37" s="8" t="n"/>
    </row>
    <row r="38">
      <c r="C38" s="44" t="n"/>
      <c r="D38" s="1" t="n"/>
      <c r="E38" s="1" t="n"/>
      <c r="F38" s="24">
        <f>IFERROR((D38/D37)-(E38/E37),0)</f>
        <v/>
      </c>
    </row>
    <row r="39">
      <c r="C39" s="44" t="n"/>
      <c r="D39" s="57" t="n"/>
      <c r="E39" s="57" t="n"/>
      <c r="F39" s="24">
        <f>IFERROR((D39/E39)-1,0)</f>
        <v/>
      </c>
    </row>
    <row r="40">
      <c r="C40" s="44" t="n"/>
      <c r="D40" s="1" t="n"/>
      <c r="E40" s="1" t="n"/>
      <c r="F40" s="24">
        <f>IFERROR((D40/D37)-(E40/E37),0)</f>
        <v/>
      </c>
    </row>
    <row r="41">
      <c r="C41" s="44" t="n"/>
      <c r="D41" s="57" t="n"/>
      <c r="E41" s="57" t="n"/>
      <c r="F41" s="24">
        <f>IFERROR((D41/E41)-1,0)</f>
        <v/>
      </c>
    </row>
    <row r="42">
      <c r="B42" s="44" t="n"/>
      <c r="C42" s="44" t="n"/>
      <c r="D42" s="1" t="n"/>
      <c r="E42" s="1" t="n"/>
      <c r="F42" s="8" t="n"/>
    </row>
    <row r="43">
      <c r="C43" s="44" t="n"/>
      <c r="D43" s="1" t="n"/>
      <c r="E43" s="1" t="n"/>
      <c r="F43" s="24">
        <f>IFERROR((D43/D42)-(E43/E42),0)</f>
        <v/>
      </c>
    </row>
    <row r="44">
      <c r="C44" s="44" t="n"/>
      <c r="D44" s="57" t="n"/>
      <c r="E44" s="57" t="n"/>
      <c r="F44" s="24">
        <f>IFERROR((D44/E44)-1,0)</f>
        <v/>
      </c>
    </row>
    <row r="45">
      <c r="C45" s="44" t="n"/>
      <c r="D45" s="1" t="n"/>
      <c r="E45" s="1" t="n"/>
      <c r="F45" s="24">
        <f>IFERROR((D45/D42)-(E45/E42),0)</f>
        <v/>
      </c>
    </row>
    <row r="46">
      <c r="C46" s="44" t="n"/>
      <c r="D46" s="57" t="n"/>
      <c r="E46" s="57" t="n"/>
      <c r="F46" s="24">
        <f>IFERROR((D46/E46)-1,0)</f>
        <v/>
      </c>
    </row>
    <row r="47">
      <c r="B47" s="44" t="n"/>
      <c r="C47" s="44" t="n"/>
      <c r="D47" s="1" t="n"/>
      <c r="E47" s="1" t="n"/>
      <c r="F47" s="8" t="n"/>
    </row>
    <row r="48">
      <c r="C48" s="44" t="n"/>
      <c r="D48" s="1" t="n"/>
      <c r="E48" s="1" t="n"/>
      <c r="F48" s="24">
        <f>IFERROR((D48/D47)-(E48/E47),0)</f>
        <v/>
      </c>
    </row>
    <row r="49">
      <c r="C49" s="44" t="n"/>
      <c r="D49" s="57" t="n"/>
      <c r="E49" s="57" t="n"/>
      <c r="F49" s="24">
        <f>IFERROR((D49/E49)-1,0)</f>
        <v/>
      </c>
    </row>
    <row r="50">
      <c r="C50" s="44" t="n"/>
      <c r="D50" s="1" t="n"/>
      <c r="E50" s="1" t="n"/>
      <c r="F50" s="24">
        <f>IFERROR((D50/D47)-(E50/E47),0)</f>
        <v/>
      </c>
    </row>
    <row r="51">
      <c r="C51" s="44" t="n"/>
      <c r="D51" s="57" t="n"/>
      <c r="E51" s="57" t="n"/>
      <c r="F51" s="24">
        <f>IFERROR((D51/E51)-1,0)</f>
        <v/>
      </c>
    </row>
    <row r="52">
      <c r="B52" s="44" t="n"/>
      <c r="C52" s="44" t="n"/>
      <c r="D52" s="1" t="n"/>
      <c r="E52" s="1" t="n"/>
      <c r="F52" s="8" t="n"/>
    </row>
    <row r="53">
      <c r="C53" s="44" t="n"/>
      <c r="D53" s="1" t="n"/>
      <c r="E53" s="1" t="n"/>
      <c r="F53" s="24">
        <f>IFERROR((D53/D52)-(E53/E52),0)</f>
        <v/>
      </c>
    </row>
    <row r="54">
      <c r="C54" s="44" t="n"/>
      <c r="D54" s="57" t="n"/>
      <c r="E54" s="57" t="n"/>
      <c r="F54" s="24">
        <f>IFERROR((D54/E54)-1,0)</f>
        <v/>
      </c>
    </row>
    <row r="55">
      <c r="C55" s="44" t="n"/>
      <c r="D55" s="1" t="n"/>
      <c r="E55" s="1" t="n"/>
      <c r="F55" s="24">
        <f>IFERROR((D55/D52)-(E55/E52),0)</f>
        <v/>
      </c>
    </row>
    <row r="56">
      <c r="C56" s="44" t="n"/>
      <c r="D56" s="57" t="n"/>
      <c r="E56" s="57" t="n"/>
      <c r="F56" s="24">
        <f>IFERROR((D56/E56)-1,0)</f>
        <v/>
      </c>
    </row>
    <row r="57">
      <c r="B57" s="44" t="n"/>
      <c r="C57" s="44" t="n"/>
      <c r="D57" s="1" t="n"/>
      <c r="E57" s="1" t="n"/>
      <c r="F57" s="8" t="n"/>
    </row>
    <row r="58">
      <c r="C58" s="44" t="n"/>
      <c r="D58" s="1" t="n"/>
      <c r="E58" s="1" t="n"/>
      <c r="F58" s="24">
        <f>IFERROR((D58/D57)-(E58/E57),0)</f>
        <v/>
      </c>
    </row>
    <row r="59">
      <c r="C59" s="44" t="n"/>
      <c r="D59" s="57" t="n"/>
      <c r="E59" s="57" t="n"/>
      <c r="F59" s="24">
        <f>IFERROR((D59/E59)-1,0)</f>
        <v/>
      </c>
    </row>
    <row r="60">
      <c r="C60" s="44" t="n"/>
      <c r="D60" s="1" t="n"/>
      <c r="E60" s="1" t="n"/>
      <c r="F60" s="24">
        <f>IFERROR((D60/D57)-(E60/E57),0)</f>
        <v/>
      </c>
    </row>
    <row r="61">
      <c r="C61" s="44" t="n"/>
      <c r="D61" s="57" t="n"/>
      <c r="E61" s="57" t="n"/>
      <c r="F61" s="24">
        <f>IFERROR((D61/E61)-1,0)</f>
        <v/>
      </c>
    </row>
    <row r="62">
      <c r="B62" s="44" t="n"/>
      <c r="C62" s="44" t="n"/>
      <c r="D62" s="1" t="n"/>
      <c r="E62" s="1" t="n"/>
      <c r="F62" s="8" t="n"/>
    </row>
    <row r="63">
      <c r="C63" s="44" t="n"/>
      <c r="D63" s="1" t="n"/>
      <c r="E63" s="1" t="n"/>
      <c r="F63" s="24">
        <f>IFERROR((D63/D62)-(E63/E62),0)</f>
        <v/>
      </c>
    </row>
    <row r="64">
      <c r="C64" s="44" t="n"/>
      <c r="D64" s="57" t="n"/>
      <c r="E64" s="57" t="n"/>
      <c r="F64" s="24">
        <f>IFERROR((D64/E64)-1,0)</f>
        <v/>
      </c>
    </row>
    <row r="65">
      <c r="C65" s="44" t="n"/>
      <c r="D65" s="1" t="n"/>
      <c r="E65" s="1" t="n"/>
      <c r="F65" s="24">
        <f>IFERROR((D65/D62)-(E65/E62),0)</f>
        <v/>
      </c>
    </row>
    <row r="66">
      <c r="C66" s="44" t="n"/>
      <c r="D66" s="57" t="n"/>
      <c r="E66" s="57" t="n"/>
      <c r="F66" s="24">
        <f>IFERROR((D66/E66)-1,0)</f>
        <v/>
      </c>
    </row>
    <row r="67">
      <c r="B67" s="44" t="n"/>
      <c r="C67" s="44" t="n"/>
      <c r="D67" s="1" t="n"/>
      <c r="E67" s="1" t="n"/>
      <c r="F67" s="8" t="n"/>
    </row>
    <row r="68">
      <c r="C68" s="44" t="n"/>
      <c r="D68" s="1" t="n"/>
      <c r="E68" s="1" t="n"/>
      <c r="F68" s="24">
        <f>IFERROR((D68/D67)-(E68/E67),0)</f>
        <v/>
      </c>
    </row>
    <row r="69">
      <c r="C69" s="44" t="n"/>
      <c r="D69" s="57" t="n"/>
      <c r="E69" s="57" t="n"/>
      <c r="F69" s="24">
        <f>IFERROR((D69/E69)-1,0)</f>
        <v/>
      </c>
    </row>
    <row r="70">
      <c r="C70" s="44" t="n"/>
      <c r="D70" s="1" t="n"/>
      <c r="E70" s="1" t="n"/>
      <c r="F70" s="24">
        <f>IFERROR((D70/D67)-(E70/E67),0)</f>
        <v/>
      </c>
    </row>
    <row r="71">
      <c r="C71" s="44" t="n"/>
      <c r="D71" s="57" t="n"/>
      <c r="E71" s="57" t="n"/>
      <c r="F71" s="24">
        <f>IFERROR((D71/E71)-1,0)</f>
        <v/>
      </c>
    </row>
    <row r="72">
      <c r="B72" s="44" t="n"/>
      <c r="C72" s="44" t="n"/>
      <c r="D72" s="1" t="n"/>
      <c r="E72" s="1" t="n"/>
      <c r="F72" s="8" t="n"/>
    </row>
    <row r="73">
      <c r="C73" s="44" t="n"/>
      <c r="D73" s="1" t="n"/>
      <c r="E73" s="1" t="n"/>
      <c r="F73" s="24">
        <f>IFERROR((D73/D72)-(E73/E72),0)</f>
        <v/>
      </c>
    </row>
    <row r="74">
      <c r="C74" s="44" t="n"/>
      <c r="D74" s="57" t="n"/>
      <c r="E74" s="57" t="n"/>
      <c r="F74" s="24">
        <f>IFERROR((D74/E74)-1,0)</f>
        <v/>
      </c>
    </row>
    <row r="75">
      <c r="C75" s="44" t="n"/>
      <c r="D75" s="1" t="n"/>
      <c r="E75" s="1" t="n"/>
      <c r="F75" s="24">
        <f>IFERROR((D75/D72)-(E75/E72),0)</f>
        <v/>
      </c>
    </row>
    <row r="76">
      <c r="C76" s="44" t="n"/>
      <c r="D76" s="57" t="n"/>
      <c r="E76" s="57" t="n"/>
      <c r="F76" s="24">
        <f>IFERROR((D76/E76)-1,0)</f>
        <v/>
      </c>
    </row>
    <row r="77">
      <c r="B77" s="44" t="n"/>
      <c r="C77" s="44" t="n"/>
      <c r="D77" s="1" t="n"/>
      <c r="E77" s="1" t="n"/>
      <c r="F77" s="8" t="n"/>
    </row>
    <row r="78">
      <c r="C78" s="44" t="n"/>
      <c r="D78" s="1" t="n"/>
      <c r="E78" s="1" t="n"/>
      <c r="F78" s="24">
        <f>IFERROR((D78/D77)-(E78/E77),0)</f>
        <v/>
      </c>
    </row>
    <row r="79">
      <c r="C79" s="44" t="n"/>
      <c r="D79" s="57" t="n"/>
      <c r="E79" s="57" t="n"/>
      <c r="F79" s="24">
        <f>IFERROR((D79/E79)-1,0)</f>
        <v/>
      </c>
    </row>
    <row r="80">
      <c r="C80" s="44" t="n"/>
      <c r="D80" s="1" t="n"/>
      <c r="E80" s="1" t="n"/>
      <c r="F80" s="24">
        <f>IFERROR((D80/D77)-(E80/E77),0)</f>
        <v/>
      </c>
    </row>
    <row r="81">
      <c r="C81" s="44" t="n"/>
      <c r="D81" s="57" t="n"/>
      <c r="E81" s="57" t="n"/>
      <c r="F81" s="24">
        <f>IFERROR((D81/E81)-1,0)</f>
        <v/>
      </c>
    </row>
    <row r="82">
      <c r="B82" s="44" t="n"/>
      <c r="C82" s="44" t="n"/>
      <c r="D82" s="1" t="n"/>
      <c r="E82" s="1" t="n"/>
      <c r="F82" s="8" t="n"/>
    </row>
    <row r="83">
      <c r="C83" s="44" t="n"/>
      <c r="D83" s="1" t="n"/>
      <c r="E83" s="1" t="n"/>
      <c r="F83" s="24">
        <f>IFERROR((D83/D82)-(E83/E82),0)</f>
        <v/>
      </c>
    </row>
    <row r="84">
      <c r="C84" s="44" t="n"/>
      <c r="D84" s="57" t="n"/>
      <c r="E84" s="57" t="n"/>
      <c r="F84" s="24">
        <f>IFERROR((D84/E84)-1,0)</f>
        <v/>
      </c>
    </row>
    <row r="85">
      <c r="C85" s="44" t="n"/>
      <c r="D85" s="1" t="n"/>
      <c r="E85" s="1" t="n"/>
      <c r="F85" s="24">
        <f>IFERROR((D85/D82)-(E85/E82),0)</f>
        <v/>
      </c>
    </row>
    <row r="86">
      <c r="C86" s="44" t="n"/>
      <c r="D86" s="57" t="n"/>
      <c r="E86" s="57" t="n"/>
      <c r="F86" s="24">
        <f>IFERROR((D86/E86)-1,0)</f>
        <v/>
      </c>
    </row>
    <row r="87">
      <c r="B87" s="44" t="n"/>
      <c r="C87" s="44" t="n"/>
      <c r="D87" s="1" t="n"/>
      <c r="E87" s="1" t="n"/>
      <c r="F87" s="8" t="n"/>
    </row>
    <row r="88">
      <c r="C88" s="44" t="n"/>
      <c r="D88" s="1" t="n"/>
      <c r="E88" s="1" t="n"/>
      <c r="F88" s="24">
        <f>IFERROR((D88/D87)-(E88/E87),0)</f>
        <v/>
      </c>
    </row>
    <row r="89">
      <c r="C89" s="44" t="n"/>
      <c r="D89" s="57" t="n"/>
      <c r="E89" s="57" t="n"/>
      <c r="F89" s="24">
        <f>IFERROR((D89/E89)-1,0)</f>
        <v/>
      </c>
    </row>
    <row r="90">
      <c r="C90" s="44" t="n"/>
      <c r="D90" s="1" t="n"/>
      <c r="E90" s="1" t="n"/>
      <c r="F90" s="24">
        <f>IFERROR((D90/D87)-(E90/E87),0)</f>
        <v/>
      </c>
    </row>
    <row r="91">
      <c r="C91" s="44" t="n"/>
      <c r="D91" s="57" t="n"/>
      <c r="E91" s="57" t="n"/>
      <c r="F91" s="24">
        <f>IFERROR((D91/E91)-1,0)</f>
        <v/>
      </c>
    </row>
    <row r="92">
      <c r="B92" s="44" t="n"/>
      <c r="C92" s="44" t="n"/>
      <c r="D92" s="1" t="n"/>
      <c r="E92" s="1" t="n"/>
      <c r="F92" s="8" t="n"/>
    </row>
    <row r="93">
      <c r="C93" s="44" t="n"/>
      <c r="D93" s="1" t="n"/>
      <c r="E93" s="1" t="n"/>
      <c r="F93" s="24">
        <f>IFERROR((D93/D92)-(E93/E92),0)</f>
        <v/>
      </c>
    </row>
    <row r="94">
      <c r="C94" s="44" t="n"/>
      <c r="D94" s="57" t="n"/>
      <c r="E94" s="57" t="n"/>
      <c r="F94" s="24">
        <f>IFERROR((D94/E94)-1,0)</f>
        <v/>
      </c>
    </row>
    <row r="95">
      <c r="C95" s="44" t="n"/>
      <c r="D95" s="1" t="n"/>
      <c r="E95" s="1" t="n"/>
      <c r="F95" s="24">
        <f>IFERROR((D95/D92)-(E95/E92),0)</f>
        <v/>
      </c>
    </row>
    <row r="96">
      <c r="C96" s="44" t="n"/>
      <c r="D96" s="57" t="n"/>
      <c r="E96" s="57" t="n"/>
      <c r="F96" s="24">
        <f>IFERROR((D96/E96)-1,0)</f>
        <v/>
      </c>
    </row>
    <row r="97">
      <c r="B97" s="44" t="n"/>
      <c r="C97" s="44" t="n"/>
      <c r="D97" s="1" t="n"/>
      <c r="E97" s="1" t="n"/>
      <c r="F97" s="8" t="n"/>
    </row>
    <row r="98">
      <c r="C98" s="44" t="n"/>
      <c r="D98" s="1" t="n"/>
      <c r="E98" s="1" t="n"/>
      <c r="F98" s="24">
        <f>IFERROR((D98/D97)-(E98/E97),0)</f>
        <v/>
      </c>
    </row>
    <row r="99">
      <c r="C99" s="44" t="n"/>
      <c r="D99" s="57" t="n"/>
      <c r="E99" s="57" t="n"/>
      <c r="F99" s="24">
        <f>IFERROR((D99/E99)-1,0)</f>
        <v/>
      </c>
    </row>
    <row r="100">
      <c r="C100" s="44" t="n"/>
      <c r="D100" s="1" t="n"/>
      <c r="E100" s="1" t="n"/>
      <c r="F100" s="24">
        <f>IFERROR((D100/D97)-(E100/E97),0)</f>
        <v/>
      </c>
    </row>
    <row r="101">
      <c r="C101" s="44" t="n"/>
      <c r="D101" s="57" t="n"/>
      <c r="E101" s="57" t="n"/>
      <c r="F101" s="24">
        <f>IFERROR((D101/E101)-1,0)</f>
        <v/>
      </c>
    </row>
    <row r="102">
      <c r="B102" s="44" t="n"/>
      <c r="C102" s="44" t="n"/>
      <c r="D102" s="1" t="n"/>
      <c r="E102" s="1" t="n"/>
      <c r="F102" s="8" t="n"/>
    </row>
    <row r="103">
      <c r="C103" s="44" t="n"/>
      <c r="D103" s="1" t="n"/>
      <c r="E103" s="1" t="n"/>
      <c r="F103" s="24">
        <f>IFERROR((D103/D102)-(E103/E102),0)</f>
        <v/>
      </c>
    </row>
    <row r="104">
      <c r="C104" s="44" t="n"/>
      <c r="D104" s="57" t="n"/>
      <c r="E104" s="57" t="n"/>
      <c r="F104" s="24">
        <f>IFERROR((D104/E104)-1,0)</f>
        <v/>
      </c>
    </row>
    <row r="105">
      <c r="C105" s="44" t="n"/>
      <c r="D105" s="1" t="n"/>
      <c r="E105" s="1" t="n"/>
      <c r="F105" s="24">
        <f>IFERROR((D105/D102)-(E105/E102),0)</f>
        <v/>
      </c>
    </row>
    <row r="106">
      <c r="C106" s="44" t="n"/>
      <c r="D106" s="57" t="n"/>
      <c r="E106" s="57" t="n"/>
      <c r="F106" s="24">
        <f>IFERROR((D106/E106)-1,0)</f>
        <v/>
      </c>
    </row>
    <row r="107">
      <c r="B107" s="44" t="n"/>
      <c r="C107" s="44" t="n"/>
      <c r="D107" s="1" t="n"/>
      <c r="E107" s="1" t="n"/>
      <c r="F107" s="8" t="n"/>
    </row>
    <row r="108">
      <c r="C108" s="44" t="n"/>
      <c r="D108" s="1" t="n"/>
      <c r="E108" s="1" t="n"/>
      <c r="F108" s="24">
        <f>IFERROR((D108/D107)-(E108/E107),0)</f>
        <v/>
      </c>
    </row>
    <row r="109">
      <c r="C109" s="44" t="n"/>
      <c r="D109" s="57" t="n"/>
      <c r="E109" s="57" t="n"/>
      <c r="F109" s="24">
        <f>IFERROR((D109/E109)-1,0)</f>
        <v/>
      </c>
    </row>
    <row r="110">
      <c r="C110" s="44" t="n"/>
      <c r="D110" s="1" t="n"/>
      <c r="E110" s="1" t="n"/>
      <c r="F110" s="24">
        <f>IFERROR((D110/D107)-(E110/E107),0)</f>
        <v/>
      </c>
    </row>
    <row r="111">
      <c r="C111" s="44" t="n"/>
      <c r="D111" s="57" t="n"/>
      <c r="E111" s="57" t="n"/>
      <c r="F111" s="24">
        <f>IFERROR((D111/E111)-1,0)</f>
        <v/>
      </c>
    </row>
    <row r="112">
      <c r="B112" s="44" t="n"/>
      <c r="C112" s="44" t="n"/>
      <c r="D112" s="1" t="n"/>
      <c r="E112" s="1" t="n"/>
      <c r="F112" s="8" t="n"/>
    </row>
    <row r="113">
      <c r="C113" s="44" t="n"/>
      <c r="D113" s="1" t="n"/>
      <c r="E113" s="1" t="n"/>
      <c r="F113" s="24">
        <f>IFERROR((D113/D112)-(E113/E112),0)</f>
        <v/>
      </c>
    </row>
    <row r="114">
      <c r="C114" s="44" t="n"/>
      <c r="D114" s="57" t="n"/>
      <c r="E114" s="57" t="n"/>
      <c r="F114" s="24">
        <f>IFERROR((D114/E114)-1,0)</f>
        <v/>
      </c>
    </row>
    <row r="115">
      <c r="C115" s="44" t="n"/>
      <c r="D115" s="1" t="n"/>
      <c r="E115" s="1" t="n"/>
      <c r="F115" s="24">
        <f>IFERROR((D115/D112)-(E115/E112),0)</f>
        <v/>
      </c>
    </row>
    <row r="116">
      <c r="C116" s="44" t="n"/>
      <c r="D116" s="57" t="n"/>
      <c r="E116" s="57" t="n"/>
      <c r="F116" s="24">
        <f>IFERROR((D116/E116)-1,0)</f>
        <v/>
      </c>
    </row>
    <row r="117">
      <c r="B117" s="44" t="n"/>
      <c r="C117" s="44" t="n"/>
      <c r="D117" s="1" t="n"/>
      <c r="E117" s="1" t="n"/>
      <c r="F117" s="8" t="n"/>
    </row>
    <row r="118">
      <c r="C118" s="44" t="n"/>
      <c r="D118" s="1" t="n"/>
      <c r="E118" s="1" t="n"/>
      <c r="F118" s="24">
        <f>IFERROR((D118/D117)-(E118/E117),0)</f>
        <v/>
      </c>
    </row>
    <row r="119">
      <c r="C119" s="44" t="n"/>
      <c r="D119" s="57" t="n"/>
      <c r="E119" s="57" t="n"/>
      <c r="F119" s="24">
        <f>IFERROR((D119/E119)-1,0)</f>
        <v/>
      </c>
    </row>
    <row r="120">
      <c r="C120" s="44" t="n"/>
      <c r="D120" s="1" t="n"/>
      <c r="E120" s="1" t="n"/>
      <c r="F120" s="24">
        <f>IFERROR((D120/D117)-(E120/E117),0)</f>
        <v/>
      </c>
    </row>
    <row r="121">
      <c r="C121" s="44" t="n"/>
      <c r="D121" s="57" t="n"/>
      <c r="E121" s="57" t="n"/>
      <c r="F121" s="24">
        <f>IFERROR((D121/E121)-1,0)</f>
        <v/>
      </c>
    </row>
    <row r="122">
      <c r="B122" s="44" t="n"/>
      <c r="C122" s="44" t="n"/>
      <c r="D122" s="1" t="n"/>
      <c r="E122" s="1" t="n"/>
      <c r="F122" s="8" t="n"/>
    </row>
    <row r="123">
      <c r="C123" s="44" t="n"/>
      <c r="D123" s="1" t="n"/>
      <c r="E123" s="1" t="n"/>
      <c r="F123" s="24">
        <f>IFERROR((D123/D122)-(E123/E122),0)</f>
        <v/>
      </c>
    </row>
    <row r="124">
      <c r="C124" s="44" t="n"/>
      <c r="D124" s="57" t="n"/>
      <c r="E124" s="57" t="n"/>
      <c r="F124" s="24">
        <f>IFERROR((D124/E124)-1,0)</f>
        <v/>
      </c>
    </row>
    <row r="125">
      <c r="C125" s="44" t="n"/>
      <c r="D125" s="1" t="n"/>
      <c r="E125" s="1" t="n"/>
      <c r="F125" s="24">
        <f>IFERROR((D125/D122)-(E125/E122),0)</f>
        <v/>
      </c>
    </row>
    <row r="126">
      <c r="C126" s="44" t="n"/>
      <c r="D126" s="57" t="n"/>
      <c r="E126" s="57" t="n"/>
      <c r="F126" s="24">
        <f>IFERROR((D126/E126)-1,0)</f>
        <v/>
      </c>
    </row>
    <row r="127">
      <c r="B127" s="44" t="n"/>
      <c r="C127" s="44" t="n"/>
      <c r="D127" s="1" t="n"/>
      <c r="E127" s="1" t="n"/>
      <c r="F127" s="8" t="n"/>
    </row>
    <row r="128">
      <c r="C128" s="44" t="n"/>
      <c r="D128" s="1" t="n"/>
      <c r="E128" s="1" t="n"/>
      <c r="F128" s="24">
        <f>IFERROR((D128/D127)-(E128/E127),0)</f>
        <v/>
      </c>
    </row>
    <row r="129">
      <c r="C129" s="44" t="n"/>
      <c r="D129" s="57" t="n"/>
      <c r="E129" s="57" t="n"/>
      <c r="F129" s="24">
        <f>IFERROR((D129/E129)-1,0)</f>
        <v/>
      </c>
    </row>
    <row r="130">
      <c r="C130" s="44" t="n"/>
      <c r="D130" s="1" t="n"/>
      <c r="E130" s="1" t="n"/>
      <c r="F130" s="24">
        <f>IFERROR((D130/D127)-(E130/E127),0)</f>
        <v/>
      </c>
    </row>
    <row r="131">
      <c r="C131" s="44" t="n"/>
      <c r="D131" s="57" t="n"/>
      <c r="E131" s="57" t="n"/>
      <c r="F131" s="24">
        <f>IFERROR((D131/E131)-1,0)</f>
        <v/>
      </c>
    </row>
    <row r="132">
      <c r="B132" s="44" t="n"/>
      <c r="C132" s="44" t="n"/>
      <c r="D132" s="1" t="n"/>
      <c r="E132" s="1" t="n"/>
      <c r="F132" s="8" t="n"/>
    </row>
    <row r="133">
      <c r="C133" s="44" t="n"/>
      <c r="D133" s="1" t="n"/>
      <c r="E133" s="1" t="n"/>
      <c r="F133" s="24">
        <f>IFERROR((D133/D132)-(E133/E132),0)</f>
        <v/>
      </c>
    </row>
    <row r="134">
      <c r="C134" s="44" t="n"/>
      <c r="D134" s="57" t="n"/>
      <c r="E134" s="57" t="n"/>
      <c r="F134" s="24">
        <f>IFERROR((D134/E134)-1,0)</f>
        <v/>
      </c>
    </row>
    <row r="135">
      <c r="C135" s="44" t="n"/>
      <c r="D135" s="1" t="n"/>
      <c r="E135" s="1" t="n"/>
      <c r="F135" s="24">
        <f>IFERROR((D135/D132)-(E135/E132),0)</f>
        <v/>
      </c>
    </row>
    <row r="136">
      <c r="C136" s="44" t="n"/>
      <c r="D136" s="57" t="n"/>
      <c r="E136" s="57" t="n"/>
      <c r="F136" s="24">
        <f>IFERROR((D136/E136)-1,0)</f>
        <v/>
      </c>
    </row>
    <row r="137">
      <c r="B137" s="44" t="n"/>
      <c r="C137" s="44" t="n"/>
      <c r="D137" s="1" t="n"/>
      <c r="E137" s="1" t="n"/>
      <c r="F137" s="8" t="n"/>
    </row>
    <row r="138">
      <c r="C138" s="44" t="n"/>
      <c r="D138" s="1" t="n"/>
      <c r="E138" s="1" t="n"/>
      <c r="F138" s="24">
        <f>IFERROR((D138/D137)-(E138/E137),0)</f>
        <v/>
      </c>
    </row>
    <row r="139">
      <c r="C139" s="44" t="n"/>
      <c r="D139" s="57" t="n"/>
      <c r="E139" s="57" t="n"/>
      <c r="F139" s="24">
        <f>IFERROR((D139/E139)-1,0)</f>
        <v/>
      </c>
    </row>
    <row r="140">
      <c r="C140" s="44" t="n"/>
      <c r="D140" s="1" t="n"/>
      <c r="E140" s="1" t="n"/>
      <c r="F140" s="24">
        <f>IFERROR((D140/D137)-(E140/E137),0)</f>
        <v/>
      </c>
    </row>
    <row r="141">
      <c r="C141" s="44" t="n"/>
      <c r="D141" s="57" t="n"/>
      <c r="E141" s="57" t="n"/>
      <c r="F141" s="24">
        <f>IFERROR((D141/E141)-1,0)</f>
        <v/>
      </c>
    </row>
    <row r="142">
      <c r="B142" s="44" t="n"/>
      <c r="C142" s="44" t="n"/>
      <c r="D142" s="1" t="n"/>
      <c r="E142" s="1" t="n"/>
      <c r="F142" s="8" t="n"/>
    </row>
    <row r="143">
      <c r="C143" s="44" t="n"/>
      <c r="D143" s="1" t="n"/>
      <c r="E143" s="1" t="n"/>
      <c r="F143" s="24">
        <f>IFERROR((D143/D142)-(E143/E142),0)</f>
        <v/>
      </c>
    </row>
    <row r="144">
      <c r="C144" s="44" t="n"/>
      <c r="D144" s="57" t="n"/>
      <c r="E144" s="57" t="n"/>
      <c r="F144" s="24">
        <f>IFERROR((D144/E144)-1,0)</f>
        <v/>
      </c>
    </row>
    <row r="145">
      <c r="C145" s="44" t="n"/>
      <c r="D145" s="1" t="n"/>
      <c r="E145" s="1" t="n"/>
      <c r="F145" s="24">
        <f>IFERROR((D145/D142)-(E145/E142),0)</f>
        <v/>
      </c>
    </row>
    <row r="146">
      <c r="C146" s="44" t="n"/>
      <c r="D146" s="57" t="n"/>
      <c r="E146" s="57" t="n"/>
      <c r="F146" s="24">
        <f>IFERROR((D146/E146)-1,0)</f>
        <v/>
      </c>
    </row>
    <row r="147">
      <c r="B147" s="44" t="n"/>
      <c r="C147" s="44" t="n"/>
      <c r="D147" s="1" t="n"/>
      <c r="E147" s="1" t="n"/>
      <c r="F147" s="8" t="n"/>
    </row>
    <row r="148">
      <c r="C148" s="44" t="n"/>
      <c r="D148" s="1" t="n"/>
      <c r="E148" s="1" t="n"/>
      <c r="F148" s="24">
        <f>IFERROR((D148/D147)-(E148/E147),0)</f>
        <v/>
      </c>
    </row>
    <row r="149">
      <c r="C149" s="44" t="n"/>
      <c r="D149" s="57" t="n"/>
      <c r="E149" s="57" t="n"/>
      <c r="F149" s="24">
        <f>IFERROR((D149/E149)-1,0)</f>
        <v/>
      </c>
    </row>
    <row r="150">
      <c r="C150" s="44" t="n"/>
      <c r="D150" s="1" t="n"/>
      <c r="E150" s="1" t="n"/>
      <c r="F150" s="24">
        <f>IFERROR((D150/D147)-(E150/E147),0)</f>
        <v/>
      </c>
    </row>
    <row r="151">
      <c r="C151" s="44" t="n"/>
      <c r="D151" s="57" t="n"/>
      <c r="E151" s="57" t="n"/>
      <c r="F151" s="24">
        <f>IFERROR((D151/E151)-1,0)</f>
        <v/>
      </c>
    </row>
    <row r="152">
      <c r="B152" s="44" t="n"/>
      <c r="C152" s="44" t="n"/>
      <c r="D152" s="1" t="n"/>
      <c r="E152" s="1" t="n"/>
      <c r="F152" s="8" t="n"/>
    </row>
    <row r="153">
      <c r="C153" s="44" t="n"/>
      <c r="D153" s="1" t="n"/>
      <c r="E153" s="1" t="n"/>
      <c r="F153" s="24">
        <f>IFERROR((D153/D152)-(E153/E152),0)</f>
        <v/>
      </c>
    </row>
    <row r="154">
      <c r="C154" s="44" t="n"/>
      <c r="D154" s="57" t="n"/>
      <c r="E154" s="57" t="n"/>
      <c r="F154" s="24">
        <f>IFERROR((D154/E154)-1,0)</f>
        <v/>
      </c>
    </row>
    <row r="155">
      <c r="C155" s="44" t="n"/>
      <c r="D155" s="1" t="n"/>
      <c r="E155" s="1" t="n"/>
      <c r="F155" s="24">
        <f>IFERROR((D155/D152)-(E155/E152),0)</f>
        <v/>
      </c>
    </row>
    <row r="156">
      <c r="C156" s="44" t="n"/>
      <c r="D156" s="57" t="n"/>
      <c r="E156" s="57" t="n"/>
      <c r="F156" s="24">
        <f>IFERROR((D156/E156)-1,0)</f>
        <v/>
      </c>
    </row>
    <row r="157">
      <c r="B157" s="44" t="n"/>
      <c r="C157" s="44" t="n"/>
      <c r="D157" s="1" t="n"/>
      <c r="E157" s="1" t="n"/>
      <c r="F157" s="8" t="n"/>
    </row>
    <row r="158">
      <c r="C158" s="44" t="n"/>
      <c r="D158" s="1" t="n"/>
      <c r="E158" s="1" t="n"/>
      <c r="F158" s="24">
        <f>IFERROR((D158/D157)-(E158/E157),0)</f>
        <v/>
      </c>
    </row>
    <row r="159">
      <c r="C159" s="44" t="n"/>
      <c r="D159" s="57" t="n"/>
      <c r="E159" s="57" t="n"/>
      <c r="F159" s="24">
        <f>IFERROR((D159/E159)-1,0)</f>
        <v/>
      </c>
    </row>
    <row r="160">
      <c r="C160" s="44" t="n"/>
      <c r="D160" s="1" t="n"/>
      <c r="E160" s="1" t="n"/>
      <c r="F160" s="24">
        <f>IFERROR((D160/D157)-(E160/E157),0)</f>
        <v/>
      </c>
    </row>
    <row r="161">
      <c r="C161" s="44" t="n"/>
      <c r="D161" s="57" t="n"/>
      <c r="E161" s="57" t="n"/>
      <c r="F161" s="24">
        <f>IFERROR((D161/E161)-1,0)</f>
        <v/>
      </c>
    </row>
    <row r="162">
      <c r="B162" s="44" t="n"/>
      <c r="C162" s="44" t="n"/>
      <c r="D162" s="1" t="n"/>
      <c r="E162" s="1" t="n"/>
      <c r="F162" s="8" t="n"/>
    </row>
    <row r="163">
      <c r="C163" s="44" t="n"/>
      <c r="D163" s="1" t="n"/>
      <c r="E163" s="1" t="n"/>
      <c r="F163" s="24">
        <f>IFERROR((D163/D162)-(E163/E162),0)</f>
        <v/>
      </c>
    </row>
    <row r="164">
      <c r="C164" s="44" t="n"/>
      <c r="D164" s="57" t="n"/>
      <c r="E164" s="57" t="n"/>
      <c r="F164" s="24">
        <f>IFERROR((D164/E164)-1,0)</f>
        <v/>
      </c>
    </row>
    <row r="165">
      <c r="C165" s="44" t="n"/>
      <c r="D165" s="1" t="n"/>
      <c r="E165" s="1" t="n"/>
      <c r="F165" s="24">
        <f>IFERROR((D165/D162)-(E165/E162),0)</f>
        <v/>
      </c>
    </row>
    <row r="166">
      <c r="C166" s="44" t="n"/>
      <c r="D166" s="57" t="n"/>
      <c r="E166" s="57" t="n"/>
      <c r="F166" s="24">
        <f>IFERROR((D166/E166)-1,0)</f>
        <v/>
      </c>
    </row>
    <row r="167">
      <c r="B167" s="44" t="n"/>
      <c r="C167" s="44" t="n"/>
      <c r="D167" s="1" t="n"/>
      <c r="E167" s="1" t="n"/>
      <c r="F167" s="8" t="n"/>
    </row>
    <row r="168">
      <c r="C168" s="44" t="n"/>
      <c r="D168" s="1" t="n"/>
      <c r="E168" s="1" t="n"/>
      <c r="F168" s="24">
        <f>IFERROR((D168/D167)-(E168/E167),0)</f>
        <v/>
      </c>
    </row>
    <row r="169">
      <c r="C169" s="44" t="n"/>
      <c r="D169" s="57" t="n"/>
      <c r="E169" s="57" t="n"/>
      <c r="F169" s="24">
        <f>IFERROR((D169/E169)-1,0)</f>
        <v/>
      </c>
    </row>
    <row r="170">
      <c r="C170" s="44" t="n"/>
      <c r="D170" s="1" t="n"/>
      <c r="E170" s="1" t="n"/>
      <c r="F170" s="24">
        <f>IFERROR((D170/D167)-(E170/E167),0)</f>
        <v/>
      </c>
    </row>
    <row r="171">
      <c r="C171" s="44" t="n"/>
      <c r="D171" s="57" t="n"/>
      <c r="E171" s="57" t="n"/>
      <c r="F171" s="24">
        <f>IFERROR((D171/E171)-1,0)</f>
        <v/>
      </c>
    </row>
    <row r="172">
      <c r="B172" s="44" t="n"/>
      <c r="C172" s="44" t="n"/>
      <c r="D172" s="1" t="n"/>
      <c r="E172" s="1" t="n"/>
      <c r="F172" s="8" t="n"/>
    </row>
    <row r="173">
      <c r="C173" s="44" t="n"/>
      <c r="D173" s="1" t="n"/>
      <c r="E173" s="1" t="n"/>
      <c r="F173" s="24">
        <f>IFERROR((D173/D172)-(E173/E172),0)</f>
        <v/>
      </c>
    </row>
    <row r="174">
      <c r="C174" s="44" t="n"/>
      <c r="D174" s="57" t="n"/>
      <c r="E174" s="57" t="n"/>
      <c r="F174" s="24">
        <f>IFERROR((D174/E174)-1,0)</f>
        <v/>
      </c>
    </row>
    <row r="175">
      <c r="C175" s="44" t="n"/>
      <c r="D175" s="1" t="n"/>
      <c r="E175" s="1" t="n"/>
      <c r="F175" s="24">
        <f>IFERROR((D175/D172)-(E175/E172),0)</f>
        <v/>
      </c>
    </row>
    <row r="176">
      <c r="C176" s="44" t="n"/>
      <c r="D176" s="57" t="n"/>
      <c r="E176" s="57" t="n"/>
      <c r="F176" s="24">
        <f>IFERROR((D176/E176)-1,0)</f>
        <v/>
      </c>
    </row>
    <row r="177">
      <c r="B177" s="44" t="n"/>
      <c r="C177" s="44" t="n"/>
      <c r="D177" s="1" t="n"/>
      <c r="E177" s="1" t="n"/>
      <c r="F177" s="8" t="n"/>
    </row>
    <row r="178">
      <c r="C178" s="44" t="n"/>
      <c r="D178" s="1" t="n"/>
      <c r="E178" s="1" t="n"/>
      <c r="F178" s="24">
        <f>IFERROR((D178/D177)-(E178/E177),0)</f>
        <v/>
      </c>
    </row>
    <row r="179">
      <c r="C179" s="44" t="n"/>
      <c r="D179" s="57" t="n"/>
      <c r="E179" s="57" t="n"/>
      <c r="F179" s="24">
        <f>IFERROR((D179/E179)-1,0)</f>
        <v/>
      </c>
    </row>
    <row r="180">
      <c r="C180" s="44" t="n"/>
      <c r="D180" s="1" t="n"/>
      <c r="E180" s="1" t="n"/>
      <c r="F180" s="24">
        <f>IFERROR((D180/D177)-(E180/E177),0)</f>
        <v/>
      </c>
    </row>
    <row r="181">
      <c r="C181" s="44" t="n"/>
      <c r="D181" s="57" t="n"/>
      <c r="E181" s="57" t="n"/>
      <c r="F181" s="24">
        <f>IFERROR((D181/E181)-1,0)</f>
        <v/>
      </c>
    </row>
    <row r="182">
      <c r="B182" s="44" t="n"/>
      <c r="C182" s="44" t="n"/>
      <c r="D182" s="1" t="n"/>
      <c r="E182" s="1" t="n"/>
      <c r="F182" s="8" t="n"/>
    </row>
    <row r="183">
      <c r="C183" s="44" t="n"/>
      <c r="D183" s="1" t="n"/>
      <c r="E183" s="1" t="n"/>
      <c r="F183" s="24">
        <f>IFERROR((D183/D182)-(E183/E182),0)</f>
        <v/>
      </c>
    </row>
    <row r="184">
      <c r="C184" s="44" t="n"/>
      <c r="D184" s="57" t="n"/>
      <c r="E184" s="57" t="n"/>
      <c r="F184" s="24">
        <f>IFERROR((D184/E184)-1,0)</f>
        <v/>
      </c>
    </row>
    <row r="185">
      <c r="C185" s="44" t="n"/>
      <c r="D185" s="1" t="n"/>
      <c r="E185" s="1" t="n"/>
      <c r="F185" s="24">
        <f>IFERROR((D185/D182)-(E185/E182),0)</f>
        <v/>
      </c>
    </row>
    <row r="186">
      <c r="C186" s="44" t="n"/>
      <c r="D186" s="57" t="n"/>
      <c r="E186" s="57" t="n"/>
      <c r="F186" s="24">
        <f>IFERROR((D186/E186)-1,0)</f>
        <v/>
      </c>
    </row>
    <row r="187">
      <c r="B187" s="44" t="n"/>
      <c r="C187" s="44" t="n"/>
      <c r="D187" s="1" t="n"/>
      <c r="E187" s="1" t="n"/>
      <c r="F187" s="8" t="n"/>
    </row>
    <row r="188">
      <c r="C188" s="44" t="n"/>
      <c r="D188" s="1" t="n"/>
      <c r="E188" s="1" t="n"/>
      <c r="F188" s="24">
        <f>IFERROR((D188/D187)-(E188/E187),0)</f>
        <v/>
      </c>
    </row>
    <row r="189">
      <c r="C189" s="44" t="n"/>
      <c r="D189" s="57" t="n"/>
      <c r="E189" s="57" t="n"/>
      <c r="F189" s="24">
        <f>IFERROR((D189/E189)-1,0)</f>
        <v/>
      </c>
    </row>
    <row r="190">
      <c r="C190" s="44" t="n"/>
      <c r="D190" s="1" t="n"/>
      <c r="E190" s="1" t="n"/>
      <c r="F190" s="24">
        <f>IFERROR((D190/D187)-(E190/E187),0)</f>
        <v/>
      </c>
    </row>
    <row r="191">
      <c r="C191" s="44" t="n"/>
      <c r="D191" s="57" t="n"/>
      <c r="E191" s="57" t="n"/>
      <c r="F191" s="24">
        <f>IFERROR((D191/E191)-1,0)</f>
        <v/>
      </c>
    </row>
    <row r="192">
      <c r="B192" s="44" t="n"/>
      <c r="C192" s="44" t="n"/>
      <c r="D192" s="1" t="n"/>
      <c r="E192" s="1" t="n"/>
      <c r="F192" s="8" t="n"/>
    </row>
    <row r="193">
      <c r="C193" s="44" t="n"/>
      <c r="D193" s="1" t="n"/>
      <c r="E193" s="1" t="n"/>
      <c r="F193" s="24">
        <f>IFERROR((D193/D192)-(E193/E192),0)</f>
        <v/>
      </c>
    </row>
    <row r="194">
      <c r="C194" s="44" t="n"/>
      <c r="D194" s="57" t="n"/>
      <c r="E194" s="57" t="n"/>
      <c r="F194" s="24">
        <f>IFERROR((D194/E194)-1,0)</f>
        <v/>
      </c>
    </row>
    <row r="195">
      <c r="C195" s="44" t="n"/>
      <c r="D195" s="1" t="n"/>
      <c r="E195" s="1" t="n"/>
      <c r="F195" s="24">
        <f>IFERROR((D195/D192)-(E195/E192),0)</f>
        <v/>
      </c>
    </row>
    <row r="196">
      <c r="C196" s="44" t="n"/>
      <c r="D196" s="57" t="n"/>
      <c r="E196" s="57" t="n"/>
      <c r="F196" s="24">
        <f>IFERROR((D196/E196)-1,0)</f>
        <v/>
      </c>
    </row>
    <row r="197">
      <c r="B197" s="44" t="n"/>
      <c r="C197" s="44" t="n"/>
      <c r="D197" s="1" t="n"/>
      <c r="E197" s="1" t="n"/>
      <c r="F197" s="8" t="n"/>
    </row>
    <row r="198">
      <c r="C198" s="44" t="n"/>
      <c r="D198" s="1" t="n"/>
      <c r="E198" s="1" t="n"/>
      <c r="F198" s="24">
        <f>IFERROR((D198/D197)-(E198/E197),0)</f>
        <v/>
      </c>
    </row>
    <row r="199">
      <c r="C199" s="44" t="n"/>
      <c r="D199" s="57" t="n"/>
      <c r="E199" s="57" t="n"/>
      <c r="F199" s="24">
        <f>IFERROR((D199/E199)-1,0)</f>
        <v/>
      </c>
    </row>
    <row r="200">
      <c r="C200" s="44" t="n"/>
      <c r="D200" s="1" t="n"/>
      <c r="E200" s="1" t="n"/>
      <c r="F200" s="24">
        <f>IFERROR((D200/D197)-(E200/E197),0)</f>
        <v/>
      </c>
    </row>
    <row r="201">
      <c r="C201" s="44" t="n"/>
      <c r="D201" s="57" t="n"/>
      <c r="E201" s="57" t="n"/>
      <c r="F201" s="24">
        <f>IFERROR((D201/E201)-1,0)</f>
        <v/>
      </c>
    </row>
    <row r="202">
      <c r="B202" s="44" t="n"/>
      <c r="C202" s="44" t="n"/>
      <c r="D202" s="1" t="n"/>
      <c r="E202" s="1" t="n"/>
      <c r="F202" s="8" t="n"/>
    </row>
    <row r="203">
      <c r="C203" s="44" t="n"/>
      <c r="D203" s="1" t="n"/>
      <c r="E203" s="1" t="n"/>
      <c r="F203" s="24">
        <f>IFERROR((D203/D202)-(E203/E202),0)</f>
        <v/>
      </c>
    </row>
    <row r="204">
      <c r="C204" s="44" t="n"/>
      <c r="D204" s="57" t="n"/>
      <c r="E204" s="57" t="n"/>
      <c r="F204" s="24">
        <f>IFERROR((D204/E204)-1,0)</f>
        <v/>
      </c>
    </row>
    <row r="205">
      <c r="C205" s="44" t="n"/>
      <c r="D205" s="1" t="n"/>
      <c r="E205" s="1" t="n"/>
      <c r="F205" s="24">
        <f>IFERROR((D205/D202)-(E205/E202),0)</f>
        <v/>
      </c>
    </row>
    <row r="206">
      <c r="C206" s="44" t="n"/>
      <c r="D206" s="57" t="n"/>
      <c r="E206" s="57" t="n"/>
      <c r="F206" s="24">
        <f>IFERROR((D206/E206)-1,0)</f>
        <v/>
      </c>
    </row>
    <row r="207">
      <c r="B207" s="44" t="n"/>
      <c r="C207" s="44" t="n"/>
      <c r="D207" s="1" t="n"/>
      <c r="E207" s="1" t="n"/>
      <c r="F207" s="8" t="n"/>
    </row>
    <row r="208">
      <c r="C208" s="44" t="n"/>
      <c r="D208" s="1" t="n"/>
      <c r="E208" s="1" t="n"/>
      <c r="F208" s="24">
        <f>IFERROR((D208/D207)-(E208/E207),0)</f>
        <v/>
      </c>
    </row>
    <row r="209">
      <c r="C209" s="44" t="n"/>
      <c r="D209" s="57" t="n"/>
      <c r="E209" s="57" t="n"/>
      <c r="F209" s="24">
        <f>IFERROR((D209/E209)-1,0)</f>
        <v/>
      </c>
    </row>
    <row r="210">
      <c r="C210" s="44" t="n"/>
      <c r="D210" s="1" t="n"/>
      <c r="E210" s="1" t="n"/>
      <c r="F210" s="24">
        <f>IFERROR((D210/D207)-(E210/E207),0)</f>
        <v/>
      </c>
    </row>
    <row r="211">
      <c r="C211" s="44" t="n"/>
      <c r="D211" s="57" t="n"/>
      <c r="E211" s="57" t="n"/>
      <c r="F211" s="24">
        <f>IFERROR((D211/E211)-1,0)</f>
        <v/>
      </c>
    </row>
    <row r="212">
      <c r="B212" s="44" t="n"/>
      <c r="C212" s="44" t="n"/>
      <c r="D212" s="1" t="n"/>
      <c r="E212" s="1" t="n"/>
      <c r="F212" s="8" t="n"/>
    </row>
    <row r="213">
      <c r="C213" s="44" t="n"/>
      <c r="D213" s="1" t="n"/>
      <c r="E213" s="1" t="n"/>
      <c r="F213" s="24">
        <f>IFERROR((D213/D212)-(E213/E212),0)</f>
        <v/>
      </c>
    </row>
    <row r="214">
      <c r="C214" s="44" t="n"/>
      <c r="D214" s="57" t="n"/>
      <c r="E214" s="57" t="n"/>
      <c r="F214" s="24">
        <f>IFERROR((D214/E214)-1,0)</f>
        <v/>
      </c>
    </row>
    <row r="215">
      <c r="C215" s="44" t="n"/>
      <c r="D215" s="1" t="n"/>
      <c r="E215" s="1" t="n"/>
      <c r="F215" s="24">
        <f>IFERROR((D215/D212)-(E215/E212),0)</f>
        <v/>
      </c>
    </row>
    <row r="216">
      <c r="C216" s="44" t="n"/>
      <c r="D216" s="57" t="n"/>
      <c r="E216" s="57" t="n"/>
      <c r="F216" s="24">
        <f>IFERROR((D216/E216)-1,0)</f>
        <v/>
      </c>
    </row>
    <row r="217">
      <c r="B217" s="44" t="n"/>
      <c r="C217" s="44" t="n"/>
      <c r="D217" s="1" t="n"/>
      <c r="E217" s="1" t="n"/>
      <c r="F217" s="8" t="n"/>
    </row>
    <row r="218">
      <c r="C218" s="44" t="n"/>
      <c r="D218" s="1" t="n"/>
      <c r="E218" s="1" t="n"/>
      <c r="F218" s="24">
        <f>IFERROR((D218/D217)-(E218/E217),0)</f>
        <v/>
      </c>
    </row>
    <row r="219">
      <c r="C219" s="44" t="n"/>
      <c r="D219" s="57" t="n"/>
      <c r="E219" s="57" t="n"/>
      <c r="F219" s="24">
        <f>IFERROR((D219/E219)-1,0)</f>
        <v/>
      </c>
    </row>
    <row r="220">
      <c r="C220" s="44" t="n"/>
      <c r="D220" s="1" t="n"/>
      <c r="E220" s="1" t="n"/>
      <c r="F220" s="24">
        <f>IFERROR((D220/D217)-(E220/E217),0)</f>
        <v/>
      </c>
    </row>
    <row r="221">
      <c r="C221" s="44" t="n"/>
      <c r="D221" s="57" t="n"/>
      <c r="E221" s="57" t="n"/>
      <c r="F221" s="24">
        <f>IFERROR((D221/E221)-1,0)</f>
        <v/>
      </c>
    </row>
    <row r="222">
      <c r="B222" s="44" t="n"/>
      <c r="C222" s="44" t="n"/>
      <c r="D222" s="1" t="n"/>
      <c r="E222" s="1" t="n"/>
      <c r="F222" s="8" t="n"/>
    </row>
    <row r="223">
      <c r="C223" s="44" t="n"/>
      <c r="D223" s="1" t="n"/>
      <c r="E223" s="1" t="n"/>
      <c r="F223" s="24">
        <f>IFERROR((D223/D222)-(E223/E222),0)</f>
        <v/>
      </c>
    </row>
    <row r="224">
      <c r="C224" s="44" t="n"/>
      <c r="D224" s="57" t="n"/>
      <c r="E224" s="57" t="n"/>
      <c r="F224" s="24">
        <f>IFERROR((D224/E224)-1,0)</f>
        <v/>
      </c>
    </row>
    <row r="225">
      <c r="C225" s="44" t="n"/>
      <c r="D225" s="1" t="n"/>
      <c r="E225" s="1" t="n"/>
      <c r="F225" s="24">
        <f>IFERROR((D225/D222)-(E225/E222),0)</f>
        <v/>
      </c>
    </row>
    <row r="226">
      <c r="C226" s="44" t="n"/>
      <c r="D226" s="57" t="n"/>
      <c r="E226" s="57" t="n"/>
      <c r="F226" s="24">
        <f>IFERROR((D226/E226)-1,0)</f>
        <v/>
      </c>
    </row>
    <row r="227">
      <c r="B227" s="44" t="n"/>
      <c r="C227" s="44" t="n"/>
      <c r="D227" s="1" t="n"/>
      <c r="E227" s="1" t="n"/>
      <c r="F227" s="8" t="n"/>
    </row>
    <row r="228">
      <c r="C228" s="44" t="n"/>
      <c r="D228" s="1" t="n"/>
      <c r="E228" s="1" t="n"/>
      <c r="F228" s="24">
        <f>IFERROR((D228/D227)-(E228/E227),0)</f>
        <v/>
      </c>
    </row>
    <row r="229">
      <c r="C229" s="44" t="n"/>
      <c r="D229" s="57" t="n"/>
      <c r="E229" s="57" t="n"/>
      <c r="F229" s="24">
        <f>IFERROR((D229/E229)-1,0)</f>
        <v/>
      </c>
    </row>
    <row r="230">
      <c r="C230" s="44" t="n"/>
      <c r="D230" s="1" t="n"/>
      <c r="E230" s="1" t="n"/>
      <c r="F230" s="24">
        <f>IFERROR((D230/D227)-(E230/E227),0)</f>
        <v/>
      </c>
    </row>
    <row r="231">
      <c r="C231" s="44" t="n"/>
      <c r="D231" s="57" t="n"/>
      <c r="E231" s="57" t="n"/>
      <c r="F231" s="24">
        <f>IFERROR((D231/E231)-1,0)</f>
        <v/>
      </c>
    </row>
    <row r="232">
      <c r="B232" s="44" t="n"/>
      <c r="C232" s="44" t="n"/>
      <c r="D232" s="1" t="n"/>
      <c r="E232" s="1" t="n"/>
      <c r="F232" s="8" t="n"/>
    </row>
    <row r="233">
      <c r="C233" s="44" t="n"/>
      <c r="D233" s="1" t="n"/>
      <c r="E233" s="1" t="n"/>
      <c r="F233" s="24">
        <f>IFERROR((D233/D232)-(E233/E232),0)</f>
        <v/>
      </c>
    </row>
    <row r="234">
      <c r="C234" s="44" t="n"/>
      <c r="D234" s="57" t="n"/>
      <c r="E234" s="57" t="n"/>
      <c r="F234" s="24">
        <f>IFERROR((D234/E234)-1,0)</f>
        <v/>
      </c>
    </row>
    <row r="235">
      <c r="C235" s="44" t="n"/>
      <c r="D235" s="1" t="n"/>
      <c r="E235" s="1" t="n"/>
      <c r="F235" s="24">
        <f>IFERROR((D235/D232)-(E235/E232),0)</f>
        <v/>
      </c>
    </row>
    <row r="236">
      <c r="C236" s="44" t="n"/>
      <c r="D236" s="57" t="n"/>
      <c r="E236" s="57" t="n"/>
      <c r="F236" s="24">
        <f>IFERROR((D236/E236)-1,0)</f>
        <v/>
      </c>
    </row>
    <row r="237">
      <c r="B237" s="44" t="n"/>
      <c r="C237" s="44" t="n"/>
      <c r="D237" s="1" t="n"/>
      <c r="E237" s="1" t="n"/>
      <c r="F237" s="8" t="n"/>
    </row>
    <row r="238">
      <c r="C238" s="44" t="n"/>
      <c r="D238" s="1" t="n"/>
      <c r="E238" s="1" t="n"/>
      <c r="F238" s="24">
        <f>IFERROR((D238/D237)-(E238/E237),0)</f>
        <v/>
      </c>
    </row>
    <row r="239">
      <c r="C239" s="44" t="n"/>
      <c r="D239" s="57" t="n"/>
      <c r="E239" s="57" t="n"/>
      <c r="F239" s="24">
        <f>IFERROR((D239/E239)-1,0)</f>
        <v/>
      </c>
    </row>
    <row r="240">
      <c r="C240" s="44" t="n"/>
      <c r="D240" s="1" t="n"/>
      <c r="E240" s="1" t="n"/>
      <c r="F240" s="24">
        <f>IFERROR((D240/D237)-(E240/E237),0)</f>
        <v/>
      </c>
    </row>
    <row r="241">
      <c r="C241" s="44" t="n"/>
      <c r="D241" s="57" t="n"/>
      <c r="E241" s="57" t="n"/>
      <c r="F241" s="24">
        <f>IFERROR((D241/E241)-1,0)</f>
        <v/>
      </c>
    </row>
    <row r="242">
      <c r="B242" s="44" t="n"/>
      <c r="C242" s="44" t="n"/>
      <c r="D242" s="1" t="n"/>
      <c r="E242" s="1" t="n"/>
      <c r="F242" s="8" t="n"/>
    </row>
    <row r="243">
      <c r="C243" s="44" t="n"/>
      <c r="D243" s="1" t="n"/>
      <c r="E243" s="1" t="n"/>
      <c r="F243" s="24">
        <f>IFERROR((D243/D242)-(E243/E242),0)</f>
        <v/>
      </c>
    </row>
    <row r="244">
      <c r="C244" s="44" t="n"/>
      <c r="D244" s="57" t="n"/>
      <c r="E244" s="57" t="n"/>
      <c r="F244" s="24">
        <f>IFERROR((D244/E244)-1,0)</f>
        <v/>
      </c>
    </row>
    <row r="245">
      <c r="C245" s="44" t="n"/>
      <c r="D245" s="1" t="n"/>
      <c r="E245" s="1" t="n"/>
      <c r="F245" s="24">
        <f>IFERROR((D245/D242)-(E245/E242),0)</f>
        <v/>
      </c>
    </row>
    <row r="246">
      <c r="C246" s="44" t="n"/>
      <c r="D246" s="57" t="n"/>
      <c r="E246" s="57" t="n"/>
      <c r="F246" s="24">
        <f>IFERROR((D246/E246)-1,0)</f>
        <v/>
      </c>
    </row>
    <row r="247">
      <c r="B247" s="44" t="n"/>
      <c r="C247" s="44" t="n"/>
      <c r="D247" s="1" t="n"/>
      <c r="E247" s="1" t="n"/>
      <c r="F247" s="8" t="n"/>
    </row>
    <row r="248">
      <c r="C248" s="44" t="n"/>
      <c r="D248" s="1" t="n"/>
      <c r="E248" s="1" t="n"/>
      <c r="F248" s="24">
        <f>IFERROR((D248/D247)-(E248/E247),0)</f>
        <v/>
      </c>
    </row>
    <row r="249">
      <c r="C249" s="44" t="n"/>
      <c r="D249" s="57" t="n"/>
      <c r="E249" s="57" t="n"/>
      <c r="F249" s="24">
        <f>IFERROR((D249/E249)-1,0)</f>
        <v/>
      </c>
    </row>
    <row r="250">
      <c r="C250" s="44" t="n"/>
      <c r="D250" s="1" t="n"/>
      <c r="E250" s="1" t="n"/>
      <c r="F250" s="24">
        <f>IFERROR((D250/D247)-(E250/E247),0)</f>
        <v/>
      </c>
    </row>
    <row r="251">
      <c r="C251" s="44" t="n"/>
      <c r="D251" s="57" t="n"/>
      <c r="E251" s="57" t="n"/>
      <c r="F251" s="24">
        <f>IFERROR((D251/E251)-1,0)</f>
        <v/>
      </c>
    </row>
    <row r="252">
      <c r="B252" s="44" t="n"/>
      <c r="C252" s="44" t="n"/>
      <c r="D252" s="1" t="n"/>
      <c r="E252" s="1" t="n"/>
      <c r="F252" s="8" t="n"/>
    </row>
    <row r="253">
      <c r="C253" s="44" t="n"/>
      <c r="D253" s="1" t="n"/>
      <c r="E253" s="1" t="n"/>
      <c r="F253" s="24">
        <f>IFERROR((D253/D252)-(E253/E252),0)</f>
        <v/>
      </c>
    </row>
    <row r="254">
      <c r="C254" s="44" t="n"/>
      <c r="D254" s="57" t="n"/>
      <c r="E254" s="57" t="n"/>
      <c r="F254" s="24">
        <f>IFERROR((D254/E254)-1,0)</f>
        <v/>
      </c>
    </row>
    <row r="255">
      <c r="C255" s="44" t="n"/>
      <c r="D255" s="1" t="n"/>
      <c r="E255" s="1" t="n"/>
      <c r="F255" s="24">
        <f>IFERROR((D255/D252)-(E255/E252),0)</f>
        <v/>
      </c>
    </row>
    <row r="256">
      <c r="C256" s="44" t="n"/>
      <c r="D256" s="57" t="n"/>
      <c r="E256" s="57" t="n"/>
      <c r="F256" s="24">
        <f>IFERROR((D256/E256)-1,0)</f>
        <v/>
      </c>
    </row>
    <row r="257">
      <c r="B257" s="44" t="n"/>
      <c r="C257" s="44" t="n"/>
      <c r="D257" s="1" t="n"/>
      <c r="E257" s="1" t="n"/>
      <c r="F257" s="8" t="n"/>
    </row>
    <row r="258">
      <c r="C258" s="44" t="n"/>
      <c r="D258" s="1" t="n"/>
      <c r="E258" s="1" t="n"/>
      <c r="F258" s="24">
        <f>IFERROR((D258/D257)-(E258/E257),0)</f>
        <v/>
      </c>
    </row>
    <row r="259">
      <c r="C259" s="44" t="n"/>
      <c r="D259" s="57" t="n"/>
      <c r="E259" s="57" t="n"/>
      <c r="F259" s="24">
        <f>IFERROR((D259/E259)-1,0)</f>
        <v/>
      </c>
    </row>
    <row r="260">
      <c r="C260" s="44" t="n"/>
      <c r="D260" s="1" t="n"/>
      <c r="E260" s="1" t="n"/>
      <c r="F260" s="24">
        <f>IFERROR((D260/D257)-(E260/E257),0)</f>
        <v/>
      </c>
    </row>
    <row r="261">
      <c r="C261" s="44" t="n"/>
      <c r="D261" s="57" t="n"/>
      <c r="E261" s="57" t="n"/>
      <c r="F261" s="24">
        <f>IFERROR((D261/E261)-1,0)</f>
        <v/>
      </c>
    </row>
    <row r="262">
      <c r="B262" s="44" t="n"/>
      <c r="C262" s="44" t="n"/>
      <c r="D262" s="1" t="n"/>
      <c r="E262" s="1" t="n"/>
      <c r="F262" s="8" t="n"/>
    </row>
    <row r="263">
      <c r="C263" s="44" t="n"/>
      <c r="D263" s="1" t="n"/>
      <c r="E263" s="1" t="n"/>
      <c r="F263" s="24">
        <f>IFERROR((D263/D262)-(E263/E262),0)</f>
        <v/>
      </c>
    </row>
    <row r="264">
      <c r="C264" s="44" t="n"/>
      <c r="D264" s="57" t="n"/>
      <c r="E264" s="57" t="n"/>
      <c r="F264" s="24">
        <f>IFERROR((D264/E264)-1,0)</f>
        <v/>
      </c>
    </row>
    <row r="265">
      <c r="C265" s="44" t="n"/>
      <c r="D265" s="1" t="n"/>
      <c r="E265" s="1" t="n"/>
      <c r="F265" s="24">
        <f>IFERROR((D265/D262)-(E265/E262),0)</f>
        <v/>
      </c>
    </row>
    <row r="266">
      <c r="C266" s="44" t="n"/>
      <c r="D266" s="57" t="n"/>
      <c r="E266" s="57" t="n"/>
      <c r="F266" s="24">
        <f>IFERROR((D266/E266)-1,0)</f>
        <v/>
      </c>
    </row>
    <row r="267">
      <c r="B267" s="44" t="n"/>
      <c r="C267" s="44" t="n"/>
      <c r="D267" s="1" t="n"/>
      <c r="E267" s="1" t="n"/>
      <c r="F267" s="8" t="n"/>
    </row>
    <row r="268">
      <c r="C268" s="44" t="n"/>
      <c r="D268" s="1" t="n"/>
      <c r="E268" s="1" t="n"/>
      <c r="F268" s="24">
        <f>IFERROR((D268/D267)-(E268/E267),0)</f>
        <v/>
      </c>
    </row>
    <row r="269">
      <c r="C269" s="44" t="n"/>
      <c r="D269" s="57" t="n"/>
      <c r="E269" s="57" t="n"/>
      <c r="F269" s="24">
        <f>IFERROR((D269/E269)-1,0)</f>
        <v/>
      </c>
    </row>
    <row r="270">
      <c r="C270" s="44" t="n"/>
      <c r="D270" s="1" t="n"/>
      <c r="E270" s="1" t="n"/>
      <c r="F270" s="24">
        <f>IFERROR((D270/D267)-(E270/E267),0)</f>
        <v/>
      </c>
    </row>
    <row r="271">
      <c r="C271" s="44" t="n"/>
      <c r="D271" s="57" t="n"/>
      <c r="E271" s="57" t="n"/>
      <c r="F271" s="24">
        <f>IFERROR((D271/E271)-1,0)</f>
        <v/>
      </c>
    </row>
    <row r="272">
      <c r="B272" s="44" t="n"/>
      <c r="C272" s="44" t="n"/>
      <c r="D272" s="1" t="n"/>
      <c r="E272" s="1" t="n"/>
      <c r="F272" s="8" t="n"/>
    </row>
    <row r="273">
      <c r="C273" s="44" t="n"/>
      <c r="D273" s="1" t="n"/>
      <c r="E273" s="1" t="n"/>
      <c r="F273" s="24">
        <f>IFERROR((D273/D272)-(E273/E272),0)</f>
        <v/>
      </c>
    </row>
    <row r="274">
      <c r="C274" s="44" t="n"/>
      <c r="D274" s="57" t="n"/>
      <c r="E274" s="57" t="n"/>
      <c r="F274" s="24">
        <f>IFERROR((D274/E274)-1,0)</f>
        <v/>
      </c>
    </row>
    <row r="275">
      <c r="C275" s="44" t="n"/>
      <c r="D275" s="1" t="n"/>
      <c r="E275" s="1" t="n"/>
      <c r="F275" s="24">
        <f>IFERROR((D275/D272)-(E275/E272),0)</f>
        <v/>
      </c>
    </row>
    <row r="276">
      <c r="C276" s="44" t="n"/>
      <c r="D276" s="57" t="n"/>
      <c r="E276" s="57" t="n"/>
      <c r="F276" s="24">
        <f>IFERROR((D276/E276)-1,0)</f>
        <v/>
      </c>
    </row>
    <row r="277">
      <c r="B277" s="44" t="n"/>
      <c r="C277" s="44" t="n"/>
      <c r="D277" s="1" t="n"/>
      <c r="E277" s="1" t="n"/>
      <c r="F277" s="8" t="n"/>
    </row>
    <row r="278">
      <c r="C278" s="44" t="n"/>
      <c r="D278" s="1" t="n"/>
      <c r="E278" s="1" t="n"/>
      <c r="F278" s="24">
        <f>IFERROR((D278/D277)-(E278/E277),0)</f>
        <v/>
      </c>
    </row>
    <row r="279">
      <c r="C279" s="44" t="n"/>
      <c r="D279" s="57" t="n"/>
      <c r="E279" s="57" t="n"/>
      <c r="F279" s="24">
        <f>IFERROR((D279/E279)-1,0)</f>
        <v/>
      </c>
    </row>
    <row r="280">
      <c r="C280" s="44" t="n"/>
      <c r="D280" s="1" t="n"/>
      <c r="E280" s="1" t="n"/>
      <c r="F280" s="24">
        <f>IFERROR((D280/D277)-(E280/E277),0)</f>
        <v/>
      </c>
    </row>
    <row r="281">
      <c r="C281" s="44" t="n"/>
      <c r="D281" s="57" t="n"/>
      <c r="E281" s="57" t="n"/>
      <c r="F281" s="24">
        <f>IFERROR((D281/E281)-1,0)</f>
        <v/>
      </c>
    </row>
    <row r="282">
      <c r="B282" s="44" t="n"/>
      <c r="C282" s="44" t="n"/>
      <c r="D282" s="1" t="n"/>
      <c r="E282" s="1" t="n"/>
      <c r="F282" s="8" t="n"/>
    </row>
    <row r="283">
      <c r="C283" s="44" t="n"/>
      <c r="D283" s="1" t="n"/>
      <c r="E283" s="1" t="n"/>
      <c r="F283" s="24">
        <f>IFERROR((D283/D282)-(E283/E282),0)</f>
        <v/>
      </c>
    </row>
    <row r="284">
      <c r="C284" s="44" t="n"/>
      <c r="D284" s="57" t="n"/>
      <c r="E284" s="57" t="n"/>
      <c r="F284" s="24">
        <f>IFERROR((D284/E284)-1,0)</f>
        <v/>
      </c>
    </row>
    <row r="285">
      <c r="C285" s="44" t="n"/>
      <c r="D285" s="1" t="n"/>
      <c r="E285" s="1" t="n"/>
      <c r="F285" s="24">
        <f>IFERROR((D285/D282)-(E285/E282),0)</f>
        <v/>
      </c>
    </row>
    <row r="286">
      <c r="C286" s="44" t="n"/>
      <c r="D286" s="57" t="n"/>
      <c r="E286" s="57" t="n"/>
      <c r="F286" s="24">
        <f>IFERROR((D286/E286)-1,0)</f>
        <v/>
      </c>
    </row>
    <row r="287">
      <c r="F287" s="8" t="n"/>
    </row>
    <row r="288">
      <c r="F288" s="24">
        <f>IFERROR((D288/D287)-(E288/E287),0)</f>
        <v/>
      </c>
    </row>
    <row r="289">
      <c r="F289" s="24">
        <f>IFERROR((D289/E289)-1,0)</f>
        <v/>
      </c>
    </row>
    <row r="290">
      <c r="F290" s="24">
        <f>IFERROR((D290/D287)-(E290/E287),0)</f>
        <v/>
      </c>
    </row>
    <row r="291">
      <c r="F291" s="24">
        <f>IFERROR((D291/E291)-1,0)</f>
        <v/>
      </c>
    </row>
    <row r="292">
      <c r="F292" s="8" t="n"/>
    </row>
    <row r="293">
      <c r="F293" s="24">
        <f>IFERROR((D293/D292)-(E293/E292),0)</f>
        <v/>
      </c>
    </row>
    <row r="294">
      <c r="F294" s="24">
        <f>IFERROR((D294/E294)-1,0)</f>
        <v/>
      </c>
    </row>
    <row r="295">
      <c r="F295" s="24">
        <f>IFERROR((D295/D292)-(E295/E292),0)</f>
        <v/>
      </c>
    </row>
    <row r="296">
      <c r="F296" s="24">
        <f>IFERROR((D296/E296)-1,0)</f>
        <v/>
      </c>
    </row>
    <row r="297">
      <c r="F297" s="8" t="n"/>
    </row>
    <row r="298">
      <c r="F298" s="24">
        <f>IFERROR((D298/D297)-(E298/E297),0)</f>
        <v/>
      </c>
    </row>
    <row r="299">
      <c r="F299" s="24">
        <f>IFERROR((D299/E299)-1,0)</f>
        <v/>
      </c>
    </row>
    <row r="300">
      <c r="F300" s="24">
        <f>IFERROR((D300/D297)-(E300/E297),0)</f>
        <v/>
      </c>
    </row>
    <row r="301">
      <c r="F301" s="24">
        <f>IFERROR((D301/E301)-1,0)</f>
        <v/>
      </c>
    </row>
  </sheetData>
  <autoFilter ref="B1:F286">
    <filterColumn colId="1" hiddenButton="0" showButton="1">
      <filters>
        <filter val="Loans Rev Under $1m"/>
      </filters>
    </filterColumn>
  </autoFilter>
  <mergeCells count="58">
    <mergeCell ref="B157:B161"/>
    <mergeCell ref="B82:B86"/>
    <mergeCell ref="B147:B151"/>
    <mergeCell ref="B162:B166"/>
    <mergeCell ref="B267:B271"/>
    <mergeCell ref="B87:B91"/>
    <mergeCell ref="A12:A31"/>
    <mergeCell ref="B112:B116"/>
    <mergeCell ref="B187:B191"/>
    <mergeCell ref="B137:B141"/>
    <mergeCell ref="B37:B41"/>
    <mergeCell ref="B177:B181"/>
    <mergeCell ref="B192:B196"/>
    <mergeCell ref="B257:B261"/>
    <mergeCell ref="B217:B221"/>
    <mergeCell ref="B127:B131"/>
    <mergeCell ref="B92:B96"/>
    <mergeCell ref="B207:B211"/>
    <mergeCell ref="B197:B201"/>
    <mergeCell ref="B212:B216"/>
    <mergeCell ref="B222:B226"/>
    <mergeCell ref="B142:B146"/>
    <mergeCell ref="B7:B11"/>
    <mergeCell ref="B72:B76"/>
    <mergeCell ref="B252:B256"/>
    <mergeCell ref="B277:B281"/>
    <mergeCell ref="B97:B101"/>
    <mergeCell ref="B237:B241"/>
    <mergeCell ref="B62:B66"/>
    <mergeCell ref="B122:B126"/>
    <mergeCell ref="B227:B231"/>
    <mergeCell ref="B242:B246"/>
    <mergeCell ref="B47:B51"/>
    <mergeCell ref="B12:B16"/>
    <mergeCell ref="B22:B26"/>
    <mergeCell ref="A7:A11"/>
    <mergeCell ref="B202:B206"/>
    <mergeCell ref="B27:B31"/>
    <mergeCell ref="B102:B106"/>
    <mergeCell ref="B282:B286"/>
    <mergeCell ref="B232:B236"/>
    <mergeCell ref="B247:B251"/>
    <mergeCell ref="B167:B171"/>
    <mergeCell ref="B52:B56"/>
    <mergeCell ref="B67:B71"/>
    <mergeCell ref="A2:B6"/>
    <mergeCell ref="B17:B21"/>
    <mergeCell ref="B77:B81"/>
    <mergeCell ref="B57:B61"/>
    <mergeCell ref="B132:B136"/>
    <mergeCell ref="B152:B156"/>
    <mergeCell ref="B117:B121"/>
    <mergeCell ref="B272:B276"/>
    <mergeCell ref="B262:B266"/>
    <mergeCell ref="B42:B46"/>
    <mergeCell ref="B107:B111"/>
    <mergeCell ref="B182:B186"/>
    <mergeCell ref="B172:B17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38"/>
  <sheetViews>
    <sheetView workbookViewId="0">
      <selection activeCell="E14" sqref="E14"/>
    </sheetView>
  </sheetViews>
  <sheetFormatPr baseColWidth="8" defaultRowHeight="15" customHeight="1"/>
  <cols>
    <col width="15.7109375" bestFit="1" customWidth="1" style="47" min="1" max="1"/>
    <col width="36.5703125" bestFit="1" customWidth="1" style="47" min="2" max="2"/>
    <col width="21.42578125" customWidth="1" style="47" min="3" max="3"/>
    <col width="20" bestFit="1" customWidth="1" style="47" min="4" max="4"/>
    <col width="24.85546875" customWidth="1" style="47" min="5" max="5"/>
    <col width="15.42578125" customWidth="1" style="47" min="6" max="6"/>
  </cols>
  <sheetData>
    <row r="1">
      <c r="A1" s="46" t="inlineStr">
        <is>
          <t>State</t>
        </is>
      </c>
      <c r="B1" s="38" t="inlineStr">
        <is>
          <t>@PNC AA</t>
        </is>
      </c>
      <c r="C1" s="37" t="n"/>
      <c r="D1" s="46" t="inlineStr">
        <is>
          <t>PNC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Alabama</t>
        </is>
      </c>
      <c r="C2" s="46" t="inlineStr">
        <is>
          <t>Branches</t>
        </is>
      </c>
      <c r="D2" s="25" t="n">
        <v>1985</v>
      </c>
      <c r="E2" s="25" t="n">
        <v>28428</v>
      </c>
      <c r="F2" s="6" t="n"/>
    </row>
    <row r="3">
      <c r="C3" s="46" t="inlineStr">
        <is>
          <t>LMICT</t>
        </is>
      </c>
      <c r="D3" s="29" t="n">
        <v>0</v>
      </c>
      <c r="E3" s="29" t="n">
        <v>0</v>
      </c>
      <c r="F3" s="6">
        <f>IFERROR((D3/D2)-(E3/E2),0)</f>
        <v/>
      </c>
    </row>
    <row r="4">
      <c r="C4" s="46" t="inlineStr">
        <is>
          <t>MMCT</t>
        </is>
      </c>
      <c r="D4" s="29" t="n">
        <v>0</v>
      </c>
      <c r="E4" s="29" t="n">
        <v>0.1</v>
      </c>
      <c r="F4" s="6">
        <f>IFERROR((D4/D2)-(E4/E2),0)</f>
        <v/>
      </c>
    </row>
    <row r="5">
      <c r="A5" s="46" t="inlineStr">
        <is>
          <t>Alabama</t>
        </is>
      </c>
      <c r="B5" s="42" t="inlineStr">
        <is>
          <t>Alabama Non-MSA</t>
        </is>
      </c>
      <c r="C5" s="46" t="inlineStr">
        <is>
          <t>Branches</t>
        </is>
      </c>
      <c r="D5" s="58" t="n">
        <v>1</v>
      </c>
      <c r="E5" s="58" t="n">
        <v>10</v>
      </c>
      <c r="F5" s="6" t="n"/>
    </row>
    <row r="6">
      <c r="C6" s="46" t="inlineStr">
        <is>
          <t>LMICT</t>
        </is>
      </c>
      <c r="D6" s="29" t="n">
        <v>0.25</v>
      </c>
      <c r="E6" s="29" t="n">
        <v>0.05555555555555555</v>
      </c>
      <c r="F6" s="6">
        <f>IFERROR((D6/D5)-(E6/E5),0)</f>
        <v/>
      </c>
    </row>
    <row r="7">
      <c r="C7" s="46" t="inlineStr">
        <is>
          <t>MMCT</t>
        </is>
      </c>
      <c r="D7" s="29" t="n">
        <v>0.5</v>
      </c>
      <c r="E7" s="29" t="n">
        <v>0.4444444444444444</v>
      </c>
      <c r="F7" s="6">
        <f>IFERROR((D7/D5)-(E7/E5),0)</f>
        <v/>
      </c>
    </row>
    <row r="8">
      <c r="B8" s="42" t="inlineStr">
        <is>
          <t>Auburn-Opelika, AL</t>
        </is>
      </c>
      <c r="C8" s="46" t="inlineStr">
        <is>
          <t>Branches</t>
        </is>
      </c>
      <c r="D8" s="58" t="n">
        <v>4</v>
      </c>
      <c r="E8" s="58" t="n">
        <v>36</v>
      </c>
      <c r="F8" s="6" t="n"/>
    </row>
    <row r="9">
      <c r="C9" s="46" t="inlineStr">
        <is>
          <t>LMICT</t>
        </is>
      </c>
      <c r="D9" s="29" t="n">
        <v>0.375</v>
      </c>
      <c r="E9" s="29" t="n">
        <v>0.1725663716814159</v>
      </c>
      <c r="F9" s="6">
        <f>IFERROR((D9/D8)-(E9/E8),0)</f>
        <v/>
      </c>
    </row>
    <row r="10">
      <c r="C10" s="46" t="inlineStr">
        <is>
          <t>MMCT</t>
        </is>
      </c>
      <c r="D10" s="29" t="n">
        <v>0.375</v>
      </c>
      <c r="E10" s="29" t="n">
        <v>0.2300884955752212</v>
      </c>
      <c r="F10" s="6">
        <f>IFERROR((D10/D8)-(E10/E8),0)</f>
        <v/>
      </c>
    </row>
    <row r="11">
      <c r="B11" s="42" t="inlineStr">
        <is>
          <t>Birmingham-Hoover, AL</t>
        </is>
      </c>
      <c r="C11" s="46" t="inlineStr">
        <is>
          <t>Branches</t>
        </is>
      </c>
      <c r="D11" s="58" t="n">
        <v>24</v>
      </c>
      <c r="E11" s="58" t="n">
        <v>226</v>
      </c>
      <c r="F11" s="6" t="n"/>
    </row>
    <row r="12">
      <c r="C12" s="46" t="inlineStr">
        <is>
          <t>LMICT</t>
        </is>
      </c>
      <c r="D12" s="29" t="n">
        <v>0</v>
      </c>
      <c r="E12" s="29" t="n">
        <v>0.1298701298701299</v>
      </c>
      <c r="F12" s="6">
        <f>IFERROR((D12/D11)-(E12/E11),0)</f>
        <v/>
      </c>
    </row>
    <row r="13">
      <c r="C13" s="46" t="inlineStr">
        <is>
          <t>MMCT</t>
        </is>
      </c>
      <c r="D13" s="29" t="n">
        <v>0</v>
      </c>
      <c r="E13" s="29" t="n">
        <v>0</v>
      </c>
      <c r="F13" s="6">
        <f>IFERROR((D13/D11)-(E13/E11),0)</f>
        <v/>
      </c>
    </row>
    <row r="14">
      <c r="B14" s="42" t="inlineStr">
        <is>
          <t>Daphne-Fairhope-Foley, AL</t>
        </is>
      </c>
      <c r="C14" s="46" t="inlineStr">
        <is>
          <t>Branches</t>
        </is>
      </c>
      <c r="D14" s="58" t="n">
        <v>8</v>
      </c>
      <c r="E14" s="58" t="n">
        <v>77</v>
      </c>
      <c r="F14" s="6" t="n"/>
    </row>
    <row r="15">
      <c r="C15" s="46" t="inlineStr">
        <is>
          <t>LMICT</t>
        </is>
      </c>
      <c r="D15" s="29" t="n">
        <v>0</v>
      </c>
      <c r="E15" s="29" t="n">
        <v>0.1481481481481481</v>
      </c>
      <c r="F15" s="6">
        <f>IFERROR((D15/D14)-(E15/E14),0)</f>
        <v/>
      </c>
    </row>
    <row r="16">
      <c r="C16" s="46" t="inlineStr">
        <is>
          <t>MMCT</t>
        </is>
      </c>
      <c r="D16" s="29" t="n">
        <v>0</v>
      </c>
      <c r="E16" s="29" t="n">
        <v>0.1481481481481481</v>
      </c>
      <c r="F16" s="6">
        <f>IFERROR((D16/D14)-(E16/E14),0)</f>
        <v/>
      </c>
    </row>
    <row r="17">
      <c r="B17" s="42" t="inlineStr">
        <is>
          <t>Decatur, AL</t>
        </is>
      </c>
      <c r="C17" s="46" t="inlineStr">
        <is>
          <t>Branches</t>
        </is>
      </c>
      <c r="D17" s="58" t="n">
        <v>3</v>
      </c>
      <c r="E17" s="58" t="n">
        <v>27</v>
      </c>
      <c r="F17" s="6" t="n"/>
    </row>
    <row r="18">
      <c r="C18" s="46" t="inlineStr">
        <is>
          <t>LMICT</t>
        </is>
      </c>
      <c r="D18" s="29" t="n">
        <v>0.375</v>
      </c>
      <c r="E18" s="29" t="n">
        <v>0.2363636363636364</v>
      </c>
      <c r="F18" s="6">
        <f>IFERROR((D18/D17)-(E18/E17),0)</f>
        <v/>
      </c>
    </row>
    <row r="19">
      <c r="C19" s="46" t="inlineStr">
        <is>
          <t>MMCT</t>
        </is>
      </c>
      <c r="D19" s="29" t="n">
        <v>0.125</v>
      </c>
      <c r="E19" s="29" t="n">
        <v>0.1454545454545454</v>
      </c>
      <c r="F19" s="6">
        <f>IFERROR((D19/D17)-(E19/E17),0)</f>
        <v/>
      </c>
    </row>
    <row r="20">
      <c r="B20" s="42" t="inlineStr">
        <is>
          <t>Huntsville, AL</t>
        </is>
      </c>
      <c r="C20" s="46" t="inlineStr">
        <is>
          <t>Branches</t>
        </is>
      </c>
      <c r="D20" s="58" t="n">
        <v>8</v>
      </c>
      <c r="E20" s="58" t="n">
        <v>110</v>
      </c>
      <c r="F20" s="6" t="n"/>
    </row>
    <row r="21">
      <c r="C21" s="46" t="inlineStr">
        <is>
          <t>LMICT</t>
        </is>
      </c>
      <c r="D21" s="29" t="n">
        <v>0.4285714285714285</v>
      </c>
      <c r="E21" s="29" t="n">
        <v>0.2527472527472527</v>
      </c>
      <c r="F21" s="6">
        <f>IFERROR((D21/D20)-(E21/E20),0)</f>
        <v/>
      </c>
    </row>
    <row r="22">
      <c r="C22" s="46" t="inlineStr">
        <is>
          <t>MMCT</t>
        </is>
      </c>
      <c r="D22" s="29" t="n">
        <v>0.2142857142857143</v>
      </c>
      <c r="E22" s="29" t="n">
        <v>0.1648351648351648</v>
      </c>
      <c r="F22" s="6">
        <f>IFERROR((D22/D20)-(E22/E20),0)</f>
        <v/>
      </c>
    </row>
    <row r="23">
      <c r="B23" s="42" t="inlineStr">
        <is>
          <t>Mobile, AL</t>
        </is>
      </c>
      <c r="C23" s="46" t="inlineStr">
        <is>
          <t>Branches</t>
        </is>
      </c>
      <c r="D23" s="58" t="n">
        <v>14</v>
      </c>
      <c r="E23" s="58" t="n">
        <v>91</v>
      </c>
      <c r="F23" s="6" t="n"/>
    </row>
    <row r="24">
      <c r="C24" s="46" t="inlineStr">
        <is>
          <t>LMICT</t>
        </is>
      </c>
      <c r="D24" s="29" t="n">
        <v>0.2857142857142857</v>
      </c>
      <c r="E24" s="29" t="n">
        <v>0.1728395061728395</v>
      </c>
      <c r="F24" s="6">
        <f>IFERROR((D24/D23)-(E24/E23),0)</f>
        <v/>
      </c>
    </row>
    <row r="25">
      <c r="C25" s="46" t="inlineStr">
        <is>
          <t>MMCT</t>
        </is>
      </c>
      <c r="D25" s="29" t="n">
        <v>0.4285714285714285</v>
      </c>
      <c r="E25" s="29" t="n">
        <v>0.382716049382716</v>
      </c>
      <c r="F25" s="6">
        <f>IFERROR((D25/D23)-(E25/E23),0)</f>
        <v/>
      </c>
    </row>
    <row r="26">
      <c r="B26" s="42" t="inlineStr">
        <is>
          <t>Montgomery, AL</t>
        </is>
      </c>
      <c r="C26" s="46" t="inlineStr">
        <is>
          <t>Branches</t>
        </is>
      </c>
      <c r="D26" s="58" t="n">
        <v>7</v>
      </c>
      <c r="E26" s="58" t="n">
        <v>81</v>
      </c>
      <c r="F26" s="6" t="n"/>
    </row>
    <row r="27">
      <c r="C27" s="46" t="inlineStr">
        <is>
          <t>LMICT</t>
        </is>
      </c>
      <c r="D27" s="29" t="n">
        <v>0</v>
      </c>
      <c r="E27" s="29" t="n">
        <v>0.5714285714285714</v>
      </c>
      <c r="F27" s="6">
        <f>IFERROR((D27/D26)-(E27/E26),0)</f>
        <v/>
      </c>
    </row>
    <row r="28">
      <c r="C28" s="46" t="inlineStr">
        <is>
          <t>MMCT</t>
        </is>
      </c>
      <c r="D28" s="29" t="n">
        <v>1</v>
      </c>
      <c r="E28" s="29" t="n">
        <v>1</v>
      </c>
      <c r="F28" s="6">
        <f>IFERROR((D28/D26)-(E28/E26),0)</f>
        <v/>
      </c>
    </row>
    <row r="29">
      <c r="B29" s="42" t="inlineStr">
        <is>
          <t>Alabama Non-MSA</t>
        </is>
      </c>
      <c r="C29" s="46" t="inlineStr">
        <is>
          <t>Branches</t>
        </is>
      </c>
      <c r="D29" s="58" t="n">
        <v>1</v>
      </c>
      <c r="E29" s="58" t="n">
        <v>7</v>
      </c>
      <c r="F29" s="6" t="n"/>
    </row>
    <row r="30">
      <c r="C30" s="46" t="inlineStr">
        <is>
          <t>LMICT</t>
        </is>
      </c>
      <c r="D30" s="29" t="n">
        <v>0</v>
      </c>
      <c r="E30" s="29" t="n">
        <v>0.4666666666666666</v>
      </c>
      <c r="F30" s="6">
        <f>IFERROR((D30/D29)-(E30/E29),0)</f>
        <v/>
      </c>
    </row>
    <row r="31">
      <c r="C31" s="46" t="inlineStr">
        <is>
          <t>MMCT</t>
        </is>
      </c>
      <c r="D31" s="29" t="n">
        <v>0</v>
      </c>
      <c r="E31" s="29" t="n">
        <v>0</v>
      </c>
      <c r="F31" s="6">
        <f>IFERROR((D31/D29)-(E31/E29),0)</f>
        <v/>
      </c>
    </row>
    <row r="32">
      <c r="A32" s="46" t="inlineStr">
        <is>
          <t>Arizona</t>
        </is>
      </c>
      <c r="B32" s="42" t="inlineStr">
        <is>
          <t>Alabama Non-MSA</t>
        </is>
      </c>
      <c r="C32" s="46" t="inlineStr">
        <is>
          <t>Branches</t>
        </is>
      </c>
      <c r="D32" s="58" t="n">
        <v>1</v>
      </c>
      <c r="E32" s="58" t="n">
        <v>15</v>
      </c>
      <c r="F32" s="6" t="n"/>
    </row>
    <row r="33">
      <c r="C33" s="46" t="inlineStr">
        <is>
          <t>LMICT</t>
        </is>
      </c>
      <c r="D33" s="29" t="n">
        <v>0</v>
      </c>
      <c r="E33" s="29" t="n">
        <v>0.08888888888888889</v>
      </c>
      <c r="F33" s="6">
        <f>IFERROR((D33/D32)-(E33/E32),0)</f>
        <v/>
      </c>
    </row>
    <row r="34">
      <c r="C34" s="46" t="inlineStr">
        <is>
          <t>MMCT</t>
        </is>
      </c>
      <c r="D34" s="29" t="n">
        <v>0</v>
      </c>
      <c r="E34" s="29" t="n">
        <v>0.4888888888888889</v>
      </c>
      <c r="F34" s="6">
        <f>IFERROR((D34/D32)-(E34/E32),0)</f>
        <v/>
      </c>
    </row>
    <row r="35">
      <c r="A35" s="46" t="inlineStr">
        <is>
          <t>Arizona</t>
        </is>
      </c>
      <c r="B35" s="42" t="inlineStr">
        <is>
          <t>Tuscaloosa, AL</t>
        </is>
      </c>
      <c r="C35" s="46" t="inlineStr">
        <is>
          <t>Branches</t>
        </is>
      </c>
      <c r="D35" s="58" t="n">
        <v>3</v>
      </c>
      <c r="E35" s="58" t="n">
        <v>45</v>
      </c>
      <c r="F35" s="6" t="n"/>
    </row>
    <row r="36">
      <c r="C36" s="46" t="inlineStr">
        <is>
          <t>LMICT</t>
        </is>
      </c>
      <c r="D36" s="29" t="n">
        <v>0.2051282051282051</v>
      </c>
      <c r="E36" s="29" t="n">
        <v>0.2091836734693878</v>
      </c>
      <c r="F36" s="6">
        <f>IFERROR((D36/D35)-(E36/E35),0)</f>
        <v/>
      </c>
    </row>
    <row r="37">
      <c r="C37" s="46" t="inlineStr">
        <is>
          <t>MMCT</t>
        </is>
      </c>
      <c r="D37" s="29" t="n">
        <v>0.1794871794871795</v>
      </c>
      <c r="E37" s="29" t="n">
        <v>0.2193877551020408</v>
      </c>
      <c r="F37" s="6">
        <f>IFERROR((D37/D35)-(E37/E35),0)</f>
        <v/>
      </c>
    </row>
    <row r="38">
      <c r="A38" s="46" t="inlineStr">
        <is>
          <t>Carolina</t>
        </is>
      </c>
      <c r="B38" s="42" t="inlineStr">
        <is>
          <t>Phoenix-Mesa-Chandler, AZ</t>
        </is>
      </c>
      <c r="C38" s="46" t="inlineStr">
        <is>
          <t>Branches</t>
        </is>
      </c>
      <c r="D38" s="58" t="n">
        <v>39</v>
      </c>
      <c r="E38" s="58" t="n">
        <v>588</v>
      </c>
      <c r="F38" s="6" t="n"/>
    </row>
    <row r="39">
      <c r="C39" s="46" t="inlineStr">
        <is>
          <t>LMICT</t>
        </is>
      </c>
      <c r="D39" s="29" t="n">
        <v>0.5</v>
      </c>
      <c r="E39" s="29" t="n">
        <v>0.2784810126582278</v>
      </c>
      <c r="F39" s="6">
        <f>IFERROR((D39/D38)-(E39/E38),0)</f>
        <v/>
      </c>
    </row>
    <row r="40">
      <c r="C40" s="46" t="inlineStr">
        <is>
          <t>MMCT</t>
        </is>
      </c>
      <c r="D40" s="29" t="n">
        <v>0</v>
      </c>
      <c r="E40" s="29" t="n">
        <v>0.02531645569620253</v>
      </c>
      <c r="F40" s="6">
        <f>IFERROR((D40/D38)-(E40/E38),0)</f>
        <v/>
      </c>
    </row>
    <row r="41">
      <c r="B41" s="42" t="inlineStr">
        <is>
          <t>Asheville, NC</t>
        </is>
      </c>
      <c r="C41" s="46" t="inlineStr">
        <is>
          <t>Branches</t>
        </is>
      </c>
      <c r="D41" s="58" t="n">
        <v>4</v>
      </c>
      <c r="E41" s="58" t="n">
        <v>79</v>
      </c>
      <c r="F41" s="6" t="n"/>
    </row>
    <row r="42">
      <c r="C42" s="46" t="inlineStr">
        <is>
          <t>LMICT</t>
        </is>
      </c>
      <c r="D42" s="29" t="n">
        <v>0</v>
      </c>
      <c r="E42" s="29" t="n">
        <v>0</v>
      </c>
      <c r="F42" s="6">
        <f>IFERROR((D42/D41)-(E42/E41),0)</f>
        <v/>
      </c>
    </row>
    <row r="43">
      <c r="C43" s="46" t="inlineStr">
        <is>
          <t>MMCT</t>
        </is>
      </c>
      <c r="D43" s="29" t="n">
        <v>0</v>
      </c>
      <c r="E43" s="29" t="n">
        <v>0</v>
      </c>
      <c r="F43" s="6">
        <f>IFERROR((D43/D41)-(E43/E41),0)</f>
        <v/>
      </c>
    </row>
    <row r="44">
      <c r="B44" s="42" t="inlineStr">
        <is>
          <t>Carolina Non-MSA</t>
        </is>
      </c>
      <c r="C44" s="46" t="inlineStr">
        <is>
          <t>Branches</t>
        </is>
      </c>
      <c r="D44" s="58" t="n">
        <v>1</v>
      </c>
      <c r="E44" s="58" t="n">
        <v>15</v>
      </c>
      <c r="F44" s="6" t="n"/>
    </row>
    <row r="45">
      <c r="C45" s="46" t="inlineStr">
        <is>
          <t>LMICT</t>
        </is>
      </c>
      <c r="D45" s="29" t="n">
        <v>0</v>
      </c>
      <c r="E45" s="29" t="n">
        <v>0</v>
      </c>
      <c r="F45" s="6">
        <f>IFERROR((D45/D44)-(E45/E44),0)</f>
        <v/>
      </c>
    </row>
    <row r="46">
      <c r="C46" s="46" t="inlineStr">
        <is>
          <t>MMCT</t>
        </is>
      </c>
      <c r="D46" s="29" t="n">
        <v>0</v>
      </c>
      <c r="E46" s="29" t="n">
        <v>0</v>
      </c>
      <c r="F46" s="6">
        <f>IFERROR((D46/D44)-(E46/E44),0)</f>
        <v/>
      </c>
    </row>
    <row r="47">
      <c r="A47" s="46" t="inlineStr">
        <is>
          <t>District of Columbia</t>
        </is>
      </c>
      <c r="B47" s="42" t="inlineStr">
        <is>
          <t>Carolina Non-MSA</t>
        </is>
      </c>
      <c r="C47" s="46" t="inlineStr">
        <is>
          <t>Branches</t>
        </is>
      </c>
      <c r="D47" s="58" t="n">
        <v>0</v>
      </c>
      <c r="E47" s="58" t="n">
        <v>7</v>
      </c>
      <c r="F47" s="6" t="n"/>
    </row>
    <row r="48">
      <c r="C48" s="46" t="inlineStr">
        <is>
          <t>LMICT</t>
        </is>
      </c>
      <c r="D48" s="29" t="n">
        <v>0</v>
      </c>
      <c r="E48" s="29" t="n">
        <v>0.1851851851851852</v>
      </c>
      <c r="F48" s="6">
        <f>IFERROR((D48/D47)-(E48/E47),0)</f>
        <v/>
      </c>
    </row>
    <row r="49">
      <c r="C49" s="46" t="inlineStr">
        <is>
          <t>MMCT</t>
        </is>
      </c>
      <c r="D49" s="29" t="n">
        <v>0</v>
      </c>
      <c r="E49" s="29" t="n">
        <v>0.07407407407407407</v>
      </c>
      <c r="F49" s="6">
        <f>IFERROR((D49/D47)-(E49/E47),0)</f>
        <v/>
      </c>
    </row>
    <row r="50">
      <c r="A50" s="46" t="inlineStr">
        <is>
          <t>Florida</t>
        </is>
      </c>
      <c r="B50" s="42" t="inlineStr">
        <is>
          <t>Burlington, NC</t>
        </is>
      </c>
      <c r="C50" s="46" t="inlineStr">
        <is>
          <t>Branches</t>
        </is>
      </c>
      <c r="D50" s="58" t="n">
        <v>1</v>
      </c>
      <c r="E50" s="58" t="n">
        <v>27</v>
      </c>
      <c r="F50" s="6" t="n"/>
    </row>
    <row r="51">
      <c r="C51" s="46" t="inlineStr">
        <is>
          <t>LMICT</t>
        </is>
      </c>
      <c r="D51" s="29" t="n">
        <v>0</v>
      </c>
      <c r="E51" s="29" t="n">
        <v>0.2248062015503876</v>
      </c>
      <c r="F51" s="6">
        <f>IFERROR((D51/D50)-(E51/E50),0)</f>
        <v/>
      </c>
    </row>
    <row r="52">
      <c r="C52" s="46" t="inlineStr">
        <is>
          <t>MMCT</t>
        </is>
      </c>
      <c r="D52" s="29" t="n">
        <v>0</v>
      </c>
      <c r="E52" s="29" t="n">
        <v>0.248062015503876</v>
      </c>
      <c r="F52" s="6">
        <f>IFERROR((D52/D50)-(E52/E50),0)</f>
        <v/>
      </c>
    </row>
    <row r="53">
      <c r="B53" s="42" t="inlineStr">
        <is>
          <t>Charleston-North Charleston, SC</t>
        </is>
      </c>
      <c r="C53" s="46" t="inlineStr">
        <is>
          <t>Branches</t>
        </is>
      </c>
      <c r="D53" s="58" t="n">
        <v>2</v>
      </c>
      <c r="E53" s="58" t="n">
        <v>129</v>
      </c>
      <c r="F53" s="6" t="n"/>
    </row>
    <row r="54">
      <c r="C54" s="46" t="inlineStr">
        <is>
          <t>LMICT</t>
        </is>
      </c>
      <c r="D54" s="29" t="n">
        <v>0.2142857142857143</v>
      </c>
      <c r="E54" s="29" t="n">
        <v>0.3061224489795918</v>
      </c>
      <c r="F54" s="6">
        <f>IFERROR((D54/D53)-(E54/E53),0)</f>
        <v/>
      </c>
    </row>
    <row r="55">
      <c r="C55" s="46" t="inlineStr">
        <is>
          <t>MMCT</t>
        </is>
      </c>
      <c r="D55" s="29" t="n">
        <v>0.1428571428571428</v>
      </c>
      <c r="E55" s="29" t="n">
        <v>0.2704081632653061</v>
      </c>
      <c r="F55" s="6">
        <f>IFERROR((D55/D53)-(E55/E53),0)</f>
        <v/>
      </c>
    </row>
    <row r="56">
      <c r="B56" s="42" t="inlineStr">
        <is>
          <t>Charlotte-Concord-Gastonia, NC-SC</t>
        </is>
      </c>
      <c r="C56" s="46" t="inlineStr">
        <is>
          <t>Branches</t>
        </is>
      </c>
      <c r="D56" s="58" t="n">
        <v>14</v>
      </c>
      <c r="E56" s="58" t="n">
        <v>392</v>
      </c>
      <c r="F56" s="6" t="n"/>
    </row>
    <row r="57">
      <c r="C57" s="46" t="inlineStr">
        <is>
          <t>LMICT</t>
        </is>
      </c>
      <c r="D57" s="29" t="n">
        <v>0</v>
      </c>
      <c r="E57" s="29" t="n">
        <v>0.2467532467532468</v>
      </c>
      <c r="F57" s="6">
        <f>IFERROR((D57/D56)-(E57/E56),0)</f>
        <v/>
      </c>
    </row>
    <row r="58">
      <c r="C58" s="46" t="inlineStr">
        <is>
          <t>MMCT</t>
        </is>
      </c>
      <c r="D58" s="29" t="n">
        <v>0</v>
      </c>
      <c r="E58" s="29" t="n">
        <v>0.3506493506493507</v>
      </c>
      <c r="F58" s="6">
        <f>IFERROR((D58/D56)-(E58/E56),0)</f>
        <v/>
      </c>
    </row>
    <row r="59">
      <c r="B59" s="42" t="inlineStr">
        <is>
          <t>Columbia, SC</t>
        </is>
      </c>
      <c r="C59" s="46" t="inlineStr">
        <is>
          <t>Branches</t>
        </is>
      </c>
      <c r="D59" s="58" t="n">
        <v>1</v>
      </c>
      <c r="E59" s="58" t="n">
        <v>77</v>
      </c>
      <c r="F59" s="6" t="n"/>
    </row>
    <row r="60">
      <c r="C60" s="46" t="inlineStr">
        <is>
          <t>LMICT</t>
        </is>
      </c>
      <c r="D60" s="29" t="n">
        <v>0.2222222222222222</v>
      </c>
      <c r="E60" s="29" t="n">
        <v>0.2134831460674157</v>
      </c>
      <c r="F60" s="6">
        <f>IFERROR((D60/D59)-(E60/E59),0)</f>
        <v/>
      </c>
    </row>
    <row r="61">
      <c r="C61" s="46" t="inlineStr">
        <is>
          <t>MMCT</t>
        </is>
      </c>
      <c r="D61" s="29" t="n">
        <v>0.6666666666666665</v>
      </c>
      <c r="E61" s="29" t="n">
        <v>0.5730337078651685</v>
      </c>
      <c r="F61" s="6">
        <f>IFERROR((D61/D59)-(E61/E59),0)</f>
        <v/>
      </c>
    </row>
    <row r="62">
      <c r="B62" s="42" t="inlineStr">
        <is>
          <t>Durham-Chapel Hill, NC</t>
        </is>
      </c>
      <c r="C62" s="46" t="inlineStr">
        <is>
          <t>Branches</t>
        </is>
      </c>
      <c r="D62" s="58" t="n">
        <v>9</v>
      </c>
      <c r="E62" s="58" t="n">
        <v>89</v>
      </c>
      <c r="F62" s="6" t="n"/>
    </row>
    <row r="63">
      <c r="C63" s="46" t="inlineStr">
        <is>
          <t>LMICT</t>
        </is>
      </c>
      <c r="D63" s="29" t="n">
        <v>0.5</v>
      </c>
      <c r="E63" s="29" t="n">
        <v>0.1818181818181818</v>
      </c>
      <c r="F63" s="6">
        <f>IFERROR((D63/D62)-(E63/E62),0)</f>
        <v/>
      </c>
    </row>
    <row r="64">
      <c r="C64" s="46" t="inlineStr">
        <is>
          <t>MMCT</t>
        </is>
      </c>
      <c r="D64" s="29" t="n">
        <v>0.5</v>
      </c>
      <c r="E64" s="29" t="n">
        <v>0.5454545454545454</v>
      </c>
      <c r="F64" s="6">
        <f>IFERROR((D64/D62)-(E64/E62),0)</f>
        <v/>
      </c>
    </row>
    <row r="65">
      <c r="B65" s="42" t="inlineStr">
        <is>
          <t>Carolina Non-MSA</t>
        </is>
      </c>
      <c r="C65" s="46" t="inlineStr">
        <is>
          <t>Branches</t>
        </is>
      </c>
      <c r="D65" s="58" t="n">
        <v>2</v>
      </c>
      <c r="E65" s="58" t="n">
        <v>11</v>
      </c>
      <c r="F65" s="6" t="n"/>
    </row>
    <row r="66">
      <c r="C66" s="46" t="inlineStr">
        <is>
          <t>LMICT</t>
        </is>
      </c>
      <c r="D66" s="29" t="n">
        <v>0.1666666666666666</v>
      </c>
      <c r="E66" s="29" t="n">
        <v>0.1147540983606557</v>
      </c>
      <c r="F66" s="6">
        <f>IFERROR((D66/D65)-(E66/E65),0)</f>
        <v/>
      </c>
    </row>
    <row r="67">
      <c r="C67" s="46" t="inlineStr">
        <is>
          <t>MMCT</t>
        </is>
      </c>
      <c r="D67" s="29" t="n">
        <v>0.6666666666666665</v>
      </c>
      <c r="E67" s="29" t="n">
        <v>0.5409836065573771</v>
      </c>
      <c r="F67" s="6">
        <f>IFERROR((D67/D65)-(E67/E65),0)</f>
        <v/>
      </c>
    </row>
    <row r="68">
      <c r="B68" s="42" t="inlineStr">
        <is>
          <t>Fayetteville, NC</t>
        </is>
      </c>
      <c r="C68" s="46" t="inlineStr">
        <is>
          <t>Branches</t>
        </is>
      </c>
      <c r="D68" s="58" t="n">
        <v>6</v>
      </c>
      <c r="E68" s="58" t="n">
        <v>61</v>
      </c>
      <c r="F68" s="6" t="n"/>
    </row>
    <row r="69">
      <c r="C69" s="46" t="inlineStr">
        <is>
          <t>LMICT</t>
        </is>
      </c>
      <c r="D69" s="29" t="n">
        <v>0</v>
      </c>
      <c r="E69" s="29" t="n">
        <v>0</v>
      </c>
      <c r="F69" s="6">
        <f>IFERROR((D69/D68)-(E69/E68),0)</f>
        <v/>
      </c>
    </row>
    <row r="70">
      <c r="C70" s="46" t="inlineStr">
        <is>
          <t>MMCT</t>
        </is>
      </c>
      <c r="D70" s="29" t="n">
        <v>0</v>
      </c>
      <c r="E70" s="29" t="n">
        <v>0.3513513513513514</v>
      </c>
      <c r="F70" s="6">
        <f>IFERROR((D70/D68)-(E70/E68),0)</f>
        <v/>
      </c>
    </row>
    <row r="71">
      <c r="B71" s="42" t="inlineStr">
        <is>
          <t>Florence, SC</t>
        </is>
      </c>
      <c r="C71" s="46" t="inlineStr">
        <is>
          <t>Branches</t>
        </is>
      </c>
      <c r="D71" s="58" t="n">
        <v>1</v>
      </c>
      <c r="E71" s="58" t="n">
        <v>37</v>
      </c>
      <c r="F71" s="6" t="n"/>
    </row>
    <row r="72">
      <c r="C72" s="46" t="inlineStr">
        <is>
          <t>LMICT</t>
        </is>
      </c>
      <c r="D72" s="29" t="n">
        <v>0</v>
      </c>
      <c r="E72" s="29" t="n">
        <v>0.4444444444444444</v>
      </c>
      <c r="F72" s="6">
        <f>IFERROR((D72/D71)-(E72/E71),0)</f>
        <v/>
      </c>
    </row>
    <row r="73">
      <c r="C73" s="46" t="inlineStr">
        <is>
          <t>MMCT</t>
        </is>
      </c>
      <c r="D73" s="29" t="n">
        <v>0</v>
      </c>
      <c r="E73" s="29" t="n">
        <v>0</v>
      </c>
      <c r="F73" s="6">
        <f>IFERROR((D73/D71)-(E73/E71),0)</f>
        <v/>
      </c>
    </row>
    <row r="74">
      <c r="B74" s="42" t="inlineStr">
        <is>
          <t>Carolina Non-MSA</t>
        </is>
      </c>
      <c r="C74" s="46" t="inlineStr">
        <is>
          <t>Branches</t>
        </is>
      </c>
      <c r="D74" s="58" t="n">
        <v>1</v>
      </c>
      <c r="E74" s="58" t="n">
        <v>9</v>
      </c>
    </row>
    <row r="75">
      <c r="C75" s="46" t="inlineStr">
        <is>
          <t>LMICT</t>
        </is>
      </c>
      <c r="D75" s="29" t="n">
        <v>0</v>
      </c>
      <c r="E75" s="29" t="n">
        <v>0.08695652173913043</v>
      </c>
      <c r="F75" s="31">
        <f>IFERROR(D75-E75,0)</f>
        <v/>
      </c>
    </row>
    <row r="76">
      <c r="C76" s="46" t="inlineStr">
        <is>
          <t>MMCT</t>
        </is>
      </c>
      <c r="D76" s="29" t="n">
        <v>0</v>
      </c>
      <c r="E76" s="29" t="n">
        <v>0.08695652173913043</v>
      </c>
      <c r="F76" s="31">
        <f>IFERROR(D76-E76,0)</f>
        <v/>
      </c>
    </row>
    <row r="77">
      <c r="B77" s="42" t="inlineStr">
        <is>
          <t>South Carolina Non-MSA</t>
        </is>
      </c>
      <c r="C77" s="46" t="inlineStr">
        <is>
          <t>Branches</t>
        </is>
      </c>
      <c r="D77" s="58" t="n">
        <v>0</v>
      </c>
      <c r="E77" s="58" t="n">
        <v>23</v>
      </c>
    </row>
    <row r="78">
      <c r="C78" s="46" t="inlineStr">
        <is>
          <t>LMICT</t>
        </is>
      </c>
      <c r="D78" s="29" t="n">
        <v>0</v>
      </c>
      <c r="E78" s="29" t="n">
        <v>0.3809523809523809</v>
      </c>
      <c r="F78" s="31">
        <f>IFERROR(D78-E78,0)</f>
        <v/>
      </c>
    </row>
    <row r="79">
      <c r="C79" s="46" t="inlineStr">
        <is>
          <t>MMCT</t>
        </is>
      </c>
      <c r="D79" s="29" t="n">
        <v>1</v>
      </c>
      <c r="E79" s="29" t="n">
        <v>0.7619047619047619</v>
      </c>
      <c r="F79" s="31">
        <f>IFERROR(D79-E79,0)</f>
        <v/>
      </c>
    </row>
    <row r="80">
      <c r="B80" s="42" t="inlineStr">
        <is>
          <t>Goldsboro, NC</t>
        </is>
      </c>
      <c r="C80" s="46" t="inlineStr">
        <is>
          <t>Branches</t>
        </is>
      </c>
      <c r="D80" s="58" t="n">
        <v>1</v>
      </c>
      <c r="E80" s="58" t="n">
        <v>21</v>
      </c>
    </row>
    <row r="81">
      <c r="C81" s="46" t="inlineStr">
        <is>
          <t>LMICT</t>
        </is>
      </c>
      <c r="D81" s="29" t="n">
        <v>0.5</v>
      </c>
      <c r="E81" s="29" t="n">
        <v>0.3666666666666666</v>
      </c>
      <c r="F81" s="31">
        <f>IFERROR(D81-E81,0)</f>
        <v/>
      </c>
    </row>
    <row r="82">
      <c r="C82" s="46" t="inlineStr">
        <is>
          <t>MMCT</t>
        </is>
      </c>
      <c r="D82" s="29" t="n">
        <v>0.25</v>
      </c>
      <c r="E82" s="29" t="n">
        <v>0.425</v>
      </c>
      <c r="F82" s="31">
        <f>IFERROR(D82-E82,0)</f>
        <v/>
      </c>
    </row>
    <row r="83">
      <c r="B83" s="42" t="inlineStr">
        <is>
          <t>Greensboro-High Point, NC</t>
        </is>
      </c>
      <c r="C83" s="46" t="inlineStr">
        <is>
          <t>Branches</t>
        </is>
      </c>
      <c r="D83" s="58" t="n">
        <v>4</v>
      </c>
      <c r="E83" s="58" t="n">
        <v>120</v>
      </c>
    </row>
    <row r="84">
      <c r="C84" s="46" t="inlineStr">
        <is>
          <t>LMICT</t>
        </is>
      </c>
      <c r="D84" s="29" t="n">
        <v>0.5</v>
      </c>
      <c r="E84" s="29" t="n">
        <v>0.2</v>
      </c>
      <c r="F84" s="31">
        <f>IFERROR(D84-E84,0)</f>
        <v/>
      </c>
    </row>
    <row r="85">
      <c r="C85" s="46" t="inlineStr">
        <is>
          <t>MMCT</t>
        </is>
      </c>
      <c r="D85" s="29" t="n">
        <v>0.5</v>
      </c>
      <c r="E85" s="29" t="n">
        <v>0.4666666666666666</v>
      </c>
      <c r="F85" s="31">
        <f>IFERROR(D85-E85,0)</f>
        <v/>
      </c>
    </row>
    <row r="86">
      <c r="B86" s="42" t="inlineStr">
        <is>
          <t>Greenville, NC</t>
        </is>
      </c>
      <c r="C86" s="46" t="inlineStr">
        <is>
          <t>Branches</t>
        </is>
      </c>
      <c r="D86" s="59" t="n">
        <v>2</v>
      </c>
      <c r="E86" s="58" t="n">
        <v>30</v>
      </c>
    </row>
    <row r="87">
      <c r="C87" s="46" t="inlineStr">
        <is>
          <t>LMICT</t>
        </is>
      </c>
      <c r="D87" s="60" t="n">
        <v>0</v>
      </c>
      <c r="E87" s="29" t="n">
        <v>0.2099447513812155</v>
      </c>
      <c r="F87" s="31">
        <f>IFERROR(D87-E87,0)</f>
        <v/>
      </c>
    </row>
    <row r="88">
      <c r="C88" s="46" t="inlineStr">
        <is>
          <t>MMCT</t>
        </is>
      </c>
      <c r="D88" s="60" t="n">
        <v>0</v>
      </c>
      <c r="E88" s="29" t="n">
        <v>0.1215469613259668</v>
      </c>
      <c r="F88" s="31">
        <f>IFERROR(D88-E88,0)</f>
        <v/>
      </c>
    </row>
    <row r="89">
      <c r="B89" s="42" t="inlineStr">
        <is>
          <t>Greenville-Anderson, SC</t>
        </is>
      </c>
      <c r="C89" s="46" t="inlineStr">
        <is>
          <t>Branches</t>
        </is>
      </c>
      <c r="D89" s="58" t="n">
        <v>1</v>
      </c>
      <c r="E89" s="58" t="n">
        <v>181</v>
      </c>
    </row>
    <row r="90">
      <c r="C90" s="46" t="inlineStr">
        <is>
          <t>LMICT</t>
        </is>
      </c>
      <c r="D90" s="29" t="n">
        <v>0</v>
      </c>
      <c r="E90" s="29" t="n">
        <v>0.1666666666666666</v>
      </c>
      <c r="F90" s="31">
        <f>IFERROR(D90-E90,0)</f>
        <v/>
      </c>
    </row>
    <row r="91">
      <c r="C91" s="46" t="inlineStr">
        <is>
          <t>MMCT</t>
        </is>
      </c>
      <c r="D91" s="29" t="n">
        <v>1</v>
      </c>
      <c r="E91" s="29" t="n">
        <v>0.3333333333333333</v>
      </c>
      <c r="F91" s="31">
        <f>IFERROR(D91-E91,0)</f>
        <v/>
      </c>
    </row>
    <row r="92">
      <c r="B92" s="42" t="inlineStr">
        <is>
          <t>Carolina Non-MSA</t>
        </is>
      </c>
      <c r="C92" s="46" t="inlineStr">
        <is>
          <t>Branches</t>
        </is>
      </c>
      <c r="D92" s="58" t="n">
        <v>1</v>
      </c>
      <c r="E92" s="58" t="n">
        <v>6</v>
      </c>
    </row>
    <row r="93">
      <c r="C93" s="46" t="inlineStr">
        <is>
          <t>LMICT</t>
        </is>
      </c>
      <c r="D93" s="29" t="n">
        <v>0.5</v>
      </c>
      <c r="E93" s="29" t="n">
        <v>0.2093023255813954</v>
      </c>
      <c r="F93" s="31">
        <f>IFERROR(D93-E93,0)</f>
        <v/>
      </c>
    </row>
    <row r="94">
      <c r="C94" s="46" t="inlineStr">
        <is>
          <t>MMCT</t>
        </is>
      </c>
      <c r="D94" s="29" t="n">
        <v>0</v>
      </c>
      <c r="E94" s="29" t="n">
        <v>0.04651162790697674</v>
      </c>
      <c r="F94" s="31">
        <f>IFERROR(D94-E94,0)</f>
        <v/>
      </c>
    </row>
    <row r="95">
      <c r="A95" s="46" t="inlineStr">
        <is>
          <t>Georgia</t>
        </is>
      </c>
      <c r="B95" s="42" t="inlineStr">
        <is>
          <t>Hickory-Lenoir-Morganton, NC</t>
        </is>
      </c>
      <c r="C95" s="46" t="inlineStr">
        <is>
          <t>Branches</t>
        </is>
      </c>
      <c r="D95" s="58" t="n">
        <v>2</v>
      </c>
      <c r="E95" s="58" t="n">
        <v>43</v>
      </c>
    </row>
    <row r="96">
      <c r="C96" s="46" t="inlineStr">
        <is>
          <t>LMICT</t>
        </is>
      </c>
      <c r="D96" s="29" t="n">
        <v>0</v>
      </c>
      <c r="E96" s="29" t="n">
        <v>0.1372549019607843</v>
      </c>
      <c r="F96" s="31">
        <f>IFERROR(D96-E96,0)</f>
        <v/>
      </c>
    </row>
    <row r="97">
      <c r="C97" s="46" t="inlineStr">
        <is>
          <t>MMCT</t>
        </is>
      </c>
      <c r="D97" s="29" t="n">
        <v>0</v>
      </c>
      <c r="E97" s="29" t="n">
        <v>0.0392156862745098</v>
      </c>
      <c r="F97" s="31">
        <f>IFERROR(D97-E97,0)</f>
        <v/>
      </c>
    </row>
    <row r="98">
      <c r="B98" s="42" t="inlineStr">
        <is>
          <t>Hilton Head Island-Bluffton, SC</t>
        </is>
      </c>
      <c r="C98" s="46" t="inlineStr">
        <is>
          <t>Branches</t>
        </is>
      </c>
      <c r="D98" s="58" t="n">
        <v>1</v>
      </c>
      <c r="E98" s="58" t="n">
        <v>51</v>
      </c>
    </row>
    <row r="99">
      <c r="C99" s="46" t="inlineStr">
        <is>
          <t>LMICT</t>
        </is>
      </c>
      <c r="D99" s="29" t="n">
        <v>0</v>
      </c>
      <c r="E99" s="29" t="n">
        <v>0.388888888888889</v>
      </c>
      <c r="F99" s="31">
        <f>IFERROR(D99-E99,0)</f>
        <v/>
      </c>
    </row>
    <row r="100">
      <c r="C100" s="46" t="inlineStr">
        <is>
          <t>MMCT</t>
        </is>
      </c>
      <c r="D100" s="29" t="n">
        <v>0</v>
      </c>
      <c r="E100" s="29" t="n">
        <v>0.3333333333333333</v>
      </c>
      <c r="F100" s="31">
        <f>IFERROR(D100-E100,0)</f>
        <v/>
      </c>
    </row>
    <row r="101">
      <c r="A101" s="46" t="inlineStr">
        <is>
          <t>Illinois</t>
        </is>
      </c>
      <c r="B101" s="42" t="inlineStr">
        <is>
          <t>Jacksonville, NC</t>
        </is>
      </c>
      <c r="C101" s="46" t="inlineStr">
        <is>
          <t>Branches</t>
        </is>
      </c>
      <c r="D101" s="58" t="n">
        <v>1</v>
      </c>
      <c r="E101" s="58" t="n">
        <v>18</v>
      </c>
    </row>
    <row r="102">
      <c r="C102" s="46" t="inlineStr">
        <is>
          <t>LMICT</t>
        </is>
      </c>
      <c r="D102" s="29" t="n">
        <v>0</v>
      </c>
      <c r="E102" s="29" t="n">
        <v>0</v>
      </c>
      <c r="F102" s="31">
        <f>IFERROR(D102-E102,0)</f>
        <v/>
      </c>
    </row>
    <row r="103">
      <c r="C103" s="46" t="inlineStr">
        <is>
          <t>MMCT</t>
        </is>
      </c>
      <c r="D103" s="29" t="n">
        <v>0</v>
      </c>
      <c r="E103" s="29" t="n">
        <v>0</v>
      </c>
      <c r="F103" s="31">
        <f>IFERROR(D103-E103,0)</f>
        <v/>
      </c>
    </row>
    <row r="104">
      <c r="B104" s="42" t="inlineStr">
        <is>
          <t>Carolina Non-MSA</t>
        </is>
      </c>
      <c r="C104" s="46" t="inlineStr">
        <is>
          <t>Branches</t>
        </is>
      </c>
      <c r="D104" s="58" t="n">
        <v>2</v>
      </c>
      <c r="E104" s="58" t="n">
        <v>18</v>
      </c>
    </row>
    <row r="105">
      <c r="C105" s="46" t="inlineStr">
        <is>
          <t>LMICT</t>
        </is>
      </c>
      <c r="D105" s="29" t="n">
        <v>0</v>
      </c>
      <c r="E105" s="29" t="n">
        <v>0.2</v>
      </c>
      <c r="F105" s="31">
        <f>IFERROR(D105-E105,0)</f>
        <v/>
      </c>
    </row>
    <row r="106">
      <c r="C106" s="46" t="inlineStr">
        <is>
          <t>MMCT</t>
        </is>
      </c>
      <c r="D106" s="29" t="n">
        <v>1</v>
      </c>
      <c r="E106" s="29" t="n">
        <v>1</v>
      </c>
      <c r="F106" s="31">
        <f>IFERROR(D106-E106,0)</f>
        <v/>
      </c>
    </row>
    <row r="107">
      <c r="B107" s="42" t="inlineStr">
        <is>
          <t>Carolina Non-MSA</t>
        </is>
      </c>
      <c r="C107" s="46" t="inlineStr">
        <is>
          <t>Branches</t>
        </is>
      </c>
      <c r="D107" s="58" t="n">
        <v>1</v>
      </c>
      <c r="E107" s="58" t="n">
        <v>10</v>
      </c>
    </row>
    <row r="108">
      <c r="C108" s="46" t="inlineStr">
        <is>
          <t>LMICT</t>
        </is>
      </c>
      <c r="D108" s="29" t="n">
        <v>1</v>
      </c>
      <c r="E108" s="29" t="n">
        <v>1</v>
      </c>
      <c r="F108" s="31">
        <f>IFERROR(D108-E108,0)</f>
        <v/>
      </c>
    </row>
    <row r="109">
      <c r="C109" s="46" t="inlineStr">
        <is>
          <t>MMCT</t>
        </is>
      </c>
      <c r="D109" s="29" t="n">
        <v>1</v>
      </c>
      <c r="E109" s="29" t="n">
        <v>1</v>
      </c>
      <c r="F109" s="31">
        <f>IFERROR(D109-E109,0)</f>
        <v/>
      </c>
    </row>
    <row r="110">
      <c r="B110" s="42" t="inlineStr">
        <is>
          <t>Carolina Non-MSA</t>
        </is>
      </c>
      <c r="C110" s="46" t="inlineStr">
        <is>
          <t>Branches</t>
        </is>
      </c>
      <c r="D110" s="58" t="n">
        <v>1</v>
      </c>
      <c r="E110" s="58" t="n">
        <v>5</v>
      </c>
    </row>
    <row r="111">
      <c r="C111" s="46" t="inlineStr">
        <is>
          <t>LMICT</t>
        </is>
      </c>
      <c r="D111" s="29" t="n">
        <v>1</v>
      </c>
      <c r="E111" s="29" t="n">
        <v>0.6521739130434783</v>
      </c>
      <c r="F111" s="31">
        <f>IFERROR(D111-E111,0)</f>
        <v/>
      </c>
    </row>
    <row r="112">
      <c r="C112" s="46" t="inlineStr">
        <is>
          <t>MMCT</t>
        </is>
      </c>
      <c r="D112" s="29" t="n">
        <v>1</v>
      </c>
      <c r="E112" s="29" t="n">
        <v>0.826086956521739</v>
      </c>
      <c r="F112" s="31">
        <f>IFERROR(D112-E112,0)</f>
        <v/>
      </c>
    </row>
    <row r="113">
      <c r="B113" s="42" t="inlineStr">
        <is>
          <t>Carolina Non-MSA</t>
        </is>
      </c>
      <c r="C113" s="46" t="inlineStr">
        <is>
          <t>Branches</t>
        </is>
      </c>
      <c r="D113" s="59" t="n">
        <v>1</v>
      </c>
      <c r="E113" s="58" t="n">
        <v>23</v>
      </c>
    </row>
    <row r="114">
      <c r="C114" s="46" t="inlineStr">
        <is>
          <t>LMICT</t>
        </is>
      </c>
      <c r="D114" s="60" t="n">
        <v>1</v>
      </c>
      <c r="E114" s="29" t="n">
        <v>0.1176470588235294</v>
      </c>
      <c r="F114" s="31">
        <f>IFERROR(D114-E114,0)</f>
        <v/>
      </c>
    </row>
    <row r="115">
      <c r="C115" s="46" t="inlineStr">
        <is>
          <t>MMCT</t>
        </is>
      </c>
      <c r="D115" s="60" t="n">
        <v>0</v>
      </c>
      <c r="E115" s="29" t="n">
        <v>0</v>
      </c>
      <c r="F115" s="31">
        <f>IFERROR(D115-E115,0)</f>
        <v/>
      </c>
    </row>
    <row r="116">
      <c r="B116" s="42" t="inlineStr">
        <is>
          <t>North Carolina Non-MSA</t>
        </is>
      </c>
      <c r="C116" s="46" t="inlineStr">
        <is>
          <t>Branches</t>
        </is>
      </c>
      <c r="D116" s="58" t="n">
        <v>1</v>
      </c>
      <c r="E116" s="58" t="n">
        <v>17</v>
      </c>
    </row>
    <row r="117">
      <c r="C117" s="46" t="inlineStr">
        <is>
          <t>LMICT</t>
        </is>
      </c>
      <c r="D117" s="29" t="n">
        <v>0</v>
      </c>
      <c r="E117" s="29" t="n">
        <v>0.1</v>
      </c>
      <c r="F117" s="31">
        <f>IFERROR(D117-E117,0)</f>
        <v/>
      </c>
    </row>
    <row r="118">
      <c r="C118" s="46" t="inlineStr">
        <is>
          <t>MMCT</t>
        </is>
      </c>
      <c r="D118" s="29" t="n">
        <v>0</v>
      </c>
      <c r="E118" s="29" t="n">
        <v>0</v>
      </c>
      <c r="F118" s="31">
        <f>IFERROR(D118-E118,0)</f>
        <v/>
      </c>
    </row>
    <row r="119">
      <c r="B119" s="42" t="inlineStr">
        <is>
          <t>Carolina Non-MSA</t>
        </is>
      </c>
      <c r="C119" s="46" t="inlineStr">
        <is>
          <t>Branches</t>
        </is>
      </c>
      <c r="D119" s="58" t="n">
        <v>1</v>
      </c>
      <c r="E119" s="58" t="n">
        <v>20</v>
      </c>
    </row>
    <row r="120">
      <c r="C120" s="46" t="inlineStr">
        <is>
          <t>LMICT</t>
        </is>
      </c>
      <c r="D120" s="29" t="n">
        <v>1</v>
      </c>
      <c r="E120" s="29" t="n">
        <v>0.3382352941176471</v>
      </c>
      <c r="F120" s="31">
        <f>IFERROR(D120-E120,0)</f>
        <v/>
      </c>
    </row>
    <row r="121">
      <c r="C121" s="46" t="inlineStr">
        <is>
          <t>MMCT</t>
        </is>
      </c>
      <c r="D121" s="29" t="n">
        <v>0</v>
      </c>
      <c r="E121" s="29" t="n">
        <v>0.0588235294117647</v>
      </c>
      <c r="F121" s="31">
        <f>IFERROR(D121-E121,0)</f>
        <v/>
      </c>
    </row>
    <row r="122">
      <c r="B122" s="42" t="inlineStr">
        <is>
          <t>Myrtle Beach-Conway-North Myrtle Beach, SC-NC</t>
        </is>
      </c>
      <c r="C122" s="46" t="inlineStr">
        <is>
          <t>Branches</t>
        </is>
      </c>
      <c r="D122" s="58" t="n">
        <v>2</v>
      </c>
      <c r="E122" s="58" t="n">
        <v>136</v>
      </c>
    </row>
    <row r="123">
      <c r="C123" s="46" t="inlineStr">
        <is>
          <t>LMICT</t>
        </is>
      </c>
      <c r="D123" s="29" t="n">
        <v>0</v>
      </c>
      <c r="E123" s="29" t="n">
        <v>0</v>
      </c>
      <c r="F123" s="31">
        <f>IFERROR(D123-E123,0)</f>
        <v/>
      </c>
    </row>
    <row r="124">
      <c r="C124" s="46" t="inlineStr">
        <is>
          <t>MMCT</t>
        </is>
      </c>
      <c r="D124" s="29" t="n">
        <v>0</v>
      </c>
      <c r="E124" s="29" t="n">
        <v>0</v>
      </c>
      <c r="F124" s="31">
        <f>IFERROR(D124-E124,0)</f>
        <v/>
      </c>
    </row>
    <row r="125">
      <c r="B125" s="42" t="inlineStr">
        <is>
          <t>New Bern, NC</t>
        </is>
      </c>
      <c r="C125" s="46" t="inlineStr">
        <is>
          <t>Branches</t>
        </is>
      </c>
      <c r="D125" s="58" t="n">
        <v>1</v>
      </c>
      <c r="E125" s="58" t="n">
        <v>17</v>
      </c>
    </row>
    <row r="126">
      <c r="C126" s="46" t="inlineStr">
        <is>
          <t>LMICT</t>
        </is>
      </c>
      <c r="D126" s="29" t="n">
        <v>0</v>
      </c>
      <c r="E126" s="29" t="n">
        <v>0.07692307692307693</v>
      </c>
      <c r="F126" s="31">
        <f>IFERROR(D126-E126,0)</f>
        <v/>
      </c>
    </row>
    <row r="127">
      <c r="C127" s="46" t="inlineStr">
        <is>
          <t>MMCT</t>
        </is>
      </c>
      <c r="D127" s="29" t="n">
        <v>0</v>
      </c>
      <c r="E127" s="29" t="n">
        <v>0</v>
      </c>
      <c r="F127" s="31">
        <f>IFERROR(D127-E127,0)</f>
        <v/>
      </c>
    </row>
    <row r="128">
      <c r="B128" s="42" t="inlineStr">
        <is>
          <t>Carolina Non-MSA</t>
        </is>
      </c>
      <c r="C128" s="46" t="inlineStr">
        <is>
          <t>Branches</t>
        </is>
      </c>
      <c r="D128" s="58" t="n">
        <v>1</v>
      </c>
      <c r="E128" s="58" t="n">
        <v>26</v>
      </c>
    </row>
    <row r="129">
      <c r="C129" s="46" t="inlineStr">
        <is>
          <t>LMICT</t>
        </is>
      </c>
      <c r="D129" s="29" t="n">
        <v>0.3333333333333333</v>
      </c>
      <c r="E129" s="29" t="n">
        <v>0.2423076923076923</v>
      </c>
      <c r="F129" s="31">
        <f>IFERROR(D129-E129,0)</f>
        <v/>
      </c>
    </row>
    <row r="130">
      <c r="C130" s="46" t="inlineStr">
        <is>
          <t>MMCT</t>
        </is>
      </c>
      <c r="D130" s="29" t="n">
        <v>0.2777777777777778</v>
      </c>
      <c r="E130" s="29" t="n">
        <v>0.2692307692307692</v>
      </c>
      <c r="F130" s="31">
        <f>IFERROR(D130-E130,0)</f>
        <v/>
      </c>
    </row>
    <row r="131">
      <c r="A131" s="46" t="inlineStr">
        <is>
          <t>Delaware</t>
        </is>
      </c>
      <c r="B131" s="42" t="inlineStr">
        <is>
          <t>Raleigh-Cary, NC</t>
        </is>
      </c>
      <c r="C131" s="46" t="inlineStr">
        <is>
          <t>Branches</t>
        </is>
      </c>
      <c r="D131" s="59" t="n">
        <v>18</v>
      </c>
      <c r="E131" s="58" t="n">
        <v>260</v>
      </c>
    </row>
    <row r="132">
      <c r="C132" s="46" t="inlineStr">
        <is>
          <t>LMICT</t>
        </is>
      </c>
      <c r="D132" s="60" t="n">
        <v>1</v>
      </c>
      <c r="E132" s="29" t="n">
        <v>0.5</v>
      </c>
      <c r="F132" s="31">
        <f>IFERROR(D132-E132,0)</f>
        <v/>
      </c>
    </row>
    <row r="133">
      <c r="C133" s="46" t="inlineStr">
        <is>
          <t>MMCT</t>
        </is>
      </c>
      <c r="D133" s="60" t="n">
        <v>0</v>
      </c>
      <c r="E133" s="29" t="n">
        <v>0.4166666666666667</v>
      </c>
      <c r="F133" s="31">
        <f>IFERROR(D133-E133,0)</f>
        <v/>
      </c>
    </row>
    <row r="134">
      <c r="B134" s="42" t="inlineStr">
        <is>
          <t>Carolina Non-MSA</t>
        </is>
      </c>
      <c r="C134" s="46" t="inlineStr">
        <is>
          <t>Branches</t>
        </is>
      </c>
      <c r="D134" s="58" t="n">
        <v>1</v>
      </c>
      <c r="E134" s="58" t="n">
        <v>12</v>
      </c>
    </row>
    <row r="135">
      <c r="C135" s="46" t="inlineStr">
        <is>
          <t>LMICT</t>
        </is>
      </c>
      <c r="D135" s="29" t="n">
        <v>0</v>
      </c>
      <c r="E135" s="29" t="n">
        <v>0.6</v>
      </c>
      <c r="F135" s="31">
        <f>IFERROR(D135-E135,0)</f>
        <v/>
      </c>
    </row>
    <row r="136">
      <c r="C136" s="46" t="inlineStr">
        <is>
          <t>MMCT</t>
        </is>
      </c>
      <c r="D136" s="29" t="n">
        <v>1</v>
      </c>
      <c r="E136" s="29" t="n">
        <v>0.8</v>
      </c>
      <c r="F136" s="31">
        <f>IFERROR(D136-E136,0)</f>
        <v/>
      </c>
    </row>
    <row r="137">
      <c r="B137" s="42" t="inlineStr">
        <is>
          <t>Carolina Non-MSA</t>
        </is>
      </c>
      <c r="C137" s="46" t="inlineStr">
        <is>
          <t>Branches</t>
        </is>
      </c>
      <c r="D137" s="58" t="n">
        <v>1</v>
      </c>
      <c r="E137" s="58" t="n">
        <v>5</v>
      </c>
    </row>
    <row r="138">
      <c r="C138" s="46" t="inlineStr">
        <is>
          <t>LMICT</t>
        </is>
      </c>
      <c r="D138" s="29" t="n">
        <v>0.2</v>
      </c>
      <c r="E138" s="29" t="n">
        <v>0.08</v>
      </c>
      <c r="F138" s="31">
        <f>IFERROR(D138-E138,0)</f>
        <v/>
      </c>
    </row>
    <row r="139">
      <c r="C139" s="46" t="inlineStr">
        <is>
          <t>MMCT</t>
        </is>
      </c>
      <c r="D139" s="29" t="n">
        <v>1</v>
      </c>
      <c r="E139" s="29" t="n">
        <v>0.88</v>
      </c>
      <c r="F139" s="31">
        <f>IFERROR(D139-E139,0)</f>
        <v/>
      </c>
    </row>
    <row r="140">
      <c r="B140" s="42" t="inlineStr">
        <is>
          <t>Rocky Mount, NC</t>
        </is>
      </c>
      <c r="C140" s="46" t="inlineStr">
        <is>
          <t>Branches</t>
        </is>
      </c>
      <c r="D140" s="58" t="n">
        <v>5</v>
      </c>
      <c r="E140" s="58" t="n">
        <v>25</v>
      </c>
    </row>
    <row r="141">
      <c r="C141" s="46" t="inlineStr">
        <is>
          <t>LMICT</t>
        </is>
      </c>
      <c r="D141" s="29" t="n">
        <v>0</v>
      </c>
      <c r="E141" s="29" t="n">
        <v>0.3846153846153847</v>
      </c>
      <c r="F141" s="31">
        <f>IFERROR(D141-E141,0)</f>
        <v/>
      </c>
    </row>
    <row r="142">
      <c r="C142" s="46" t="inlineStr">
        <is>
          <t>MMCT</t>
        </is>
      </c>
      <c r="D142" s="29" t="n">
        <v>1</v>
      </c>
      <c r="E142" s="29" t="n">
        <v>0.7692307692307694</v>
      </c>
      <c r="F142" s="31">
        <f>IFERROR(D142-E142,0)</f>
        <v/>
      </c>
    </row>
    <row r="143">
      <c r="B143" s="42" t="inlineStr">
        <is>
          <t>Carolina Non-MSA</t>
        </is>
      </c>
      <c r="C143" s="46" t="inlineStr">
        <is>
          <t>Branches</t>
        </is>
      </c>
      <c r="D143" s="58" t="n">
        <v>1</v>
      </c>
      <c r="E143" s="58" t="n">
        <v>13</v>
      </c>
    </row>
    <row r="144">
      <c r="C144" s="46" t="inlineStr">
        <is>
          <t>LMICT</t>
        </is>
      </c>
      <c r="D144" s="29" t="n">
        <v>1</v>
      </c>
      <c r="E144" s="29" t="n">
        <v>0.3125</v>
      </c>
      <c r="F144" s="31">
        <f>IFERROR(D144-E144,0)</f>
        <v/>
      </c>
    </row>
    <row r="145">
      <c r="C145" s="46" t="inlineStr">
        <is>
          <t>MMCT</t>
        </is>
      </c>
      <c r="D145" s="29" t="n">
        <v>1</v>
      </c>
      <c r="E145" s="29" t="n">
        <v>0.25</v>
      </c>
      <c r="F145" s="31">
        <f>IFERROR(D145-E145,0)</f>
        <v/>
      </c>
    </row>
    <row r="146">
      <c r="B146" s="42" t="inlineStr">
        <is>
          <t>Carolina Non-MSA</t>
        </is>
      </c>
      <c r="C146" s="46" t="inlineStr">
        <is>
          <t>Branches</t>
        </is>
      </c>
      <c r="D146" s="58" t="n">
        <v>1</v>
      </c>
      <c r="E146" s="58" t="n">
        <v>16</v>
      </c>
    </row>
    <row r="147">
      <c r="C147" s="46" t="inlineStr">
        <is>
          <t>LMICT</t>
        </is>
      </c>
      <c r="D147" s="29" t="n">
        <v>0</v>
      </c>
      <c r="E147" s="29" t="n">
        <v>0</v>
      </c>
      <c r="F147" s="31">
        <f>IFERROR(D147-E147,0)</f>
        <v/>
      </c>
    </row>
    <row r="148">
      <c r="C148" s="46" t="inlineStr">
        <is>
          <t>MMCT</t>
        </is>
      </c>
      <c r="D148" s="29" t="n">
        <v>0</v>
      </c>
      <c r="E148" s="29" t="n">
        <v>0</v>
      </c>
      <c r="F148" s="31">
        <f>IFERROR(D148-E148,0)</f>
        <v/>
      </c>
    </row>
    <row r="149">
      <c r="B149" s="42" t="inlineStr">
        <is>
          <t>Virginia Beach-Norfolk-Newport News, VA-NC</t>
        </is>
      </c>
      <c r="C149" s="46" t="inlineStr">
        <is>
          <t>Branches</t>
        </is>
      </c>
      <c r="D149" s="58" t="n">
        <v>1</v>
      </c>
      <c r="E149" s="58" t="n">
        <v>18</v>
      </c>
    </row>
    <row r="150">
      <c r="C150" s="46" t="inlineStr">
        <is>
          <t>LMICT</t>
        </is>
      </c>
      <c r="D150" s="29" t="n">
        <v>0.2</v>
      </c>
      <c r="E150" s="29" t="n">
        <v>0.2857142857142857</v>
      </c>
      <c r="F150" s="31">
        <f>IFERROR(D150-E150,0)</f>
        <v/>
      </c>
    </row>
    <row r="151">
      <c r="C151" s="46" t="inlineStr">
        <is>
          <t>MMCT</t>
        </is>
      </c>
      <c r="D151" s="29" t="n">
        <v>0</v>
      </c>
      <c r="E151" s="29" t="n">
        <v>0.03571428571428571</v>
      </c>
      <c r="F151" s="31">
        <f>IFERROR(D151-E151,0)</f>
        <v/>
      </c>
    </row>
    <row r="152">
      <c r="B152" s="42" t="inlineStr">
        <is>
          <t>Wilmington, NC</t>
        </is>
      </c>
      <c r="C152" s="46" t="inlineStr">
        <is>
          <t>Branches</t>
        </is>
      </c>
      <c r="D152" s="58" t="n">
        <v>5</v>
      </c>
      <c r="E152" s="58" t="n">
        <v>56</v>
      </c>
    </row>
    <row r="153">
      <c r="C153" s="46" t="inlineStr">
        <is>
          <t>LMICT</t>
        </is>
      </c>
      <c r="D153" s="29" t="n">
        <v>0</v>
      </c>
      <c r="E153" s="29" t="n">
        <v>0.07692307692307693</v>
      </c>
      <c r="F153" s="31">
        <f>IFERROR(D153-E153,0)</f>
        <v/>
      </c>
    </row>
    <row r="154">
      <c r="C154" s="46" t="inlineStr">
        <is>
          <t>MMCT</t>
        </is>
      </c>
      <c r="D154" s="29" t="n">
        <v>1</v>
      </c>
      <c r="E154" s="29" t="n">
        <v>0.6153846153846154</v>
      </c>
      <c r="F154" s="31">
        <f>IFERROR(D154-E154,0)</f>
        <v/>
      </c>
    </row>
    <row r="155">
      <c r="B155" s="42" t="inlineStr">
        <is>
          <t>Carolina Non-MSA</t>
        </is>
      </c>
      <c r="C155" s="46" t="inlineStr">
        <is>
          <t>Branches</t>
        </is>
      </c>
      <c r="D155" s="59" t="n">
        <v>1</v>
      </c>
      <c r="E155" s="58" t="n">
        <v>13</v>
      </c>
    </row>
    <row r="156">
      <c r="C156" s="46" t="inlineStr">
        <is>
          <t>LMICT</t>
        </is>
      </c>
      <c r="D156" s="60" t="n">
        <v>0</v>
      </c>
      <c r="E156" s="29" t="n">
        <v>0.2658227848101266</v>
      </c>
      <c r="F156" s="31">
        <f>IFERROR(D156-E156,0)</f>
        <v/>
      </c>
    </row>
    <row r="157">
      <c r="C157" s="46" t="inlineStr">
        <is>
          <t>MMCT</t>
        </is>
      </c>
      <c r="D157" s="60" t="n">
        <v>0</v>
      </c>
      <c r="E157" s="29" t="n">
        <v>0.3291139240506329</v>
      </c>
      <c r="F157" s="31">
        <f>IFERROR(D157-E157,0)</f>
        <v/>
      </c>
    </row>
    <row r="158">
      <c r="B158" s="42" t="inlineStr">
        <is>
          <t>Winston-Salem, NC</t>
        </is>
      </c>
      <c r="C158" s="46" t="inlineStr">
        <is>
          <t>Branches</t>
        </is>
      </c>
      <c r="D158" s="58" t="n">
        <v>2</v>
      </c>
      <c r="E158" s="58" t="n">
        <v>79</v>
      </c>
    </row>
    <row r="159">
      <c r="C159" s="46" t="inlineStr">
        <is>
          <t>LMICT</t>
        </is>
      </c>
      <c r="D159" s="29" t="n">
        <v>0</v>
      </c>
      <c r="E159" s="29" t="n">
        <v>0.1447368421052632</v>
      </c>
      <c r="F159" s="31">
        <f>IFERROR(D159-E159,0)</f>
        <v/>
      </c>
    </row>
    <row r="160">
      <c r="C160" s="46" t="inlineStr">
        <is>
          <t>MMCT</t>
        </is>
      </c>
      <c r="D160" s="29" t="n">
        <v>0</v>
      </c>
      <c r="E160" s="29" t="n">
        <v>0.1710526315789474</v>
      </c>
      <c r="F160" s="31">
        <f>IFERROR(D160-E160,0)</f>
        <v/>
      </c>
    </row>
    <row r="161">
      <c r="B161" s="42" t="inlineStr">
        <is>
          <t>Denver-Aurora-Lakewood, CO</t>
        </is>
      </c>
      <c r="C161" s="46" t="inlineStr">
        <is>
          <t>Branches</t>
        </is>
      </c>
      <c r="D161" s="58" t="n">
        <v>6</v>
      </c>
      <c r="E161" s="58" t="n">
        <v>152</v>
      </c>
    </row>
    <row r="162">
      <c r="C162" s="46" t="inlineStr">
        <is>
          <t>LMICT</t>
        </is>
      </c>
      <c r="D162" s="29" t="n">
        <v>0.3333333333333333</v>
      </c>
      <c r="E162" s="29" t="n">
        <v>0.2727272727272727</v>
      </c>
      <c r="F162" s="31">
        <f>IFERROR(D162-E162,0)</f>
        <v/>
      </c>
    </row>
    <row r="163">
      <c r="C163" s="46" t="inlineStr">
        <is>
          <t>MMCT</t>
        </is>
      </c>
      <c r="D163" s="29" t="n">
        <v>0.6666666666666665</v>
      </c>
      <c r="E163" s="29" t="n">
        <v>0.5</v>
      </c>
      <c r="F163" s="31">
        <f>IFERROR(D163-E163,0)</f>
        <v/>
      </c>
    </row>
    <row r="164">
      <c r="A164" s="46" t="inlineStr">
        <is>
          <t>Florida</t>
        </is>
      </c>
      <c r="B164" s="42" t="inlineStr">
        <is>
          <t>Dover, DE</t>
        </is>
      </c>
      <c r="C164" s="46" t="inlineStr">
        <is>
          <t>Branches</t>
        </is>
      </c>
      <c r="D164" s="58" t="n">
        <v>3</v>
      </c>
      <c r="E164" s="58" t="n">
        <v>22</v>
      </c>
    </row>
    <row r="165">
      <c r="C165" s="46" t="inlineStr">
        <is>
          <t>LMICT</t>
        </is>
      </c>
      <c r="D165" s="29" t="n">
        <v>0</v>
      </c>
      <c r="E165" s="29" t="n">
        <v>0.2784810126582278</v>
      </c>
      <c r="F165" s="31">
        <f>IFERROR(D165-E165,0)</f>
        <v/>
      </c>
    </row>
    <row r="166">
      <c r="C166" s="46" t="inlineStr">
        <is>
          <t>MMCT</t>
        </is>
      </c>
      <c r="D166" s="29" t="n">
        <v>0</v>
      </c>
      <c r="E166" s="29" t="n">
        <v>0.1392405063291139</v>
      </c>
      <c r="F166" s="31">
        <f>IFERROR(D166-E166,0)</f>
        <v/>
      </c>
    </row>
    <row r="167">
      <c r="A167" s="46" t="inlineStr">
        <is>
          <t>Kentucky</t>
        </is>
      </c>
      <c r="B167" s="42" t="inlineStr">
        <is>
          <t>Cape Coral-Fort Myers, FL</t>
        </is>
      </c>
      <c r="C167" s="46" t="inlineStr">
        <is>
          <t>Branches</t>
        </is>
      </c>
      <c r="D167" s="58" t="n">
        <v>2</v>
      </c>
      <c r="E167" s="58" t="n">
        <v>158</v>
      </c>
    </row>
    <row r="168">
      <c r="C168" s="46" t="inlineStr">
        <is>
          <t>LMICT</t>
        </is>
      </c>
      <c r="D168" s="29" t="n">
        <v>0.2727272727272727</v>
      </c>
      <c r="E168" s="29" t="n">
        <v>0.2450980392156863</v>
      </c>
      <c r="F168" s="31">
        <f>IFERROR(D168-E168,0)</f>
        <v/>
      </c>
    </row>
    <row r="169">
      <c r="C169" s="46" t="inlineStr">
        <is>
          <t>MMCT</t>
        </is>
      </c>
      <c r="D169" s="29" t="n">
        <v>0</v>
      </c>
      <c r="E169" s="29" t="n">
        <v>0.1568627450980392</v>
      </c>
      <c r="F169" s="31">
        <f>IFERROR(D169-E169,0)</f>
        <v/>
      </c>
    </row>
    <row r="170">
      <c r="B170" s="42" t="inlineStr">
        <is>
          <t>Deltona-Daytona Beach-Ormond Beach, FL</t>
        </is>
      </c>
      <c r="C170" s="46" t="inlineStr">
        <is>
          <t>Branches</t>
        </is>
      </c>
      <c r="D170" s="58" t="n">
        <v>11</v>
      </c>
      <c r="E170" s="58" t="n">
        <v>102</v>
      </c>
    </row>
    <row r="171">
      <c r="C171" s="46" t="inlineStr">
        <is>
          <t>LMICT</t>
        </is>
      </c>
      <c r="D171" s="29" t="n">
        <v>0.6666666666666665</v>
      </c>
      <c r="E171" s="29" t="n">
        <v>0.1956521739130435</v>
      </c>
      <c r="F171" s="31">
        <f>IFERROR(D171-E171,0)</f>
        <v/>
      </c>
    </row>
    <row r="172">
      <c r="C172" s="46" t="inlineStr">
        <is>
          <t>MMCT</t>
        </is>
      </c>
      <c r="D172" s="29" t="n">
        <v>0.3333333333333333</v>
      </c>
      <c r="E172" s="29" t="n">
        <v>0.2608695652173913</v>
      </c>
      <c r="F172" s="31">
        <f>IFERROR(D172-E172,0)</f>
        <v/>
      </c>
    </row>
    <row r="173">
      <c r="B173" s="42" t="inlineStr">
        <is>
          <t>Gainesville, FL</t>
        </is>
      </c>
      <c r="C173" s="46" t="inlineStr">
        <is>
          <t>Branches</t>
        </is>
      </c>
      <c r="D173" s="58" t="n">
        <v>3</v>
      </c>
      <c r="E173" s="58" t="n">
        <v>46</v>
      </c>
    </row>
    <row r="174">
      <c r="C174" s="46" t="inlineStr">
        <is>
          <t>LMICT</t>
        </is>
      </c>
      <c r="D174" s="29" t="n">
        <v>0.4285714285714285</v>
      </c>
      <c r="E174" s="29" t="n">
        <v>0.25</v>
      </c>
      <c r="F174" s="31">
        <f>IFERROR(D174-E174,0)</f>
        <v/>
      </c>
    </row>
    <row r="175">
      <c r="C175" s="46" t="inlineStr">
        <is>
          <t>MMCT</t>
        </is>
      </c>
      <c r="D175" s="29" t="n">
        <v>0.4285714285714285</v>
      </c>
      <c r="E175" s="29" t="n">
        <v>0.2959183673469388</v>
      </c>
      <c r="F175" s="31">
        <f>IFERROR(D175-E175,0)</f>
        <v/>
      </c>
    </row>
    <row r="176">
      <c r="B176" s="42" t="inlineStr">
        <is>
          <t>Jacksonville, FL</t>
        </is>
      </c>
      <c r="C176" s="46" t="inlineStr">
        <is>
          <t>Branches</t>
        </is>
      </c>
      <c r="D176" s="58" t="n">
        <v>14</v>
      </c>
      <c r="E176" s="58" t="n">
        <v>196</v>
      </c>
    </row>
    <row r="177">
      <c r="C177" s="46" t="inlineStr">
        <is>
          <t>LMICT</t>
        </is>
      </c>
      <c r="D177" s="29" t="n">
        <v>0.3015873015873016</v>
      </c>
      <c r="E177" s="29" t="n">
        <v>0.2291338582677166</v>
      </c>
      <c r="F177" s="31">
        <f>IFERROR(D177-E177,0)</f>
        <v/>
      </c>
    </row>
    <row r="178">
      <c r="C178" s="46" t="inlineStr">
        <is>
          <t>MMCT</t>
        </is>
      </c>
      <c r="D178" s="29" t="n">
        <v>0.5079365079365079</v>
      </c>
      <c r="E178" s="29" t="n">
        <v>0.6653543307086615</v>
      </c>
      <c r="F178" s="31">
        <f>IFERROR(D178-E178,0)</f>
        <v/>
      </c>
    </row>
    <row r="179">
      <c r="B179" s="42" t="inlineStr">
        <is>
          <t>Miami-Fort Lauderdale-Pompano Beach, FL</t>
        </is>
      </c>
      <c r="C179" s="46" t="inlineStr">
        <is>
          <t>Branches</t>
        </is>
      </c>
      <c r="D179" s="58" t="n">
        <v>63</v>
      </c>
      <c r="E179" s="58" t="n">
        <v>1270</v>
      </c>
    </row>
    <row r="180">
      <c r="C180" s="46" t="inlineStr">
        <is>
          <t>LMICT</t>
        </is>
      </c>
      <c r="D180" s="29" t="n">
        <v>0</v>
      </c>
      <c r="E180" s="29" t="n">
        <v>0.09836065573770492</v>
      </c>
      <c r="F180" s="31">
        <f>IFERROR(D180-E180,0)</f>
        <v/>
      </c>
    </row>
    <row r="181">
      <c r="C181" s="46" t="inlineStr">
        <is>
          <t>MMCT</t>
        </is>
      </c>
      <c r="D181" s="29" t="n">
        <v>0.25</v>
      </c>
      <c r="E181" s="29" t="n">
        <v>0.06557377049180328</v>
      </c>
      <c r="F181" s="31">
        <f>IFERROR(D181-E181,0)</f>
        <v/>
      </c>
    </row>
    <row r="182">
      <c r="B182" s="42" t="inlineStr">
        <is>
          <t>Naples-Marco Island, FL</t>
        </is>
      </c>
      <c r="C182" s="46" t="inlineStr">
        <is>
          <t>Branches</t>
        </is>
      </c>
      <c r="D182" s="58" t="n">
        <v>4</v>
      </c>
      <c r="E182" s="58" t="n">
        <v>122</v>
      </c>
    </row>
    <row r="183">
      <c r="C183" s="46" t="inlineStr">
        <is>
          <t>LMICT</t>
        </is>
      </c>
      <c r="D183" s="29" t="n">
        <v>0</v>
      </c>
      <c r="E183" s="29" t="n">
        <v>0.1072961373390558</v>
      </c>
      <c r="F183" s="31">
        <f>IFERROR(D183-E183,0)</f>
        <v/>
      </c>
    </row>
    <row r="184">
      <c r="C184" s="46" t="inlineStr">
        <is>
          <t>MMCT</t>
        </is>
      </c>
      <c r="D184" s="29" t="n">
        <v>0</v>
      </c>
      <c r="E184" s="29" t="n">
        <v>0.02145922746781116</v>
      </c>
      <c r="F184" s="31">
        <f>IFERROR(D184-E184,0)</f>
        <v/>
      </c>
    </row>
    <row r="185">
      <c r="B185" s="42" t="inlineStr">
        <is>
          <t>North Port-Sarasota-Bradenton, FL</t>
        </is>
      </c>
      <c r="C185" s="46" t="inlineStr">
        <is>
          <t>Branches</t>
        </is>
      </c>
      <c r="D185" s="58" t="n">
        <v>8</v>
      </c>
      <c r="E185" s="58" t="n">
        <v>233</v>
      </c>
    </row>
    <row r="186">
      <c r="C186" s="46" t="inlineStr">
        <is>
          <t>LMICT</t>
        </is>
      </c>
      <c r="D186" s="29" t="n">
        <v>0</v>
      </c>
      <c r="E186" s="29" t="n">
        <v>0.1451612903225807</v>
      </c>
      <c r="F186" s="31">
        <f>IFERROR(D186-E186,0)</f>
        <v/>
      </c>
    </row>
    <row r="187">
      <c r="C187" s="46" t="inlineStr">
        <is>
          <t>MMCT</t>
        </is>
      </c>
      <c r="D187" s="29" t="n">
        <v>0</v>
      </c>
      <c r="E187" s="29" t="n">
        <v>0.04838709677419355</v>
      </c>
      <c r="F187" s="31">
        <f>IFERROR(D187-E187,0)</f>
        <v/>
      </c>
    </row>
    <row r="188">
      <c r="B188" s="42" t="inlineStr">
        <is>
          <t>Ocala, FL</t>
        </is>
      </c>
      <c r="C188" s="46" t="inlineStr">
        <is>
          <t>Branches</t>
        </is>
      </c>
      <c r="D188" s="58" t="n">
        <v>4</v>
      </c>
      <c r="E188" s="58" t="n">
        <v>62</v>
      </c>
    </row>
    <row r="189">
      <c r="C189" s="46" t="inlineStr">
        <is>
          <t>LMICT</t>
        </is>
      </c>
      <c r="D189" s="29" t="n">
        <v>0</v>
      </c>
      <c r="E189" s="29" t="n">
        <v>0.8</v>
      </c>
      <c r="F189" s="31">
        <f>IFERROR(D189-E189,0)</f>
        <v/>
      </c>
    </row>
    <row r="190">
      <c r="C190" s="46" t="inlineStr">
        <is>
          <t>MMCT</t>
        </is>
      </c>
      <c r="D190" s="29" t="n">
        <v>0</v>
      </c>
      <c r="E190" s="29" t="n">
        <v>0.4</v>
      </c>
      <c r="F190" s="31">
        <f>IFERROR(D190-E190,0)</f>
        <v/>
      </c>
    </row>
    <row r="191">
      <c r="A191" s="46" t="inlineStr">
        <is>
          <t>Georgia</t>
        </is>
      </c>
      <c r="B191" s="42" t="inlineStr">
        <is>
          <t>Florida Non-MSA</t>
        </is>
      </c>
      <c r="C191" s="46" t="inlineStr">
        <is>
          <t>Branches</t>
        </is>
      </c>
      <c r="D191" s="58" t="n">
        <v>1</v>
      </c>
      <c r="E191" s="58" t="n">
        <v>5</v>
      </c>
    </row>
    <row r="192">
      <c r="C192" s="46" t="inlineStr">
        <is>
          <t>LMICT</t>
        </is>
      </c>
      <c r="D192" s="29" t="n">
        <v>0.1578947368421053</v>
      </c>
      <c r="E192" s="29" t="n">
        <v>0.2741573033707865</v>
      </c>
      <c r="F192" s="31">
        <f>IFERROR(D192-E192,0)</f>
        <v/>
      </c>
    </row>
    <row r="193">
      <c r="C193" s="46" t="inlineStr">
        <is>
          <t>MMCT</t>
        </is>
      </c>
      <c r="D193" s="29" t="n">
        <v>0.5789473684210527</v>
      </c>
      <c r="E193" s="29" t="n">
        <v>0.501123595505618</v>
      </c>
      <c r="F193" s="31">
        <f>IFERROR(D193-E193,0)</f>
        <v/>
      </c>
    </row>
    <row r="194">
      <c r="B194" s="42" t="inlineStr">
        <is>
          <t>Orlando-Kissimmee-Sanford, FL</t>
        </is>
      </c>
      <c r="C194" s="46" t="inlineStr">
        <is>
          <t>Branches</t>
        </is>
      </c>
      <c r="D194" s="58" t="n">
        <v>19</v>
      </c>
      <c r="E194" s="58" t="n">
        <v>445</v>
      </c>
    </row>
    <row r="195">
      <c r="C195" s="46" t="inlineStr">
        <is>
          <t>LMICT</t>
        </is>
      </c>
      <c r="D195" s="29" t="n">
        <v>0.3333333333333333</v>
      </c>
      <c r="E195" s="29" t="n">
        <v>0.1265822784810127</v>
      </c>
      <c r="F195" s="31">
        <f>IFERROR(D195-E195,0)</f>
        <v/>
      </c>
    </row>
    <row r="196">
      <c r="C196" s="46" t="inlineStr">
        <is>
          <t>MMCT</t>
        </is>
      </c>
      <c r="D196" s="29" t="n">
        <v>0.1111111111111111</v>
      </c>
      <c r="E196" s="29" t="n">
        <v>0.02531645569620253</v>
      </c>
      <c r="F196" s="31">
        <f>IFERROR(D196-E196,0)</f>
        <v/>
      </c>
    </row>
    <row r="197">
      <c r="B197" s="42" t="inlineStr">
        <is>
          <t>Palm Bay-Melbourne-Titusville, FL</t>
        </is>
      </c>
      <c r="C197" s="46" t="inlineStr">
        <is>
          <t>Branches</t>
        </is>
      </c>
      <c r="D197" s="59" t="n">
        <v>9</v>
      </c>
      <c r="E197" s="58" t="n">
        <v>79</v>
      </c>
    </row>
    <row r="198">
      <c r="C198" s="46" t="inlineStr">
        <is>
          <t>LMICT</t>
        </is>
      </c>
      <c r="D198" s="60" t="n">
        <v>0.3333333333333333</v>
      </c>
      <c r="E198" s="29" t="n">
        <v>0.4305555555555556</v>
      </c>
      <c r="F198" s="31">
        <f>IFERROR(D198-E198,0)</f>
        <v/>
      </c>
    </row>
    <row r="199">
      <c r="C199" s="46" t="inlineStr">
        <is>
          <t>MMCT</t>
        </is>
      </c>
      <c r="D199" s="60" t="n">
        <v>0.1666666666666666</v>
      </c>
      <c r="E199" s="29" t="n">
        <v>0.3055555555555556</v>
      </c>
      <c r="F199" s="31">
        <f>IFERROR(D199-E199,0)</f>
        <v/>
      </c>
    </row>
    <row r="200">
      <c r="B200" s="42" t="inlineStr">
        <is>
          <t>Port St. Lucie, FL</t>
        </is>
      </c>
      <c r="C200" s="46" t="inlineStr">
        <is>
          <t>Branches</t>
        </is>
      </c>
      <c r="D200" s="58" t="n">
        <v>12</v>
      </c>
      <c r="E200" s="58" t="n">
        <v>72</v>
      </c>
    </row>
    <row r="201">
      <c r="C201" s="46" t="inlineStr">
        <is>
          <t>LMICT</t>
        </is>
      </c>
      <c r="D201" s="29" t="n">
        <v>0</v>
      </c>
      <c r="E201" s="29" t="n">
        <v>0.1</v>
      </c>
      <c r="F201" s="31">
        <f>IFERROR(D201-E201,0)</f>
        <v/>
      </c>
    </row>
    <row r="202">
      <c r="C202" s="46" t="inlineStr">
        <is>
          <t>MMCT</t>
        </is>
      </c>
      <c r="D202" s="29" t="n">
        <v>0</v>
      </c>
      <c r="E202" s="29" t="n">
        <v>0</v>
      </c>
      <c r="F202" s="31">
        <f>IFERROR(D202-E202,0)</f>
        <v/>
      </c>
    </row>
    <row r="203">
      <c r="B203" s="42" t="inlineStr">
        <is>
          <t>Punta Gorda, FL</t>
        </is>
      </c>
      <c r="C203" s="46" t="inlineStr">
        <is>
          <t>Branches</t>
        </is>
      </c>
      <c r="D203" s="58" t="n">
        <v>0</v>
      </c>
      <c r="E203" s="58" t="n">
        <v>40</v>
      </c>
    </row>
    <row r="204">
      <c r="C204" s="46" t="inlineStr">
        <is>
          <t>LMICT</t>
        </is>
      </c>
      <c r="D204" s="29" t="n">
        <v>0.2</v>
      </c>
      <c r="E204" s="29" t="n">
        <v>0.2432432432432433</v>
      </c>
      <c r="F204" s="31">
        <f>IFERROR(D204-E204,0)</f>
        <v/>
      </c>
    </row>
    <row r="205">
      <c r="C205" s="46" t="inlineStr">
        <is>
          <t>MMCT</t>
        </is>
      </c>
      <c r="D205" s="29" t="n">
        <v>0</v>
      </c>
      <c r="E205" s="29" t="n">
        <v>0</v>
      </c>
      <c r="F205" s="31">
        <f>IFERROR(D205-E205,0)</f>
        <v/>
      </c>
    </row>
    <row r="206">
      <c r="B206" s="42" t="inlineStr">
        <is>
          <t>Sebastian-Vero Beach, FL</t>
        </is>
      </c>
      <c r="C206" s="46" t="inlineStr">
        <is>
          <t>Branches</t>
        </is>
      </c>
      <c r="D206" s="58" t="n">
        <v>5</v>
      </c>
      <c r="E206" s="58" t="n">
        <v>37</v>
      </c>
    </row>
    <row r="207">
      <c r="C207" s="46" t="inlineStr">
        <is>
          <t>LMICT</t>
        </is>
      </c>
      <c r="D207" s="29" t="n">
        <v>0.4444444444444444</v>
      </c>
      <c r="E207" s="29" t="n">
        <v>0.2513464991023339</v>
      </c>
      <c r="F207" s="31">
        <f>IFERROR(D207-E207,0)</f>
        <v/>
      </c>
    </row>
    <row r="208">
      <c r="C208" s="46" t="inlineStr">
        <is>
          <t>MMCT</t>
        </is>
      </c>
      <c r="D208" s="29" t="n">
        <v>0.3333333333333333</v>
      </c>
      <c r="E208" s="29" t="n">
        <v>0.2387791741472172</v>
      </c>
      <c r="F208" s="31">
        <f>IFERROR(D208-E208,0)</f>
        <v/>
      </c>
    </row>
    <row r="209">
      <c r="B209" s="42" t="inlineStr">
        <is>
          <t>Tampa-St. Petersburg-Clearwater, FL</t>
        </is>
      </c>
      <c r="C209" s="46" t="inlineStr">
        <is>
          <t>Branches</t>
        </is>
      </c>
      <c r="D209" s="58" t="n">
        <v>18</v>
      </c>
      <c r="E209" s="58" t="n">
        <v>557</v>
      </c>
    </row>
    <row r="210">
      <c r="C210" s="46" t="inlineStr">
        <is>
          <t>LMICT</t>
        </is>
      </c>
      <c r="D210" s="29" t="n">
        <v>0.2</v>
      </c>
      <c r="E210" s="29" t="n">
        <v>0.2258454106280193</v>
      </c>
      <c r="F210" s="31">
        <f>IFERROR(D210-E210,0)</f>
        <v/>
      </c>
    </row>
    <row r="211">
      <c r="C211" s="46" t="inlineStr">
        <is>
          <t>MMCT</t>
        </is>
      </c>
      <c r="D211" s="29" t="n">
        <v>0.5636363636363636</v>
      </c>
      <c r="E211" s="29" t="n">
        <v>0.5458937198067633</v>
      </c>
      <c r="F211" s="31">
        <f>IFERROR(D211-E211,0)</f>
        <v/>
      </c>
    </row>
    <row r="212">
      <c r="B212" s="42" t="inlineStr">
        <is>
          <t>Atlanta-Sandy Springs-Alpharetta, GA</t>
        </is>
      </c>
      <c r="C212" s="46" t="inlineStr">
        <is>
          <t>Branches</t>
        </is>
      </c>
      <c r="D212" s="58" t="n">
        <v>55</v>
      </c>
      <c r="E212" s="58" t="n">
        <v>828</v>
      </c>
    </row>
    <row r="213">
      <c r="C213" s="46" t="inlineStr">
        <is>
          <t>LMICT</t>
        </is>
      </c>
      <c r="D213" s="29" t="n">
        <v>0</v>
      </c>
      <c r="E213" s="29" t="n">
        <v>0.1428571428571428</v>
      </c>
      <c r="F213" s="31">
        <f>IFERROR(D213-E213,0)</f>
        <v/>
      </c>
    </row>
    <row r="214">
      <c r="C214" s="46" t="inlineStr">
        <is>
          <t>MMCT</t>
        </is>
      </c>
      <c r="D214" s="29" t="n">
        <v>0</v>
      </c>
      <c r="E214" s="29" t="n">
        <v>0.5</v>
      </c>
      <c r="F214" s="31">
        <f>IFERROR(D214-E214,0)</f>
        <v/>
      </c>
    </row>
    <row r="215">
      <c r="A215" s="46" t="inlineStr">
        <is>
          <t>Illinois</t>
        </is>
      </c>
      <c r="B215" s="42" t="inlineStr">
        <is>
          <t>Georgia Non-MSA</t>
        </is>
      </c>
      <c r="C215" s="46" t="inlineStr">
        <is>
          <t>Branches</t>
        </is>
      </c>
      <c r="D215" s="58" t="n">
        <v>2</v>
      </c>
      <c r="E215" s="58" t="n">
        <v>14</v>
      </c>
    </row>
    <row r="216">
      <c r="C216" s="46" t="inlineStr">
        <is>
          <t>LMICT</t>
        </is>
      </c>
      <c r="D216" s="29" t="n">
        <v>0.3333333333333333</v>
      </c>
      <c r="E216" s="29" t="n">
        <v>0.2857142857142857</v>
      </c>
      <c r="F216" s="31">
        <f>IFERROR(D216-E216,0)</f>
        <v/>
      </c>
    </row>
    <row r="217">
      <c r="C217" s="46" t="inlineStr">
        <is>
          <t>MMCT</t>
        </is>
      </c>
      <c r="D217" s="29" t="n">
        <v>0</v>
      </c>
      <c r="E217" s="29" t="n">
        <v>0</v>
      </c>
      <c r="F217" s="31">
        <f>IFERROR(D217-E217,0)</f>
        <v/>
      </c>
    </row>
    <row r="218">
      <c r="A218" s="46" t="inlineStr">
        <is>
          <t>Indiana</t>
        </is>
      </c>
      <c r="B218" s="42" t="inlineStr">
        <is>
          <t>Bloomington, IL</t>
        </is>
      </c>
      <c r="C218" s="46" t="inlineStr">
        <is>
          <t>Branches</t>
        </is>
      </c>
      <c r="D218" s="58" t="n">
        <v>3</v>
      </c>
      <c r="E218" s="58" t="n">
        <v>42</v>
      </c>
    </row>
    <row r="219">
      <c r="C219" s="46" t="inlineStr">
        <is>
          <t>LMICT</t>
        </is>
      </c>
      <c r="D219" s="29" t="n">
        <v>0.2</v>
      </c>
      <c r="E219" s="29" t="n">
        <v>0.1515151515151515</v>
      </c>
      <c r="F219" s="31">
        <f>IFERROR(D219-E219,0)</f>
        <v/>
      </c>
    </row>
    <row r="220">
      <c r="C220" s="46" t="inlineStr">
        <is>
          <t>MMCT</t>
        </is>
      </c>
      <c r="D220" s="29" t="n">
        <v>0.2</v>
      </c>
      <c r="E220" s="29" t="n">
        <v>0.1212121212121212</v>
      </c>
      <c r="F220" s="31">
        <f>IFERROR(D220-E220,0)</f>
        <v/>
      </c>
    </row>
    <row r="221">
      <c r="B221" s="42" t="inlineStr">
        <is>
          <t>Champaign-Urbana, IL</t>
        </is>
      </c>
      <c r="C221" s="46" t="inlineStr">
        <is>
          <t>Branches</t>
        </is>
      </c>
      <c r="D221" s="58" t="n">
        <v>5</v>
      </c>
      <c r="E221" s="58" t="n">
        <v>66</v>
      </c>
    </row>
    <row r="222">
      <c r="C222" s="46" t="inlineStr">
        <is>
          <t>LMICT</t>
        </is>
      </c>
      <c r="D222" s="29" t="n">
        <v>0.188034188034188</v>
      </c>
      <c r="E222" s="29" t="n">
        <v>0.2182393252503954</v>
      </c>
      <c r="F222" s="31">
        <f>IFERROR(D222-E222,0)</f>
        <v/>
      </c>
    </row>
    <row r="223">
      <c r="C223" s="46" t="inlineStr">
        <is>
          <t>MMCT</t>
        </is>
      </c>
      <c r="D223" s="29" t="n">
        <v>0.3675213675213675</v>
      </c>
      <c r="E223" s="29" t="n">
        <v>0.3315761729045862</v>
      </c>
      <c r="F223" s="31">
        <f>IFERROR(D223-E223,0)</f>
        <v/>
      </c>
    </row>
    <row r="224">
      <c r="B224" s="42" t="inlineStr">
        <is>
          <t>Chicago-Naperville-Elgin, IL-IN-WI</t>
        </is>
      </c>
      <c r="C224" s="46" t="inlineStr">
        <is>
          <t>Branches</t>
        </is>
      </c>
      <c r="D224" s="58" t="n">
        <v>117</v>
      </c>
      <c r="E224" s="58" t="n">
        <v>1897</v>
      </c>
    </row>
    <row r="225">
      <c r="C225" s="46" t="inlineStr">
        <is>
          <t>LMICT</t>
        </is>
      </c>
      <c r="D225" s="29" t="n">
        <v>0</v>
      </c>
      <c r="E225" s="29" t="n">
        <v>0.28</v>
      </c>
      <c r="F225" s="31">
        <f>IFERROR(D225-E225,0)</f>
        <v/>
      </c>
    </row>
    <row r="226">
      <c r="C226" s="46" t="inlineStr">
        <is>
          <t>MMCT</t>
        </is>
      </c>
      <c r="D226" s="29" t="n">
        <v>0</v>
      </c>
      <c r="E226" s="29" t="n">
        <v>0</v>
      </c>
      <c r="F226" s="31">
        <f>IFERROR(D226-E226,0)</f>
        <v/>
      </c>
    </row>
    <row r="227">
      <c r="B227" s="42" t="inlineStr">
        <is>
          <t>Illinois Non-MSA</t>
        </is>
      </c>
      <c r="C227" s="46" t="inlineStr">
        <is>
          <t>Branches</t>
        </is>
      </c>
      <c r="D227" s="58" t="n">
        <v>0</v>
      </c>
      <c r="E227" s="58" t="n">
        <v>25</v>
      </c>
    </row>
    <row r="228">
      <c r="C228" s="46" t="inlineStr">
        <is>
          <t>LMICT</t>
        </is>
      </c>
      <c r="D228" s="29" t="n">
        <v>1</v>
      </c>
      <c r="E228" s="29" t="n">
        <v>0.3333333333333333</v>
      </c>
      <c r="F228" s="31">
        <f>IFERROR(D228-E228,0)</f>
        <v/>
      </c>
    </row>
    <row r="229">
      <c r="C229" s="46" t="inlineStr">
        <is>
          <t>MMCT</t>
        </is>
      </c>
      <c r="D229" s="29" t="n">
        <v>0</v>
      </c>
      <c r="E229" s="29" t="n">
        <v>0.1818181818181818</v>
      </c>
      <c r="F229" s="31">
        <f>IFERROR(D229-E229,0)</f>
        <v/>
      </c>
    </row>
    <row r="230">
      <c r="B230" s="42" t="inlineStr">
        <is>
          <t>Decatur, IL</t>
        </is>
      </c>
      <c r="C230" s="46" t="inlineStr">
        <is>
          <t>Branches</t>
        </is>
      </c>
      <c r="D230" s="58" t="n">
        <v>1</v>
      </c>
      <c r="E230" s="58" t="n">
        <v>33</v>
      </c>
    </row>
    <row r="231">
      <c r="C231" s="46" t="inlineStr">
        <is>
          <t>LMICT</t>
        </is>
      </c>
      <c r="D231" s="29" t="n">
        <v>0</v>
      </c>
      <c r="E231" s="29" t="n">
        <v>0</v>
      </c>
      <c r="F231" s="31">
        <f>IFERROR(D231-E231,0)</f>
        <v/>
      </c>
    </row>
    <row r="232">
      <c r="C232" s="46" t="inlineStr">
        <is>
          <t>MMCT</t>
        </is>
      </c>
      <c r="D232" s="29" t="n">
        <v>0</v>
      </c>
      <c r="E232" s="29" t="n">
        <v>0</v>
      </c>
      <c r="F232" s="31">
        <f>IFERROR(D232-E232,0)</f>
        <v/>
      </c>
    </row>
    <row r="233">
      <c r="B233" s="42" t="inlineStr">
        <is>
          <t>Illinois Non-MSA</t>
        </is>
      </c>
      <c r="C233" s="46" t="inlineStr">
        <is>
          <t>Branches</t>
        </is>
      </c>
      <c r="D233" s="58" t="n">
        <v>0</v>
      </c>
      <c r="E233" s="58" t="n">
        <v>18</v>
      </c>
    </row>
    <row r="234">
      <c r="C234" s="46" t="inlineStr">
        <is>
          <t>LMICT</t>
        </is>
      </c>
      <c r="D234" s="29" t="n">
        <v>0.5</v>
      </c>
      <c r="E234" s="29" t="n">
        <v>0.2258064516129032</v>
      </c>
      <c r="F234" s="31">
        <f>IFERROR(D234-E234,0)</f>
        <v/>
      </c>
    </row>
    <row r="235">
      <c r="C235" s="46" t="inlineStr">
        <is>
          <t>MMCT</t>
        </is>
      </c>
      <c r="D235" s="29" t="n">
        <v>0.5</v>
      </c>
      <c r="E235" s="29" t="n">
        <v>0.1290322580645161</v>
      </c>
      <c r="F235" s="31">
        <f>IFERROR(D235-E235,0)</f>
        <v/>
      </c>
    </row>
    <row r="236" ht="15" customHeight="1" s="47">
      <c r="B236" s="42" t="inlineStr">
        <is>
          <t>Kankakee, IL</t>
        </is>
      </c>
      <c r="C236" s="46" t="inlineStr">
        <is>
          <t>Branches</t>
        </is>
      </c>
      <c r="D236" s="58" t="n">
        <v>4</v>
      </c>
      <c r="E236" s="58" t="n">
        <v>31</v>
      </c>
    </row>
    <row r="237" ht="15" customHeight="1" s="47">
      <c r="C237" s="46" t="inlineStr">
        <is>
          <t>LMICT</t>
        </is>
      </c>
      <c r="D237" s="29" t="n">
        <v>0.1428571428571428</v>
      </c>
      <c r="E237" s="29" t="n">
        <v>0.1282051282051282</v>
      </c>
      <c r="F237" s="31">
        <f>IFERROR(D237-E237,0)</f>
        <v/>
      </c>
    </row>
    <row r="238" ht="15" customHeight="1" s="47">
      <c r="C238" s="46" t="inlineStr">
        <is>
          <t>MMCT</t>
        </is>
      </c>
      <c r="D238" s="29" t="n">
        <v>0.1428571428571428</v>
      </c>
      <c r="E238" s="29" t="n">
        <v>0.03846153846153846</v>
      </c>
      <c r="F238" s="31">
        <f>IFERROR(D238-E238,0)</f>
        <v/>
      </c>
    </row>
    <row r="239" ht="15" customHeight="1" s="47">
      <c r="B239" s="42" t="inlineStr">
        <is>
          <t>Peoria, IL</t>
        </is>
      </c>
      <c r="C239" s="46" t="inlineStr">
        <is>
          <t>Branches</t>
        </is>
      </c>
      <c r="D239" s="58" t="n">
        <v>7</v>
      </c>
      <c r="E239" s="58" t="n">
        <v>78</v>
      </c>
    </row>
    <row r="240" ht="15" customHeight="1" s="47">
      <c r="C240" s="46" t="inlineStr">
        <is>
          <t>LMICT</t>
        </is>
      </c>
      <c r="D240" s="29" t="n">
        <v>0.8</v>
      </c>
      <c r="E240" s="29" t="n">
        <v>0.2272727272727273</v>
      </c>
      <c r="F240" s="31">
        <f>IFERROR(D240-E240,0)</f>
        <v/>
      </c>
    </row>
    <row r="241" ht="15" customHeight="1" s="47">
      <c r="C241" s="46" t="inlineStr">
        <is>
          <t>MMCT</t>
        </is>
      </c>
      <c r="D241" s="29" t="n">
        <v>0.2</v>
      </c>
      <c r="E241" s="29" t="n">
        <v>0.06060606060606061</v>
      </c>
      <c r="F241" s="31">
        <f>IFERROR(D241-E241,0)</f>
        <v/>
      </c>
    </row>
    <row r="242" ht="15" customHeight="1" s="47">
      <c r="B242" s="42" t="inlineStr">
        <is>
          <t>Rockford, IL</t>
        </is>
      </c>
      <c r="C242" s="46" t="inlineStr">
        <is>
          <t>Branches</t>
        </is>
      </c>
      <c r="D242" s="58" t="n">
        <v>5</v>
      </c>
      <c r="E242" s="58" t="n">
        <v>66</v>
      </c>
    </row>
    <row r="243" ht="15" customHeight="1" s="47">
      <c r="C243" s="46" t="inlineStr">
        <is>
          <t>LMICT</t>
        </is>
      </c>
      <c r="D243" s="29" t="n">
        <v>0.2</v>
      </c>
      <c r="E243" s="29" t="n">
        <v>0.3142857142857143</v>
      </c>
      <c r="F243" s="31">
        <f>IFERROR(D243-E243,0)</f>
        <v/>
      </c>
    </row>
    <row r="244" ht="15" customHeight="1" s="47">
      <c r="C244" s="46" t="inlineStr">
        <is>
          <t>MMCT</t>
        </is>
      </c>
      <c r="D244" s="29" t="n">
        <v>0.2</v>
      </c>
      <c r="E244" s="29" t="n">
        <v>0.01428571428571429</v>
      </c>
      <c r="F244" s="31">
        <f>IFERROR(D244-E244,0)</f>
        <v/>
      </c>
    </row>
    <row r="245" ht="15" customHeight="1" s="47">
      <c r="B245" s="42" t="inlineStr">
        <is>
          <t>Springfield, IL</t>
        </is>
      </c>
      <c r="C245" s="46" t="inlineStr">
        <is>
          <t>Branches</t>
        </is>
      </c>
      <c r="D245" s="58" t="n">
        <v>5</v>
      </c>
      <c r="E245" s="58" t="n">
        <v>70</v>
      </c>
    </row>
    <row r="246" ht="15" customHeight="1" s="47">
      <c r="C246" s="46" t="inlineStr">
        <is>
          <t>LMICT</t>
        </is>
      </c>
      <c r="D246" s="29" t="n">
        <v>0</v>
      </c>
      <c r="E246" s="29" t="n">
        <v>0.303030303030303</v>
      </c>
      <c r="F246" s="31">
        <f>IFERROR(D246-E246,0)</f>
        <v/>
      </c>
    </row>
    <row r="247" ht="15" customHeight="1" s="47">
      <c r="C247" s="46" t="inlineStr">
        <is>
          <t>MMCT</t>
        </is>
      </c>
      <c r="D247" s="29" t="n">
        <v>0</v>
      </c>
      <c r="E247" s="29" t="n">
        <v>0</v>
      </c>
      <c r="F247" s="31">
        <f>IFERROR(D247-E247,0)</f>
        <v/>
      </c>
    </row>
    <row r="248" ht="15" customHeight="1" s="47">
      <c r="B248" s="42" t="inlineStr">
        <is>
          <t>Bloomington, IN</t>
        </is>
      </c>
      <c r="C248" s="46" t="inlineStr">
        <is>
          <t>Branches</t>
        </is>
      </c>
      <c r="D248" s="58" t="n">
        <v>0</v>
      </c>
      <c r="E248" s="58" t="n">
        <v>33</v>
      </c>
    </row>
    <row r="249" ht="15" customHeight="1" s="47">
      <c r="C249" s="46" t="inlineStr">
        <is>
          <t>LMICT</t>
        </is>
      </c>
      <c r="D249" s="29" t="n">
        <v>1</v>
      </c>
      <c r="E249" s="29" t="n">
        <v>0.3333333333333333</v>
      </c>
      <c r="F249" s="31">
        <f>IFERROR(D249-E249,0)</f>
        <v/>
      </c>
    </row>
    <row r="250" ht="15" customHeight="1" s="47">
      <c r="C250" s="46" t="inlineStr">
        <is>
          <t>MMCT</t>
        </is>
      </c>
      <c r="D250" s="29" t="n">
        <v>0</v>
      </c>
      <c r="E250" s="29" t="n">
        <v>0</v>
      </c>
      <c r="F250" s="31">
        <f>IFERROR(D250-E250,0)</f>
        <v/>
      </c>
    </row>
    <row r="251" ht="15" customHeight="1" s="47">
      <c r="B251" s="42" t="inlineStr">
        <is>
          <t>Indiana Non-MSA</t>
        </is>
      </c>
      <c r="C251" s="46" t="inlineStr">
        <is>
          <t>Branches</t>
        </is>
      </c>
      <c r="D251" s="58" t="n">
        <v>1</v>
      </c>
      <c r="E251" s="58" t="n">
        <v>6</v>
      </c>
    </row>
    <row r="252" ht="15" customHeight="1" s="47">
      <c r="C252" s="46" t="inlineStr">
        <is>
          <t>LMICT</t>
        </is>
      </c>
      <c r="D252" s="29" t="n">
        <v>0</v>
      </c>
      <c r="E252" s="29" t="n">
        <v>0.4</v>
      </c>
      <c r="F252" s="31">
        <f>IFERROR(D252-E252,0)</f>
        <v/>
      </c>
    </row>
    <row r="253" ht="15" customHeight="1" s="47">
      <c r="C253" s="46" t="inlineStr">
        <is>
          <t>MMCT</t>
        </is>
      </c>
      <c r="D253" s="29" t="n">
        <v>0</v>
      </c>
      <c r="E253" s="29" t="n">
        <v>0</v>
      </c>
      <c r="F253" s="31">
        <f>IFERROR(D253-E253,0)</f>
        <v/>
      </c>
    </row>
    <row r="254" ht="15" customHeight="1" s="47">
      <c r="B254" s="42" t="inlineStr">
        <is>
          <t>Columbus, IN</t>
        </is>
      </c>
      <c r="C254" s="46" t="inlineStr">
        <is>
          <t>Branches</t>
        </is>
      </c>
      <c r="D254" s="58" t="n">
        <v>1</v>
      </c>
      <c r="E254" s="58" t="n">
        <v>20</v>
      </c>
    </row>
    <row r="255" ht="15" customHeight="1" s="47">
      <c r="C255" s="46" t="inlineStr">
        <is>
          <t>LMICT</t>
        </is>
      </c>
      <c r="D255" s="29" t="n">
        <v>0</v>
      </c>
      <c r="E255" s="29" t="n">
        <v>0.1428571428571428</v>
      </c>
      <c r="F255" s="31">
        <f>IFERROR(D255-E255,0)</f>
        <v/>
      </c>
    </row>
    <row r="256" ht="15" customHeight="1" s="47">
      <c r="C256" s="46" t="inlineStr">
        <is>
          <t>MMCT</t>
        </is>
      </c>
      <c r="D256" s="29" t="n">
        <v>0</v>
      </c>
      <c r="E256" s="29" t="n">
        <v>0</v>
      </c>
      <c r="F256" s="31">
        <f>IFERROR(D256-E256,0)</f>
        <v/>
      </c>
    </row>
    <row r="257" ht="15" customHeight="1" s="47">
      <c r="B257" s="42" t="inlineStr">
        <is>
          <t>Indiana Non-MSA</t>
        </is>
      </c>
      <c r="C257" s="46" t="inlineStr">
        <is>
          <t>Branches</t>
        </is>
      </c>
      <c r="D257" s="58" t="n">
        <v>1</v>
      </c>
      <c r="E257" s="58" t="n">
        <v>14</v>
      </c>
    </row>
    <row r="258" ht="15" customHeight="1" s="47">
      <c r="C258" s="46" t="inlineStr">
        <is>
          <t>LMICT</t>
        </is>
      </c>
      <c r="D258" s="29" t="n">
        <v>0</v>
      </c>
      <c r="E258" s="29" t="n">
        <v>0.24</v>
      </c>
      <c r="F258" s="31">
        <f>IFERROR(D258-E258,0)</f>
        <v/>
      </c>
    </row>
    <row r="259" ht="15" customHeight="1" s="47">
      <c r="C259" s="46" t="inlineStr">
        <is>
          <t>MMCT</t>
        </is>
      </c>
      <c r="D259" s="29" t="n">
        <v>0</v>
      </c>
      <c r="E259" s="29" t="n">
        <v>0.1</v>
      </c>
      <c r="F259" s="31">
        <f>IFERROR(D259-E259,0)</f>
        <v/>
      </c>
    </row>
    <row r="260" ht="15" customHeight="1" s="47">
      <c r="A260" s="46" t="inlineStr">
        <is>
          <t>Missouri</t>
        </is>
      </c>
      <c r="B260" s="42" t="inlineStr">
        <is>
          <t>Elkhart-Goshen, IN</t>
        </is>
      </c>
      <c r="C260" s="46" t="inlineStr">
        <is>
          <t>Branches</t>
        </is>
      </c>
      <c r="D260" s="58" t="n">
        <v>1</v>
      </c>
      <c r="E260" s="58" t="n">
        <v>50</v>
      </c>
    </row>
    <row r="261" ht="15" customHeight="1" s="47">
      <c r="C261" s="46" t="inlineStr">
        <is>
          <t>LMICT</t>
        </is>
      </c>
      <c r="D261" s="29" t="n">
        <v>0.4285714285714285</v>
      </c>
      <c r="E261" s="29" t="n">
        <v>0.103448275862069</v>
      </c>
      <c r="F261" s="31">
        <f>IFERROR(D261-E261,0)</f>
        <v/>
      </c>
    </row>
    <row r="262" ht="15" customHeight="1" s="47">
      <c r="C262" s="46" t="inlineStr">
        <is>
          <t>MMCT</t>
        </is>
      </c>
      <c r="D262" s="29" t="n">
        <v>0</v>
      </c>
      <c r="E262" s="29" t="n">
        <v>0.03448275862068965</v>
      </c>
      <c r="F262" s="31">
        <f>IFERROR(D262-E262,0)</f>
        <v/>
      </c>
    </row>
    <row r="263" ht="15" customHeight="1" s="47">
      <c r="B263" s="42" t="inlineStr">
        <is>
          <t>Fort Wayne, IN</t>
        </is>
      </c>
      <c r="C263" s="46" t="inlineStr">
        <is>
          <t>Branches</t>
        </is>
      </c>
      <c r="D263" s="58" t="n">
        <v>7</v>
      </c>
      <c r="E263" s="58" t="n">
        <v>87</v>
      </c>
    </row>
    <row r="264" ht="15" customHeight="1" s="47">
      <c r="C264" s="46" t="inlineStr">
        <is>
          <t>LMICT</t>
        </is>
      </c>
      <c r="D264" s="29" t="n">
        <v>0</v>
      </c>
      <c r="E264" s="29" t="n">
        <v>0.1538461538461539</v>
      </c>
      <c r="F264" s="31">
        <f>IFERROR(D264-E264,0)</f>
        <v/>
      </c>
    </row>
    <row r="265" ht="15" customHeight="1" s="47">
      <c r="C265" s="46" t="inlineStr">
        <is>
          <t>MMCT</t>
        </is>
      </c>
      <c r="D265" s="29" t="n">
        <v>0</v>
      </c>
      <c r="E265" s="29" t="n">
        <v>0</v>
      </c>
      <c r="F265" s="31">
        <f>IFERROR(D265-E265,0)</f>
        <v/>
      </c>
    </row>
    <row r="266" ht="15" customHeight="1" s="47">
      <c r="A266" s="46" t="inlineStr">
        <is>
          <t>New Jersey</t>
        </is>
      </c>
      <c r="B266" s="42" t="inlineStr">
        <is>
          <t>Indiana Non-MSA</t>
        </is>
      </c>
      <c r="C266" s="46" t="inlineStr">
        <is>
          <t>Branches</t>
        </is>
      </c>
      <c r="D266" s="58" t="n">
        <v>1</v>
      </c>
      <c r="E266" s="58" t="n">
        <v>13</v>
      </c>
    </row>
    <row r="267" ht="15" customHeight="1" s="47">
      <c r="C267" s="46" t="inlineStr">
        <is>
          <t>LMICT</t>
        </is>
      </c>
      <c r="D267" s="29" t="n">
        <v>0.3636363636363636</v>
      </c>
      <c r="E267" s="29" t="n">
        <v>0.2167832167832168</v>
      </c>
      <c r="F267" s="31">
        <f>IFERROR(D267-E267,0)</f>
        <v/>
      </c>
    </row>
    <row r="268" ht="15" customHeight="1" s="47">
      <c r="C268" s="46" t="inlineStr">
        <is>
          <t>MMCT</t>
        </is>
      </c>
      <c r="D268" s="29" t="n">
        <v>0.2045454545454546</v>
      </c>
      <c r="E268" s="29" t="n">
        <v>0.1165501165501165</v>
      </c>
      <c r="F268" s="31">
        <f>IFERROR(D268-E268,0)</f>
        <v/>
      </c>
    </row>
    <row r="269" ht="15" customHeight="1" s="47">
      <c r="B269" s="42" t="inlineStr">
        <is>
          <t>Indianapolis-Carmel-Anderson, IN</t>
        </is>
      </c>
      <c r="C269" s="46" t="inlineStr">
        <is>
          <t>Branches</t>
        </is>
      </c>
      <c r="D269" s="58" t="n">
        <v>44</v>
      </c>
      <c r="E269" s="58" t="n">
        <v>429</v>
      </c>
    </row>
    <row r="270" ht="15" customHeight="1" s="47">
      <c r="C270" s="46" t="inlineStr">
        <is>
          <t>LMICT</t>
        </is>
      </c>
      <c r="D270" s="29" t="n">
        <v>0</v>
      </c>
      <c r="E270" s="29" t="n">
        <v>0.631578947368421</v>
      </c>
      <c r="F270" s="31">
        <f>IFERROR(D270-E270,0)</f>
        <v/>
      </c>
    </row>
    <row r="271" ht="15" customHeight="1" s="47">
      <c r="C271" s="46" t="inlineStr">
        <is>
          <t>MMCT</t>
        </is>
      </c>
      <c r="D271" s="29" t="n">
        <v>0</v>
      </c>
      <c r="E271" s="29" t="n">
        <v>0.2631578947368421</v>
      </c>
      <c r="F271" s="31">
        <f>IFERROR(D271-E271,0)</f>
        <v/>
      </c>
    </row>
    <row r="272" ht="15" customHeight="1" s="47">
      <c r="B272" s="42" t="inlineStr">
        <is>
          <t>Kokomo, IN</t>
        </is>
      </c>
      <c r="C272" s="46" t="inlineStr">
        <is>
          <t>Branches</t>
        </is>
      </c>
      <c r="D272" s="58" t="n">
        <v>1</v>
      </c>
      <c r="E272" s="58" t="n">
        <v>19</v>
      </c>
    </row>
    <row r="273" ht="15" customHeight="1" s="47">
      <c r="C273" s="46" t="inlineStr">
        <is>
          <t>LMICT</t>
        </is>
      </c>
      <c r="D273" s="29" t="n">
        <v>0</v>
      </c>
      <c r="E273" s="29" t="n">
        <v>0.5</v>
      </c>
      <c r="F273" s="31">
        <f>IFERROR(D273-E273,0)</f>
        <v/>
      </c>
    </row>
    <row r="274" ht="15" customHeight="1" s="47">
      <c r="C274" s="46" t="inlineStr">
        <is>
          <t>MMCT</t>
        </is>
      </c>
      <c r="D274" s="29" t="n">
        <v>0</v>
      </c>
      <c r="E274" s="29" t="n">
        <v>0.02272727272727273</v>
      </c>
      <c r="F274" s="31">
        <f>IFERROR(D274-E274,0)</f>
        <v/>
      </c>
    </row>
    <row r="275" ht="15" customHeight="1" s="47">
      <c r="B275" s="42" t="inlineStr">
        <is>
          <t>Lafayette-West Lafayette, IN</t>
        </is>
      </c>
      <c r="C275" s="46" t="inlineStr">
        <is>
          <t>Branches</t>
        </is>
      </c>
      <c r="D275" s="58" t="n">
        <v>0</v>
      </c>
      <c r="E275" s="58" t="n">
        <v>44</v>
      </c>
    </row>
    <row r="276" ht="15" customHeight="1" s="47">
      <c r="C276" s="46" t="inlineStr">
        <is>
          <t>LMICT</t>
        </is>
      </c>
      <c r="D276" s="29" t="n">
        <v>1</v>
      </c>
      <c r="E276" s="29" t="n">
        <v>0.1111111111111111</v>
      </c>
      <c r="F276" s="31">
        <f>IFERROR(D276-E276,0)</f>
        <v/>
      </c>
    </row>
    <row r="277" ht="15" customHeight="1" s="47">
      <c r="C277" s="46" t="inlineStr">
        <is>
          <t>MMCT</t>
        </is>
      </c>
      <c r="D277" s="29" t="n">
        <v>0</v>
      </c>
      <c r="E277" s="29" t="n">
        <v>0.1111111111111111</v>
      </c>
      <c r="F277" s="31">
        <f>IFERROR(D277-E277,0)</f>
        <v/>
      </c>
    </row>
    <row r="278" ht="15" customHeight="1" s="47">
      <c r="B278" s="42" t="inlineStr">
        <is>
          <t>Indiana Non-MSA</t>
        </is>
      </c>
      <c r="C278" s="46" t="inlineStr">
        <is>
          <t>Branches</t>
        </is>
      </c>
      <c r="D278" s="58" t="n">
        <v>1</v>
      </c>
      <c r="E278" s="58" t="n">
        <v>9</v>
      </c>
    </row>
    <row r="279" ht="15" customHeight="1" s="47">
      <c r="C279" s="46" t="inlineStr">
        <is>
          <t>LMICT</t>
        </is>
      </c>
      <c r="D279" s="29" t="n">
        <v>0.2564102564102564</v>
      </c>
      <c r="E279" s="29" t="n">
        <v>0.1843137254901961</v>
      </c>
      <c r="F279" s="31">
        <f>IFERROR(D279-E279,0)</f>
        <v/>
      </c>
    </row>
    <row r="280" ht="15" customHeight="1" s="47">
      <c r="C280" s="46" t="inlineStr">
        <is>
          <t>MMCT</t>
        </is>
      </c>
      <c r="D280" s="29" t="n">
        <v>0.1282051282051282</v>
      </c>
      <c r="E280" s="29" t="n">
        <v>0.1215686274509804</v>
      </c>
      <c r="F280" s="31">
        <f>IFERROR(D280-E280,0)</f>
        <v/>
      </c>
    </row>
    <row r="281" ht="15" customHeight="1" s="47">
      <c r="B281" s="42" t="inlineStr">
        <is>
          <t>Louisville/Jefferson County, KY-IN</t>
        </is>
      </c>
      <c r="C281" s="46" t="inlineStr">
        <is>
          <t>Branches</t>
        </is>
      </c>
      <c r="D281" s="58" t="n">
        <v>39</v>
      </c>
      <c r="E281" s="58" t="n">
        <v>255</v>
      </c>
    </row>
    <row r="282" ht="15" customHeight="1" s="47">
      <c r="C282" s="46" t="inlineStr">
        <is>
          <t>LMICT</t>
        </is>
      </c>
      <c r="D282" s="29" t="n">
        <v>0</v>
      </c>
      <c r="E282" s="29" t="n">
        <v>0</v>
      </c>
      <c r="F282" s="31">
        <f>IFERROR(D282-E282,0)</f>
        <v/>
      </c>
    </row>
    <row r="283" ht="15" customHeight="1" s="47">
      <c r="C283" s="46" t="inlineStr">
        <is>
          <t>MMCT</t>
        </is>
      </c>
      <c r="D283" s="29" t="n">
        <v>0</v>
      </c>
      <c r="E283" s="29" t="n">
        <v>0</v>
      </c>
      <c r="F283" s="31">
        <f>IFERROR(D283-E283,0)</f>
        <v/>
      </c>
    </row>
    <row r="284" ht="15" customHeight="1" s="47">
      <c r="B284" s="42" t="inlineStr">
        <is>
          <t>Indiana Non-MSA</t>
        </is>
      </c>
      <c r="C284" s="46" t="inlineStr">
        <is>
          <t>Branches</t>
        </is>
      </c>
      <c r="D284" s="58" t="n">
        <v>0</v>
      </c>
      <c r="E284" s="58" t="n">
        <v>4</v>
      </c>
    </row>
    <row r="285" ht="15" customHeight="1" s="47">
      <c r="C285" s="46" t="inlineStr">
        <is>
          <t>LMICT</t>
        </is>
      </c>
      <c r="D285" s="29" t="n">
        <v>1</v>
      </c>
      <c r="E285" s="29" t="n">
        <v>0.75</v>
      </c>
      <c r="F285" s="31">
        <f>IFERROR(D285-E285,0)</f>
        <v/>
      </c>
    </row>
    <row r="286" ht="15" customHeight="1" s="47">
      <c r="C286" s="46" t="inlineStr">
        <is>
          <t>MMCT</t>
        </is>
      </c>
      <c r="D286" s="29" t="n">
        <v>0</v>
      </c>
      <c r="E286" s="29" t="n">
        <v>0</v>
      </c>
      <c r="F286" s="31">
        <f>IFERROR(D286-E286,0)</f>
        <v/>
      </c>
    </row>
    <row r="287" ht="15" customHeight="1" s="47">
      <c r="A287" s="46" t="inlineStr">
        <is>
          <t>New York</t>
        </is>
      </c>
      <c r="B287" s="42" t="inlineStr">
        <is>
          <t>Indiana Non-MSA</t>
        </is>
      </c>
      <c r="C287" s="46" t="inlineStr">
        <is>
          <t>Branches</t>
        </is>
      </c>
      <c r="D287" s="58" t="n">
        <v>1</v>
      </c>
      <c r="E287" s="58" t="n">
        <v>8</v>
      </c>
    </row>
    <row r="288" ht="15" customHeight="1" s="47">
      <c r="C288" s="46" t="inlineStr">
        <is>
          <t>LMICT</t>
        </is>
      </c>
      <c r="D288" s="29" t="n">
        <v>0</v>
      </c>
      <c r="E288" s="29" t="n">
        <v>0.25</v>
      </c>
      <c r="F288" s="31">
        <f>IFERROR(D288-E288,0)</f>
        <v/>
      </c>
    </row>
    <row r="289" ht="15" customHeight="1" s="47">
      <c r="C289" s="46" t="inlineStr">
        <is>
          <t>MMCT</t>
        </is>
      </c>
      <c r="D289" s="29" t="n">
        <v>0</v>
      </c>
      <c r="E289" s="29" t="n">
        <v>0</v>
      </c>
      <c r="F289" s="31">
        <f>IFERROR(D289-E289,0)</f>
        <v/>
      </c>
    </row>
    <row r="290" ht="15" customHeight="1" s="47">
      <c r="A290" s="46" t="inlineStr">
        <is>
          <t>Kentucky</t>
        </is>
      </c>
      <c r="B290" s="42" t="inlineStr">
        <is>
          <t>Indiana Non-MSA</t>
        </is>
      </c>
      <c r="C290" s="46" t="inlineStr">
        <is>
          <t>Branches</t>
        </is>
      </c>
      <c r="D290" s="58" t="n">
        <v>0</v>
      </c>
      <c r="E290" s="58" t="n">
        <v>16</v>
      </c>
    </row>
    <row r="291" ht="15" customHeight="1" s="47">
      <c r="C291" s="46" t="inlineStr">
        <is>
          <t>LMICT</t>
        </is>
      </c>
      <c r="D291" s="29" t="n">
        <v>0</v>
      </c>
      <c r="E291" s="29" t="n">
        <v>0.4615384615384615</v>
      </c>
      <c r="F291" s="31">
        <f>IFERROR(D291-E291,0)</f>
        <v/>
      </c>
    </row>
    <row r="292" ht="15" customHeight="1" s="47">
      <c r="C292" s="46" t="inlineStr">
        <is>
          <t>MMCT</t>
        </is>
      </c>
      <c r="D292" s="29" t="n">
        <v>0</v>
      </c>
      <c r="E292" s="29" t="n">
        <v>0.3846153846153847</v>
      </c>
      <c r="F292" s="31">
        <f>IFERROR(D292-E292,0)</f>
        <v/>
      </c>
    </row>
    <row r="293" ht="15" customHeight="1" s="47">
      <c r="B293" s="42" t="inlineStr">
        <is>
          <t>Indiana Non-MSA</t>
        </is>
      </c>
      <c r="C293" s="46" t="inlineStr">
        <is>
          <t>Branches</t>
        </is>
      </c>
      <c r="D293" s="58" t="n">
        <v>1</v>
      </c>
      <c r="E293" s="58" t="n">
        <v>13</v>
      </c>
    </row>
    <row r="294" ht="15" customHeight="1" s="47">
      <c r="C294" s="46" t="inlineStr">
        <is>
          <t>LMICT</t>
        </is>
      </c>
      <c r="D294" s="29" t="n">
        <v>0.5</v>
      </c>
      <c r="E294" s="29" t="n">
        <v>0.4074074074074074</v>
      </c>
      <c r="F294" s="31">
        <f>IFERROR(D294-E294,0)</f>
        <v/>
      </c>
    </row>
    <row r="295" ht="15" customHeight="1" s="47">
      <c r="C295" s="46" t="inlineStr">
        <is>
          <t>MMCT</t>
        </is>
      </c>
      <c r="D295" s="29" t="n">
        <v>0.25</v>
      </c>
      <c r="E295" s="29" t="n">
        <v>0.1111111111111111</v>
      </c>
      <c r="F295" s="31">
        <f>IFERROR(D295-E295,0)</f>
        <v/>
      </c>
    </row>
    <row r="296" ht="15" customHeight="1" s="47">
      <c r="B296" s="42" t="inlineStr">
        <is>
          <t>South Bend-Mishawaka, IN-MI</t>
        </is>
      </c>
      <c r="C296" s="46" t="inlineStr">
        <is>
          <t>Branches</t>
        </is>
      </c>
      <c r="D296" s="58" t="n">
        <v>4</v>
      </c>
      <c r="E296" s="58" t="n">
        <v>54</v>
      </c>
    </row>
    <row r="297" ht="15" customHeight="1" s="47">
      <c r="C297" s="46" t="inlineStr">
        <is>
          <t>LMICT</t>
        </is>
      </c>
      <c r="D297" s="29" t="n">
        <v>1</v>
      </c>
      <c r="E297" s="29" t="n">
        <v>0.3103448275862069</v>
      </c>
      <c r="F297" s="31">
        <f>IFERROR(D297-E297,0)</f>
        <v/>
      </c>
    </row>
    <row r="298" ht="15" customHeight="1" s="47">
      <c r="C298" s="46" t="inlineStr">
        <is>
          <t>MMCT</t>
        </is>
      </c>
      <c r="D298" s="29" t="n">
        <v>0</v>
      </c>
      <c r="E298" s="29" t="n">
        <v>0</v>
      </c>
      <c r="F298" s="31">
        <f>IFERROR(D298-E298,0)</f>
        <v/>
      </c>
    </row>
    <row r="299" ht="15" customHeight="1" s="47">
      <c r="B299" s="42" t="inlineStr">
        <is>
          <t>Indiana Non-MSA</t>
        </is>
      </c>
      <c r="C299" s="46" t="inlineStr">
        <is>
          <t>Branches</t>
        </is>
      </c>
      <c r="D299" s="58" t="n">
        <v>2</v>
      </c>
      <c r="E299" s="58" t="n">
        <v>29</v>
      </c>
    </row>
    <row r="300" ht="15" customHeight="1" s="47">
      <c r="C300" s="46" t="inlineStr">
        <is>
          <t>LMICT</t>
        </is>
      </c>
      <c r="D300" s="29" t="n">
        <v>0.5</v>
      </c>
      <c r="E300" s="29" t="n">
        <v>0.2051282051282051</v>
      </c>
      <c r="F300" s="31">
        <f>IFERROR(D300-E300,0)</f>
        <v/>
      </c>
    </row>
    <row r="301" ht="15" customHeight="1" s="47">
      <c r="C301" s="46" t="inlineStr">
        <is>
          <t>MMCT</t>
        </is>
      </c>
      <c r="D301" s="29" t="n">
        <v>0.5</v>
      </c>
      <c r="E301" s="29" t="n">
        <v>0.2307692307692308</v>
      </c>
      <c r="F301" s="31">
        <f>IFERROR(D301-E301,0)</f>
        <v/>
      </c>
    </row>
    <row r="302" ht="15" customHeight="1" s="47">
      <c r="B302" s="42" t="inlineStr">
        <is>
          <t>Atlantic City-Hammonton, NJ</t>
        </is>
      </c>
      <c r="C302" s="46" t="inlineStr">
        <is>
          <t>Branches</t>
        </is>
      </c>
      <c r="D302" s="58" t="n">
        <v>4</v>
      </c>
      <c r="E302" s="58" t="n">
        <v>39</v>
      </c>
    </row>
    <row r="303" ht="15" customHeight="1" s="47">
      <c r="C303" s="46" t="inlineStr">
        <is>
          <t>LMICT</t>
        </is>
      </c>
      <c r="D303" s="29" t="n">
        <v>0.2222222222222222</v>
      </c>
      <c r="E303" s="29" t="n">
        <v>0.1954713493530499</v>
      </c>
      <c r="F303" s="31">
        <f>IFERROR(D303-E303,0)</f>
        <v/>
      </c>
    </row>
    <row r="304" ht="15" customHeight="1" s="47">
      <c r="C304" s="46" t="inlineStr">
        <is>
          <t>MMCT</t>
        </is>
      </c>
      <c r="D304" s="29" t="n">
        <v>0.4047619047619048</v>
      </c>
      <c r="E304" s="29" t="n">
        <v>0.355822550831793</v>
      </c>
      <c r="F304" s="31">
        <f>IFERROR(D304-E304,0)</f>
        <v/>
      </c>
    </row>
    <row r="305" ht="15" customHeight="1" s="47">
      <c r="B305" s="42" t="inlineStr">
        <is>
          <t>New York-Newark-Jersey City, NY-NJ-PA</t>
        </is>
      </c>
      <c r="C305" s="46" t="inlineStr">
        <is>
          <t>Branches</t>
        </is>
      </c>
      <c r="D305" s="58" t="n">
        <v>126</v>
      </c>
      <c r="E305" s="58" t="n">
        <v>2164</v>
      </c>
    </row>
    <row r="306" ht="15" customHeight="1" s="47">
      <c r="C306" s="46" t="inlineStr">
        <is>
          <t>LMICT</t>
        </is>
      </c>
      <c r="D306" s="29" t="n">
        <v>0</v>
      </c>
      <c r="E306" s="29" t="n">
        <v>0.02777777777777778</v>
      </c>
      <c r="F306" s="31">
        <f>IFERROR(D306-E306,0)</f>
        <v/>
      </c>
    </row>
    <row r="307" ht="15" customHeight="1" s="47">
      <c r="C307" s="46" t="inlineStr">
        <is>
          <t>MMCT</t>
        </is>
      </c>
      <c r="D307" s="29" t="n">
        <v>0</v>
      </c>
      <c r="E307" s="29" t="n">
        <v>0</v>
      </c>
      <c r="F307" s="31">
        <f>IFERROR(D307-E307,0)</f>
        <v/>
      </c>
    </row>
    <row r="308" ht="15" customHeight="1" s="47">
      <c r="B308" s="42" t="inlineStr">
        <is>
          <t>Ocean City, NJ</t>
        </is>
      </c>
      <c r="C308" s="46" t="inlineStr">
        <is>
          <t>Branches</t>
        </is>
      </c>
      <c r="D308" s="58" t="n">
        <v>4</v>
      </c>
      <c r="E308" s="58" t="n">
        <v>36</v>
      </c>
    </row>
    <row r="309" ht="15" customHeight="1" s="47">
      <c r="C309" s="46" t="inlineStr">
        <is>
          <t>LMICT</t>
        </is>
      </c>
      <c r="D309" s="29" t="n">
        <v>0.2307692307692308</v>
      </c>
      <c r="E309" s="29" t="n">
        <v>0.2045454545454546</v>
      </c>
      <c r="F309" s="31">
        <f>IFERROR(D309-E309,0)</f>
        <v/>
      </c>
    </row>
    <row r="310" ht="15" customHeight="1" s="47">
      <c r="C310" s="46" t="inlineStr">
        <is>
          <t>MMCT</t>
        </is>
      </c>
      <c r="D310" s="29" t="n">
        <v>0.4615384615384615</v>
      </c>
      <c r="E310" s="29" t="n">
        <v>0.4090909090909091</v>
      </c>
      <c r="F310" s="31">
        <f>IFERROR(D310-E310,0)</f>
        <v/>
      </c>
    </row>
    <row r="311" ht="15" customHeight="1" s="47">
      <c r="B311" s="42" t="inlineStr">
        <is>
          <t>Trenton-Princeton, NJ</t>
        </is>
      </c>
      <c r="C311" s="46" t="inlineStr">
        <is>
          <t>Branches</t>
        </is>
      </c>
      <c r="D311" s="58" t="n">
        <v>13</v>
      </c>
      <c r="E311" s="58" t="n">
        <v>88</v>
      </c>
    </row>
    <row r="312" ht="15" customHeight="1" s="47">
      <c r="C312" s="46" t="inlineStr">
        <is>
          <t>LMICT</t>
        </is>
      </c>
      <c r="D312" s="29" t="n">
        <v>1</v>
      </c>
      <c r="E312" s="29" t="n">
        <v>0.1904761904761905</v>
      </c>
      <c r="F312" s="31">
        <f>IFERROR(D312-E312,0)</f>
        <v/>
      </c>
    </row>
    <row r="313" ht="15" customHeight="1" s="47">
      <c r="C313" s="46" t="inlineStr">
        <is>
          <t>MMCT</t>
        </is>
      </c>
      <c r="D313" s="29" t="n">
        <v>1</v>
      </c>
      <c r="E313" s="29" t="n">
        <v>0.6190476190476191</v>
      </c>
      <c r="F313" s="31">
        <f>IFERROR(D313-E313,0)</f>
        <v/>
      </c>
    </row>
    <row r="314" ht="15" customHeight="1" s="47">
      <c r="B314" s="42" t="inlineStr">
        <is>
          <t>Vineland-Bridgeton, NJ</t>
        </is>
      </c>
      <c r="C314" s="46" t="inlineStr">
        <is>
          <t>Branches</t>
        </is>
      </c>
      <c r="D314" s="58" t="n">
        <v>1</v>
      </c>
      <c r="E314" s="58" t="n">
        <v>21</v>
      </c>
    </row>
    <row r="315" ht="15" customHeight="1" s="47">
      <c r="C315" s="46" t="inlineStr">
        <is>
          <t>LMICT</t>
        </is>
      </c>
      <c r="D315" s="29" t="n">
        <v>0</v>
      </c>
      <c r="E315" s="29" t="n">
        <v>0.6153846153846154</v>
      </c>
      <c r="F315" s="31">
        <f>IFERROR(D315-E315,0)</f>
        <v/>
      </c>
    </row>
    <row r="316" ht="15" customHeight="1" s="47">
      <c r="C316" s="46" t="inlineStr">
        <is>
          <t>MMCT</t>
        </is>
      </c>
      <c r="D316" s="29" t="n">
        <v>0</v>
      </c>
      <c r="E316" s="29" t="n">
        <v>0</v>
      </c>
      <c r="F316" s="31">
        <f>IFERROR(D316-E316,0)</f>
        <v/>
      </c>
    </row>
    <row r="317" ht="15" customHeight="1" s="47">
      <c r="B317" s="42" t="inlineStr">
        <is>
          <t>Kentucky Non-MSA</t>
        </is>
      </c>
      <c r="C317" s="46" t="inlineStr">
        <is>
          <t>Branches</t>
        </is>
      </c>
      <c r="D317" s="58" t="n">
        <v>1</v>
      </c>
      <c r="E317" s="58" t="n">
        <v>13</v>
      </c>
    </row>
    <row r="318" ht="15" customHeight="1" s="47">
      <c r="C318" s="46" t="inlineStr">
        <is>
          <t>LMICT</t>
        </is>
      </c>
      <c r="D318" s="29" t="n">
        <v>0.3333333333333333</v>
      </c>
      <c r="E318" s="29" t="n">
        <v>0.326530612244898</v>
      </c>
      <c r="F318" s="31">
        <f>IFERROR(D318-E318,0)</f>
        <v/>
      </c>
    </row>
    <row r="319" ht="15" customHeight="1" s="47">
      <c r="C319" s="46" t="inlineStr">
        <is>
          <t>MMCT</t>
        </is>
      </c>
      <c r="D319" s="29" t="n">
        <v>0.3333333333333333</v>
      </c>
      <c r="E319" s="29" t="n">
        <v>0.0816326530612245</v>
      </c>
      <c r="F319" s="31">
        <f>IFERROR(D319-E319,0)</f>
        <v/>
      </c>
    </row>
    <row r="320" ht="15" customHeight="1" s="47">
      <c r="B320" s="42" t="inlineStr">
        <is>
          <t>Bowling Green, KY</t>
        </is>
      </c>
      <c r="C320" s="46" t="inlineStr">
        <is>
          <t>Branches</t>
        </is>
      </c>
      <c r="D320" s="58" t="n">
        <v>3</v>
      </c>
      <c r="E320" s="58" t="n">
        <v>49</v>
      </c>
    </row>
    <row r="321" ht="15" customHeight="1" s="47">
      <c r="C321" s="46" t="inlineStr">
        <is>
          <t>LMICT</t>
        </is>
      </c>
      <c r="D321" s="29" t="n">
        <v>0</v>
      </c>
      <c r="E321" s="29" t="n">
        <v>1</v>
      </c>
      <c r="F321" s="31">
        <f>IFERROR(D321-E321,0)</f>
        <v/>
      </c>
    </row>
    <row r="322" ht="15" customHeight="1" s="47">
      <c r="C322" s="46" t="inlineStr">
        <is>
          <t>MMCT</t>
        </is>
      </c>
      <c r="D322" s="29" t="n">
        <v>0</v>
      </c>
      <c r="E322" s="29" t="n">
        <v>0</v>
      </c>
      <c r="F322" s="31">
        <f>IFERROR(D322-E322,0)</f>
        <v/>
      </c>
    </row>
    <row r="323" ht="15" customHeight="1" s="47">
      <c r="B323" s="42" t="inlineStr">
        <is>
          <t>Kentucky Non-MSA</t>
        </is>
      </c>
      <c r="C323" s="46" t="inlineStr">
        <is>
          <t>Branches</t>
        </is>
      </c>
      <c r="D323" s="58" t="n">
        <v>0</v>
      </c>
      <c r="E323" s="58" t="n">
        <v>4</v>
      </c>
    </row>
    <row r="324" ht="15" customHeight="1" s="47">
      <c r="C324" s="46" t="inlineStr">
        <is>
          <t>LMICT</t>
        </is>
      </c>
      <c r="D324" s="29" t="n">
        <v>1</v>
      </c>
      <c r="E324" s="29" t="n">
        <v>0.375</v>
      </c>
      <c r="F324" s="31">
        <f>IFERROR(D324-E324,0)</f>
        <v/>
      </c>
    </row>
    <row r="325" ht="15" customHeight="1" s="47">
      <c r="C325" s="46" t="inlineStr">
        <is>
          <t>MMCT</t>
        </is>
      </c>
      <c r="D325" s="29" t="n">
        <v>0</v>
      </c>
      <c r="E325" s="29" t="n">
        <v>0</v>
      </c>
      <c r="F325" s="31">
        <f>IFERROR(D325-E325,0)</f>
        <v/>
      </c>
    </row>
    <row r="326" ht="15" customHeight="1" s="47">
      <c r="B326" s="42" t="inlineStr">
        <is>
          <t>Kentucky Non-MSA</t>
        </is>
      </c>
      <c r="C326" s="46" t="inlineStr">
        <is>
          <t>Branches</t>
        </is>
      </c>
      <c r="D326" s="58" t="n">
        <v>1</v>
      </c>
      <c r="E326" s="58" t="n">
        <v>16</v>
      </c>
    </row>
    <row r="327" ht="15" customHeight="1" s="47">
      <c r="C327" s="46" t="inlineStr">
        <is>
          <t>LMICT</t>
        </is>
      </c>
      <c r="D327" s="29" t="n">
        <v>0</v>
      </c>
      <c r="E327" s="29" t="n">
        <v>0.3793103448275862</v>
      </c>
      <c r="F327" s="31">
        <f>IFERROR(D327-E327,0)</f>
        <v/>
      </c>
    </row>
    <row r="328" ht="15" customHeight="1" s="47">
      <c r="C328" s="46" t="inlineStr">
        <is>
          <t>MMCT</t>
        </is>
      </c>
      <c r="D328" s="29" t="n">
        <v>0</v>
      </c>
      <c r="E328" s="29" t="n">
        <v>0</v>
      </c>
      <c r="F328" s="31">
        <f>IFERROR(D328-E328,0)</f>
        <v/>
      </c>
    </row>
    <row r="329" ht="15" customHeight="1" s="47">
      <c r="B329" s="42" t="inlineStr">
        <is>
          <t>Elizabethtown-Fort Knox, KY</t>
        </is>
      </c>
      <c r="C329" s="46" t="inlineStr">
        <is>
          <t>Branches</t>
        </is>
      </c>
      <c r="D329" s="58" t="n">
        <v>1</v>
      </c>
      <c r="E329" s="58" t="n">
        <v>29</v>
      </c>
    </row>
    <row r="330" ht="15" customHeight="1" s="47">
      <c r="C330" s="46" t="inlineStr">
        <is>
          <t>LMICT</t>
        </is>
      </c>
      <c r="D330" s="29" t="n">
        <v>0</v>
      </c>
      <c r="E330" s="29" t="n">
        <v>0.2</v>
      </c>
      <c r="F330" s="31">
        <f>IFERROR(D330-E330,0)</f>
        <v/>
      </c>
    </row>
    <row r="331" ht="15" customHeight="1" s="47">
      <c r="C331" s="46" t="inlineStr">
        <is>
          <t>MMCT</t>
        </is>
      </c>
      <c r="D331" s="29" t="n">
        <v>0</v>
      </c>
      <c r="E331" s="29" t="n">
        <v>0</v>
      </c>
      <c r="F331" s="31">
        <f>IFERROR(D331-E331,0)</f>
        <v/>
      </c>
    </row>
    <row r="332" ht="15" customHeight="1" s="47">
      <c r="B332" s="42" t="inlineStr">
        <is>
          <t>Kentucky Non-MSA</t>
        </is>
      </c>
      <c r="C332" s="46" t="inlineStr">
        <is>
          <t>Branches</t>
        </is>
      </c>
      <c r="D332" s="58" t="n">
        <v>1</v>
      </c>
      <c r="E332" s="58" t="n">
        <v>20</v>
      </c>
    </row>
    <row r="333" ht="15" customHeight="1" s="47">
      <c r="C333" s="46" t="inlineStr">
        <is>
          <t>LMICT</t>
        </is>
      </c>
      <c r="D333" s="29" t="n">
        <v>1</v>
      </c>
      <c r="E333" s="29" t="n">
        <v>0.4745762711864407</v>
      </c>
      <c r="F333" s="31">
        <f>IFERROR(D333-E333,0)</f>
        <v/>
      </c>
    </row>
    <row r="334" ht="15" customHeight="1" s="47">
      <c r="C334" s="46" t="inlineStr">
        <is>
          <t>MMCT</t>
        </is>
      </c>
      <c r="D334" s="29" t="n">
        <v>0</v>
      </c>
      <c r="E334" s="29" t="n">
        <v>0</v>
      </c>
      <c r="F334" s="31">
        <f>IFERROR(D334-E334,0)</f>
        <v/>
      </c>
    </row>
    <row r="335" ht="15" customHeight="1" s="47">
      <c r="B335" s="42" t="inlineStr">
        <is>
          <t>Huntington-Ashland, WV-KY-OH</t>
        </is>
      </c>
      <c r="C335" s="46" t="inlineStr">
        <is>
          <t>Branches</t>
        </is>
      </c>
      <c r="D335" s="59" t="n">
        <v>2</v>
      </c>
      <c r="E335" s="58" t="n">
        <v>59</v>
      </c>
    </row>
    <row r="336" ht="15" customHeight="1" s="47">
      <c r="C336" s="46" t="inlineStr">
        <is>
          <t>LMICT</t>
        </is>
      </c>
      <c r="D336" s="60" t="n">
        <v>0.2727272727272727</v>
      </c>
      <c r="E336" s="29" t="n">
        <v>0.1987179487179487</v>
      </c>
      <c r="F336" s="31">
        <f>IFERROR(D336-E336,0)</f>
        <v/>
      </c>
    </row>
    <row r="337" ht="15" customHeight="1" s="47">
      <c r="C337" s="46" t="inlineStr">
        <is>
          <t>MMCT</t>
        </is>
      </c>
      <c r="D337" s="60" t="n">
        <v>0.1818181818181818</v>
      </c>
      <c r="E337" s="29" t="n">
        <v>0.03846153846153846</v>
      </c>
      <c r="F337" s="31">
        <f>IFERROR(D337-E337,0)</f>
        <v/>
      </c>
    </row>
    <row r="338" ht="15" customHeight="1" s="47">
      <c r="B338" s="42" t="inlineStr">
        <is>
          <t>Lexington-Fayette, KY</t>
        </is>
      </c>
      <c r="C338" s="46" t="inlineStr">
        <is>
          <t>Branches</t>
        </is>
      </c>
      <c r="D338" s="58" t="n">
        <v>11</v>
      </c>
      <c r="E338" s="58" t="n">
        <v>156</v>
      </c>
    </row>
    <row r="339" ht="15" customHeight="1" s="47">
      <c r="C339" s="46" t="inlineStr">
        <is>
          <t>LMICT</t>
        </is>
      </c>
      <c r="D339" s="29" t="n">
        <v>0.75</v>
      </c>
      <c r="E339" s="29" t="n">
        <v>0.4210526315789473</v>
      </c>
      <c r="F339" s="31">
        <f>IFERROR(D339-E339,0)</f>
        <v/>
      </c>
    </row>
    <row r="340" ht="15" customHeight="1" s="47">
      <c r="C340" s="46" t="inlineStr">
        <is>
          <t>MMCT</t>
        </is>
      </c>
      <c r="D340" s="29" t="n">
        <v>0</v>
      </c>
      <c r="E340" s="29" t="n">
        <v>0</v>
      </c>
      <c r="F340" s="31">
        <f>IFERROR(D340-E340,0)</f>
        <v/>
      </c>
    </row>
    <row r="341" ht="15" customHeight="1" s="47">
      <c r="B341" s="42" t="inlineStr">
        <is>
          <t>Kentucky Non-MSA</t>
        </is>
      </c>
      <c r="C341" s="46" t="inlineStr">
        <is>
          <t>Branches</t>
        </is>
      </c>
      <c r="D341" s="58" t="n">
        <v>4</v>
      </c>
      <c r="E341" s="58" t="n">
        <v>38</v>
      </c>
    </row>
    <row r="342" ht="15" customHeight="1" s="47">
      <c r="C342" s="46" t="inlineStr">
        <is>
          <t>LMICT</t>
        </is>
      </c>
      <c r="D342" s="29" t="n">
        <v>0</v>
      </c>
      <c r="E342" s="29" t="n">
        <v>0.2</v>
      </c>
      <c r="F342" s="31">
        <f>IFERROR(D342-E342,0)</f>
        <v/>
      </c>
    </row>
    <row r="343" ht="15" customHeight="1" s="47">
      <c r="C343" s="46" t="inlineStr">
        <is>
          <t>MMCT</t>
        </is>
      </c>
      <c r="D343" s="29" t="n">
        <v>0</v>
      </c>
      <c r="E343" s="29" t="n">
        <v>0</v>
      </c>
      <c r="F343" s="31">
        <f>IFERROR(D343-E343,0)</f>
        <v/>
      </c>
    </row>
    <row r="344" ht="15" customHeight="1" s="47">
      <c r="A344" s="46" t="inlineStr">
        <is>
          <t>Michigan</t>
        </is>
      </c>
      <c r="B344" s="42" t="inlineStr">
        <is>
          <t>Kentucky Non-MSA</t>
        </is>
      </c>
      <c r="C344" s="46" t="inlineStr">
        <is>
          <t>Branches</t>
        </is>
      </c>
      <c r="D344" s="58" t="n">
        <v>0</v>
      </c>
      <c r="E344" s="58" t="n">
        <v>10</v>
      </c>
    </row>
    <row r="345" ht="15" customHeight="1" s="47">
      <c r="C345" s="46" t="inlineStr">
        <is>
          <t>LMICT</t>
        </is>
      </c>
      <c r="D345" s="29" t="n">
        <v>0</v>
      </c>
      <c r="E345" s="29" t="n">
        <v>0.04</v>
      </c>
      <c r="F345" s="31">
        <f>IFERROR(D345-E345,0)</f>
        <v/>
      </c>
    </row>
    <row r="346" ht="15" customHeight="1" s="47">
      <c r="C346" s="46" t="inlineStr">
        <is>
          <t>MMCT</t>
        </is>
      </c>
      <c r="D346" s="29" t="n">
        <v>0</v>
      </c>
      <c r="E346" s="29" t="n">
        <v>0</v>
      </c>
      <c r="F346" s="31">
        <f>IFERROR(D346-E346,0)</f>
        <v/>
      </c>
    </row>
    <row r="347" ht="15" customHeight="1" s="47">
      <c r="B347" s="42" t="inlineStr">
        <is>
          <t>Owensboro, KY</t>
        </is>
      </c>
      <c r="C347" s="46" t="inlineStr">
        <is>
          <t>Branches</t>
        </is>
      </c>
      <c r="D347" s="58" t="n">
        <v>1</v>
      </c>
      <c r="E347" s="58" t="n">
        <v>25</v>
      </c>
    </row>
    <row r="348" ht="15" customHeight="1" s="47">
      <c r="C348" s="46" t="inlineStr">
        <is>
          <t>LMICT</t>
        </is>
      </c>
      <c r="D348" s="29" t="n">
        <v>0</v>
      </c>
      <c r="E348" s="29" t="n">
        <v>0.2727272727272727</v>
      </c>
      <c r="F348" s="31">
        <f>IFERROR(D348-E348,0)</f>
        <v/>
      </c>
    </row>
    <row r="349" ht="15" customHeight="1" s="47">
      <c r="C349" s="46" t="inlineStr">
        <is>
          <t>MMCT</t>
        </is>
      </c>
      <c r="D349" s="29" t="n">
        <v>0</v>
      </c>
      <c r="E349" s="29" t="n">
        <v>0</v>
      </c>
      <c r="F349" s="31">
        <f>IFERROR(D349-E349,0)</f>
        <v/>
      </c>
    </row>
    <row r="350" ht="15" customHeight="1" s="47">
      <c r="B350" s="42" t="inlineStr">
        <is>
          <t>Kentucky Non-MSA</t>
        </is>
      </c>
      <c r="C350" s="46" t="inlineStr">
        <is>
          <t>Branches</t>
        </is>
      </c>
      <c r="D350" s="58" t="n">
        <v>1</v>
      </c>
      <c r="E350" s="58" t="n">
        <v>33</v>
      </c>
    </row>
    <row r="351" ht="15" customHeight="1" s="47">
      <c r="C351" s="46" t="inlineStr">
        <is>
          <t>LMICT</t>
        </is>
      </c>
      <c r="D351" s="29" t="n">
        <v>0.1590909090909091</v>
      </c>
      <c r="E351" s="29" t="n">
        <v>0.162303664921466</v>
      </c>
      <c r="F351" s="31">
        <f>IFERROR(D351-E351,0)</f>
        <v/>
      </c>
    </row>
    <row r="352" ht="15" customHeight="1" s="47">
      <c r="C352" s="46" t="inlineStr">
        <is>
          <t>MMCT</t>
        </is>
      </c>
      <c r="D352" s="29" t="n">
        <v>0.25</v>
      </c>
      <c r="E352" s="29" t="n">
        <v>0.2434554973821989</v>
      </c>
      <c r="F352" s="31">
        <f>IFERROR(D352-E352,0)</f>
        <v/>
      </c>
    </row>
    <row r="353" ht="15" customHeight="1" s="47">
      <c r="B353" s="42" t="inlineStr">
        <is>
          <t>Baltimore-Columbia-Towson, MD</t>
        </is>
      </c>
      <c r="C353" s="46" t="inlineStr">
        <is>
          <t>Branches</t>
        </is>
      </c>
      <c r="D353" s="58" t="n">
        <v>44</v>
      </c>
      <c r="E353" s="58" t="n">
        <v>382</v>
      </c>
    </row>
    <row r="354" ht="15" customHeight="1" s="47">
      <c r="C354" s="46" t="inlineStr">
        <is>
          <t>LMICT</t>
        </is>
      </c>
      <c r="D354" s="29" t="n">
        <v>0</v>
      </c>
      <c r="E354" s="29" t="n">
        <v>0</v>
      </c>
      <c r="F354" s="31">
        <f>IFERROR(D354-E354,0)</f>
        <v/>
      </c>
    </row>
    <row r="355" ht="15" customHeight="1" s="47">
      <c r="C355" s="46" t="inlineStr">
        <is>
          <t>MMCT</t>
        </is>
      </c>
      <c r="D355" s="29" t="n">
        <v>0</v>
      </c>
      <c r="E355" s="29" t="n">
        <v>0</v>
      </c>
      <c r="F355" s="31">
        <f>IFERROR(D355-E355,0)</f>
        <v/>
      </c>
    </row>
    <row r="356" ht="15" customHeight="1" s="47">
      <c r="B356" s="42" t="inlineStr">
        <is>
          <t>California-Lexington Park, MD</t>
        </is>
      </c>
      <c r="C356" s="46" t="inlineStr">
        <is>
          <t>Branches</t>
        </is>
      </c>
      <c r="D356" s="58" t="n">
        <v>3</v>
      </c>
      <c r="E356" s="58" t="n">
        <v>10</v>
      </c>
    </row>
    <row r="357" ht="15" customHeight="1" s="47">
      <c r="C357" s="46" t="inlineStr">
        <is>
          <t>LMICT</t>
        </is>
      </c>
      <c r="D357" s="29" t="n">
        <v>0</v>
      </c>
      <c r="E357" s="29" t="n">
        <v>0.3809523809523809</v>
      </c>
      <c r="F357" s="31">
        <f>IFERROR(D357-E357,0)</f>
        <v/>
      </c>
    </row>
    <row r="358" ht="15" customHeight="1" s="47">
      <c r="C358" s="46" t="inlineStr">
        <is>
          <t>MMCT</t>
        </is>
      </c>
      <c r="D358" s="29" t="n">
        <v>0</v>
      </c>
      <c r="E358" s="29" t="n">
        <v>0</v>
      </c>
      <c r="F358" s="31">
        <f>IFERROR(D358-E358,0)</f>
        <v/>
      </c>
    </row>
    <row r="359" ht="15" customHeight="1" s="47">
      <c r="B359" s="42" t="inlineStr">
        <is>
          <t>Cumberland, MD-WV</t>
        </is>
      </c>
      <c r="C359" s="46" t="inlineStr">
        <is>
          <t>Branches</t>
        </is>
      </c>
      <c r="D359" s="58" t="n">
        <v>0</v>
      </c>
      <c r="E359" s="58" t="n">
        <v>21</v>
      </c>
    </row>
    <row r="360" ht="15" customHeight="1" s="47">
      <c r="C360" s="46" t="inlineStr">
        <is>
          <t>LMICT</t>
        </is>
      </c>
      <c r="D360" s="29" t="n">
        <v>1</v>
      </c>
      <c r="E360" s="29" t="n">
        <v>0.2666666666666667</v>
      </c>
      <c r="F360" s="31">
        <f>IFERROR(D360-E360,0)</f>
        <v/>
      </c>
    </row>
    <row r="361" ht="15" customHeight="1" s="47">
      <c r="C361" s="46" t="inlineStr">
        <is>
          <t>MMCT</t>
        </is>
      </c>
      <c r="D361" s="29" t="n">
        <v>0</v>
      </c>
      <c r="E361" s="29" t="n">
        <v>0</v>
      </c>
      <c r="F361" s="31">
        <f>IFERROR(D361-E361,0)</f>
        <v/>
      </c>
    </row>
    <row r="362" ht="15" customHeight="1" s="47">
      <c r="B362" s="42" t="inlineStr">
        <is>
          <t>Maryland Non-MSA</t>
        </is>
      </c>
      <c r="C362" s="46" t="inlineStr">
        <is>
          <t>Branches</t>
        </is>
      </c>
      <c r="D362" s="58" t="n">
        <v>1</v>
      </c>
      <c r="E362" s="58" t="n">
        <v>15</v>
      </c>
    </row>
    <row r="363" ht="15" customHeight="1" s="47">
      <c r="C363" s="46" t="inlineStr">
        <is>
          <t>LMICT</t>
        </is>
      </c>
      <c r="D363" s="29" t="n">
        <v>0.3333333333333333</v>
      </c>
      <c r="E363" s="29" t="n">
        <v>0.4166666666666667</v>
      </c>
      <c r="F363" s="31">
        <f>IFERROR(D363-E363,0)</f>
        <v/>
      </c>
    </row>
    <row r="364" ht="15" customHeight="1" s="47">
      <c r="C364" s="46" t="inlineStr">
        <is>
          <t>MMCT</t>
        </is>
      </c>
      <c r="D364" s="29" t="n">
        <v>0</v>
      </c>
      <c r="E364" s="29" t="n">
        <v>0.02777777777777778</v>
      </c>
      <c r="F364" s="31">
        <f>IFERROR(D364-E364,0)</f>
        <v/>
      </c>
    </row>
    <row r="365" ht="15" customHeight="1" s="47">
      <c r="B365" s="42" t="inlineStr">
        <is>
          <t>Hagerstown-Martinsburg, MD-WV</t>
        </is>
      </c>
      <c r="C365" s="46" t="inlineStr">
        <is>
          <t>Branches</t>
        </is>
      </c>
      <c r="D365" s="59" t="n">
        <v>3</v>
      </c>
      <c r="E365" s="58" t="n">
        <v>36</v>
      </c>
    </row>
    <row r="366" ht="15" customHeight="1" s="47">
      <c r="C366" s="46" t="inlineStr">
        <is>
          <t>LMICT</t>
        </is>
      </c>
      <c r="D366" s="60" t="n">
        <v>0.2</v>
      </c>
      <c r="E366" s="29" t="n">
        <v>0.217741935483871</v>
      </c>
      <c r="F366" s="31">
        <f>IFERROR(D366-E366,0)</f>
        <v/>
      </c>
    </row>
    <row r="367" ht="15" customHeight="1" s="47">
      <c r="C367" s="46" t="inlineStr">
        <is>
          <t>MMCT</t>
        </is>
      </c>
      <c r="D367" s="60" t="n">
        <v>0.1333333333333333</v>
      </c>
      <c r="E367" s="29" t="n">
        <v>0.1854838709677419</v>
      </c>
      <c r="F367" s="31">
        <f>IFERROR(D367-E367,0)</f>
        <v/>
      </c>
    </row>
    <row r="368" ht="15" customHeight="1" s="47">
      <c r="B368" s="42" t="inlineStr">
        <is>
          <t>Salisbury, MD-DE</t>
        </is>
      </c>
      <c r="C368" s="46" t="inlineStr">
        <is>
          <t>Branches</t>
        </is>
      </c>
      <c r="D368" s="58" t="n">
        <v>15</v>
      </c>
      <c r="E368" s="58" t="n">
        <v>124</v>
      </c>
    </row>
    <row r="369" ht="15" customHeight="1" s="47">
      <c r="C369" s="46" t="inlineStr">
        <is>
          <t>LMICT</t>
        </is>
      </c>
      <c r="D369" s="29" t="n">
        <v>0.1111111111111111</v>
      </c>
      <c r="E369" s="29" t="n">
        <v>0.2376146788990826</v>
      </c>
      <c r="F369" s="31">
        <f>IFERROR(D369-E369,0)</f>
        <v/>
      </c>
    </row>
    <row r="370" ht="15" customHeight="1" s="47">
      <c r="C370" s="46" t="inlineStr">
        <is>
          <t>MMCT</t>
        </is>
      </c>
      <c r="D370" s="29" t="n">
        <v>0.1111111111111111</v>
      </c>
      <c r="E370" s="29" t="n">
        <v>0.1688073394495413</v>
      </c>
      <c r="F370" s="31">
        <f>IFERROR(D370-E370,0)</f>
        <v/>
      </c>
    </row>
    <row r="371" ht="15" customHeight="1" s="47">
      <c r="B371" s="42" t="inlineStr">
        <is>
          <t>Boston-Cambridge-Newton, MA-NH</t>
        </is>
      </c>
      <c r="C371" s="46" t="inlineStr">
        <is>
          <t>Branches</t>
        </is>
      </c>
      <c r="D371" s="58" t="n">
        <v>9</v>
      </c>
      <c r="E371" s="58" t="n">
        <v>1090</v>
      </c>
    </row>
    <row r="372" ht="15" customHeight="1" s="47">
      <c r="C372" s="46" t="inlineStr">
        <is>
          <t>LMICT</t>
        </is>
      </c>
      <c r="D372" s="29" t="n">
        <v>0</v>
      </c>
      <c r="E372" s="29" t="n">
        <v>0.2</v>
      </c>
      <c r="F372" s="31">
        <f>IFERROR(D372-E372,0)</f>
        <v/>
      </c>
    </row>
    <row r="373" ht="15" customHeight="1" s="47">
      <c r="C373" s="46" t="inlineStr">
        <is>
          <t>MMCT</t>
        </is>
      </c>
      <c r="D373" s="29" t="n">
        <v>0</v>
      </c>
      <c r="E373" s="29" t="n">
        <v>0</v>
      </c>
      <c r="F373" s="31">
        <f>IFERROR(D373-E373,0)</f>
        <v/>
      </c>
    </row>
    <row r="374" ht="15" customHeight="1" s="47">
      <c r="B374" s="42" t="inlineStr">
        <is>
          <t>Michigan Non-MSA</t>
        </is>
      </c>
      <c r="C374" s="46" t="inlineStr">
        <is>
          <t>Branches</t>
        </is>
      </c>
      <c r="D374" s="58" t="n">
        <v>0</v>
      </c>
      <c r="E374" s="58" t="n">
        <v>10</v>
      </c>
    </row>
    <row r="375" ht="15" customHeight="1" s="47">
      <c r="C375" s="46" t="inlineStr">
        <is>
          <t>LMICT</t>
        </is>
      </c>
      <c r="D375" s="29" t="n">
        <v>1</v>
      </c>
      <c r="E375" s="29" t="n">
        <v>0</v>
      </c>
      <c r="F375" s="31">
        <f>IFERROR(D375-E375,0)</f>
        <v/>
      </c>
    </row>
    <row r="376" ht="15" customHeight="1" s="47">
      <c r="C376" s="46" t="inlineStr">
        <is>
          <t>MMCT</t>
        </is>
      </c>
      <c r="D376" s="29" t="n">
        <v>0</v>
      </c>
      <c r="E376" s="29" t="n">
        <v>0</v>
      </c>
      <c r="F376" s="31">
        <f>IFERROR(D376-E376,0)</f>
        <v/>
      </c>
    </row>
    <row r="377" ht="15" customHeight="1" s="47">
      <c r="B377" s="42" t="inlineStr">
        <is>
          <t>Michigan Non-MSA</t>
        </is>
      </c>
      <c r="C377" s="46" t="inlineStr">
        <is>
          <t>Branches</t>
        </is>
      </c>
      <c r="D377" s="58" t="n">
        <v>1</v>
      </c>
      <c r="E377" s="58" t="n">
        <v>3</v>
      </c>
    </row>
    <row r="378" ht="15" customHeight="1" s="47">
      <c r="C378" s="46" t="inlineStr">
        <is>
          <t>LMICT</t>
        </is>
      </c>
      <c r="D378" s="29" t="n">
        <v>0.25</v>
      </c>
      <c r="E378" s="29" t="n">
        <v>0.1791044776119403</v>
      </c>
      <c r="F378" s="31">
        <f>IFERROR(D378-E378,0)</f>
        <v/>
      </c>
    </row>
    <row r="379" ht="15" customHeight="1" s="47">
      <c r="C379" s="46" t="inlineStr">
        <is>
          <t>MMCT</t>
        </is>
      </c>
      <c r="D379" s="29" t="n">
        <v>0.125</v>
      </c>
      <c r="E379" s="29" t="n">
        <v>0.1194029850746268</v>
      </c>
      <c r="F379" s="31">
        <f>IFERROR(D379-E379,0)</f>
        <v/>
      </c>
    </row>
    <row r="380" ht="15" customHeight="1" s="47">
      <c r="B380" s="42" t="inlineStr">
        <is>
          <t>Ann Arbor, MI</t>
        </is>
      </c>
      <c r="C380" s="46" t="inlineStr">
        <is>
          <t>Branches</t>
        </is>
      </c>
      <c r="D380" s="58" t="n">
        <v>8</v>
      </c>
      <c r="E380" s="58" t="n">
        <v>67</v>
      </c>
    </row>
    <row r="381" ht="15" customHeight="1" s="47">
      <c r="C381" s="46" t="inlineStr">
        <is>
          <t>LMICT</t>
        </is>
      </c>
      <c r="D381" s="29" t="n">
        <v>1</v>
      </c>
      <c r="E381" s="29" t="n">
        <v>0.25</v>
      </c>
      <c r="F381" s="31">
        <f>IFERROR(D381-E381,0)</f>
        <v/>
      </c>
    </row>
    <row r="382" ht="15" customHeight="1" s="47">
      <c r="C382" s="46" t="inlineStr">
        <is>
          <t>MMCT</t>
        </is>
      </c>
      <c r="D382" s="29" t="n">
        <v>0</v>
      </c>
      <c r="E382" s="29" t="n">
        <v>0.125</v>
      </c>
      <c r="F382" s="31">
        <f>IFERROR(D382-E382,0)</f>
        <v/>
      </c>
    </row>
    <row r="383" ht="15" customHeight="1" s="47">
      <c r="B383" s="42" t="inlineStr">
        <is>
          <t>Battle Creek, MI</t>
        </is>
      </c>
      <c r="C383" s="46" t="inlineStr">
        <is>
          <t>Branches</t>
        </is>
      </c>
      <c r="D383" s="58" t="n">
        <v>1</v>
      </c>
      <c r="E383" s="58" t="n">
        <v>16</v>
      </c>
    </row>
    <row r="384" ht="15" customHeight="1" s="47">
      <c r="C384" s="46" t="inlineStr">
        <is>
          <t>LMICT</t>
        </is>
      </c>
      <c r="D384" s="29" t="n">
        <v>0.5</v>
      </c>
      <c r="E384" s="29" t="n">
        <v>0.3529411764705883</v>
      </c>
      <c r="F384" s="31">
        <f>IFERROR(D384-E384,0)</f>
        <v/>
      </c>
    </row>
    <row r="385" ht="15" customHeight="1" s="47">
      <c r="C385" s="46" t="inlineStr">
        <is>
          <t>MMCT</t>
        </is>
      </c>
      <c r="D385" s="29" t="n">
        <v>0</v>
      </c>
      <c r="E385" s="29" t="n">
        <v>0</v>
      </c>
      <c r="F385" s="31">
        <f>IFERROR(D385-E385,0)</f>
        <v/>
      </c>
    </row>
    <row r="386" ht="15" customHeight="1" s="47">
      <c r="A386" s="46" t="inlineStr">
        <is>
          <t>Missouri</t>
        </is>
      </c>
      <c r="B386" s="42" t="inlineStr">
        <is>
          <t>Bay City, MI</t>
        </is>
      </c>
      <c r="C386" s="46" t="inlineStr">
        <is>
          <t>Branches</t>
        </is>
      </c>
      <c r="D386" s="58" t="n">
        <v>2</v>
      </c>
      <c r="E386" s="58" t="n">
        <v>17</v>
      </c>
    </row>
    <row r="387" ht="15" customHeight="1" s="47">
      <c r="C387" s="46" t="inlineStr">
        <is>
          <t>LMICT</t>
        </is>
      </c>
      <c r="D387" s="29" t="n">
        <v>0</v>
      </c>
      <c r="E387" s="29" t="n">
        <v>0.3076923076923077</v>
      </c>
      <c r="F387" s="31">
        <f>IFERROR(D387-E387,0)</f>
        <v/>
      </c>
    </row>
    <row r="388" ht="15" customHeight="1" s="47">
      <c r="C388" s="46" t="inlineStr">
        <is>
          <t>MMCT</t>
        </is>
      </c>
      <c r="D388" s="29" t="n">
        <v>0</v>
      </c>
      <c r="E388" s="29" t="n">
        <v>0</v>
      </c>
      <c r="F388" s="31">
        <f>IFERROR(D388-E388,0)</f>
        <v/>
      </c>
    </row>
    <row r="389" ht="15" customHeight="1" s="47">
      <c r="B389" s="42" t="inlineStr">
        <is>
          <t>Michigan Non-MSA</t>
        </is>
      </c>
      <c r="C389" s="46" t="inlineStr">
        <is>
          <t>Branches</t>
        </is>
      </c>
      <c r="D389" s="59" t="n">
        <v>2</v>
      </c>
      <c r="E389" s="58" t="n">
        <v>13</v>
      </c>
    </row>
    <row r="390" ht="15" customHeight="1" s="47">
      <c r="C390" s="46" t="inlineStr">
        <is>
          <t>LMICT</t>
        </is>
      </c>
      <c r="D390" s="60" t="n">
        <v>1</v>
      </c>
      <c r="E390" s="29" t="n">
        <v>0.1333333333333333</v>
      </c>
      <c r="F390" s="31">
        <f>IFERROR(D390-E390,0)</f>
        <v/>
      </c>
    </row>
    <row r="391" ht="15" customHeight="1" s="47">
      <c r="C391" s="46" t="inlineStr">
        <is>
          <t>MMCT</t>
        </is>
      </c>
      <c r="D391" s="60" t="n">
        <v>0</v>
      </c>
      <c r="E391" s="29" t="n">
        <v>0</v>
      </c>
      <c r="F391" s="31">
        <f>IFERROR(D391-E391,0)</f>
        <v/>
      </c>
    </row>
    <row r="392" ht="15" customHeight="1" s="47">
      <c r="B392" s="42" t="inlineStr">
        <is>
          <t>Michigan Non-MSA</t>
        </is>
      </c>
      <c r="C392" s="46" t="inlineStr">
        <is>
          <t>Branches</t>
        </is>
      </c>
      <c r="D392" s="58" t="n">
        <v>1</v>
      </c>
      <c r="E392" s="58" t="n">
        <v>15</v>
      </c>
    </row>
    <row r="393" ht="15" customHeight="1" s="47">
      <c r="C393" s="46" t="inlineStr">
        <is>
          <t>LMICT</t>
        </is>
      </c>
      <c r="D393" s="29" t="n">
        <v>0.3559322033898305</v>
      </c>
      <c r="E393" s="29" t="n">
        <v>0.2407975460122699</v>
      </c>
      <c r="F393" s="31">
        <f>IFERROR(D393-E393,0)</f>
        <v/>
      </c>
    </row>
    <row r="394" ht="15" customHeight="1" s="47">
      <c r="C394" s="46" t="inlineStr">
        <is>
          <t>MMCT</t>
        </is>
      </c>
      <c r="D394" s="29" t="n">
        <v>0.2542372881355932</v>
      </c>
      <c r="E394" s="29" t="n">
        <v>0.1671779141104295</v>
      </c>
      <c r="F394" s="31">
        <f>IFERROR(D394-E394,0)</f>
        <v/>
      </c>
    </row>
    <row r="395" ht="15" customHeight="1" s="47">
      <c r="B395" s="42" t="inlineStr">
        <is>
          <t>Detroit-Warren-Dearborn, MI</t>
        </is>
      </c>
      <c r="C395" s="46" t="inlineStr">
        <is>
          <t>Branches</t>
        </is>
      </c>
      <c r="D395" s="58" t="n">
        <v>59</v>
      </c>
      <c r="E395" s="58" t="n">
        <v>652</v>
      </c>
    </row>
    <row r="396" ht="15" customHeight="1" s="47">
      <c r="C396" s="46" t="inlineStr">
        <is>
          <t>LMICT</t>
        </is>
      </c>
      <c r="D396" s="29" t="n">
        <v>0.5</v>
      </c>
      <c r="E396" s="29" t="n">
        <v>0.1818181818181818</v>
      </c>
      <c r="F396" s="31">
        <f>IFERROR(D396-E396,0)</f>
        <v/>
      </c>
    </row>
    <row r="397" ht="15" customHeight="1" s="47">
      <c r="C397" s="46" t="inlineStr">
        <is>
          <t>MMCT</t>
        </is>
      </c>
      <c r="D397" s="29" t="n">
        <v>0</v>
      </c>
      <c r="E397" s="29" t="n">
        <v>0.1818181818181818</v>
      </c>
      <c r="F397" s="31">
        <f>IFERROR(D397-E397,0)</f>
        <v/>
      </c>
    </row>
    <row r="398" ht="15" customHeight="1" s="47">
      <c r="B398" s="42" t="inlineStr">
        <is>
          <t>Flint, MI</t>
        </is>
      </c>
      <c r="C398" s="46" t="inlineStr">
        <is>
          <t>Branches</t>
        </is>
      </c>
      <c r="D398" s="58" t="n">
        <v>2</v>
      </c>
      <c r="E398" s="58" t="n">
        <v>44</v>
      </c>
    </row>
    <row r="399" ht="15" customHeight="1" s="47">
      <c r="C399" s="46" t="inlineStr">
        <is>
          <t>LMICT</t>
        </is>
      </c>
      <c r="D399" s="29" t="n">
        <v>0.08333333333333331</v>
      </c>
      <c r="E399" s="29" t="n">
        <v>0.1464646464646465</v>
      </c>
      <c r="F399" s="31">
        <f>IFERROR(D399-E399,0)</f>
        <v/>
      </c>
    </row>
    <row r="400" ht="15" customHeight="1" s="47">
      <c r="C400" s="46" t="inlineStr">
        <is>
          <t>MMCT</t>
        </is>
      </c>
      <c r="D400" s="29" t="n">
        <v>0.1666666666666666</v>
      </c>
      <c r="E400" s="29" t="n">
        <v>0.05555555555555555</v>
      </c>
      <c r="F400" s="31">
        <f>IFERROR(D400-E400,0)</f>
        <v/>
      </c>
    </row>
    <row r="401" ht="15" customHeight="1" s="47">
      <c r="B401" s="42" t="inlineStr">
        <is>
          <t>Michigan Non-MSA</t>
        </is>
      </c>
      <c r="C401" s="46" t="inlineStr">
        <is>
          <t>Branches</t>
        </is>
      </c>
      <c r="D401" s="58" t="n">
        <v>12</v>
      </c>
      <c r="E401" s="58" t="n">
        <v>198</v>
      </c>
    </row>
    <row r="402" ht="15" customHeight="1" s="47">
      <c r="C402" s="46" t="inlineStr">
        <is>
          <t>LMICT</t>
        </is>
      </c>
      <c r="D402" s="29" t="n">
        <v>0.25</v>
      </c>
      <c r="E402" s="29" t="n">
        <v>0.07692307692307693</v>
      </c>
      <c r="F402" s="31">
        <f>IFERROR(D402-E402,0)</f>
        <v/>
      </c>
    </row>
    <row r="403" ht="15" customHeight="1" s="47">
      <c r="C403" s="46" t="inlineStr">
        <is>
          <t>MMCT</t>
        </is>
      </c>
      <c r="D403" s="29" t="n">
        <v>0</v>
      </c>
      <c r="E403" s="29" t="n">
        <v>0</v>
      </c>
      <c r="F403" s="31">
        <f>IFERROR(D403-E403,0)</f>
        <v/>
      </c>
    </row>
    <row r="404" ht="15" customHeight="1" s="47">
      <c r="B404" s="42" t="inlineStr">
        <is>
          <t>Michigan Non-MSA</t>
        </is>
      </c>
      <c r="C404" s="46" t="inlineStr">
        <is>
          <t>Branches</t>
        </is>
      </c>
      <c r="D404" s="58" t="n">
        <v>4</v>
      </c>
      <c r="E404" s="58" t="n">
        <v>13</v>
      </c>
    </row>
    <row r="405" ht="15" customHeight="1" s="47">
      <c r="C405" s="46" t="inlineStr">
        <is>
          <t>LMICT</t>
        </is>
      </c>
      <c r="D405" s="29" t="n">
        <v>1</v>
      </c>
      <c r="E405" s="29" t="n">
        <v>0.1333333333333333</v>
      </c>
      <c r="F405" s="31">
        <f>IFERROR(D405-E405,0)</f>
        <v/>
      </c>
    </row>
    <row r="406" ht="15" customHeight="1" s="47">
      <c r="C406" s="46" t="inlineStr">
        <is>
          <t>MMCT</t>
        </is>
      </c>
      <c r="D406" s="29" t="n">
        <v>0</v>
      </c>
      <c r="E406" s="29" t="n">
        <v>0</v>
      </c>
      <c r="F406" s="31">
        <f>IFERROR(D406-E406,0)</f>
        <v/>
      </c>
    </row>
    <row r="407" ht="15" customHeight="1" s="47">
      <c r="B407" s="42" t="inlineStr">
        <is>
          <t>Jackson, MI</t>
        </is>
      </c>
      <c r="C407" s="46" t="inlineStr">
        <is>
          <t>Branches</t>
        </is>
      </c>
      <c r="D407" s="58" t="n">
        <v>1</v>
      </c>
      <c r="E407" s="58" t="n">
        <v>30</v>
      </c>
    </row>
    <row r="408" ht="15" customHeight="1" s="47">
      <c r="C408" s="46" t="inlineStr">
        <is>
          <t>LMICT</t>
        </is>
      </c>
      <c r="D408" s="29" t="n">
        <v>0.8333333333333335</v>
      </c>
      <c r="E408" s="29" t="n">
        <v>0.1842105263157895</v>
      </c>
      <c r="F408" s="31">
        <f>IFERROR(D408-E408,0)</f>
        <v/>
      </c>
    </row>
    <row r="409" ht="15" customHeight="1" s="47">
      <c r="C409" s="46" t="inlineStr">
        <is>
          <t>MMCT</t>
        </is>
      </c>
      <c r="D409" s="29" t="n">
        <v>0.3333333333333333</v>
      </c>
      <c r="E409" s="29" t="n">
        <v>0.05263157894736842</v>
      </c>
      <c r="F409" s="31">
        <f>IFERROR(D409-E409,0)</f>
        <v/>
      </c>
    </row>
    <row r="410" ht="15" customHeight="1" s="47">
      <c r="B410" s="42" t="inlineStr">
        <is>
          <t>Kalamazoo-Portage, MI</t>
        </is>
      </c>
      <c r="C410" s="46" t="inlineStr">
        <is>
          <t>Branches</t>
        </is>
      </c>
      <c r="D410" s="59" t="n">
        <v>6</v>
      </c>
      <c r="E410" s="58" t="n">
        <v>38</v>
      </c>
    </row>
    <row r="411" ht="15" customHeight="1" s="47">
      <c r="C411" s="46" t="inlineStr">
        <is>
          <t>LMICT</t>
        </is>
      </c>
      <c r="D411" s="60" t="n">
        <v>0.375</v>
      </c>
      <c r="E411" s="29" t="n">
        <v>0.1772151898734177</v>
      </c>
      <c r="F411" s="31">
        <f>IFERROR(D411-E411,0)</f>
        <v/>
      </c>
    </row>
    <row r="412" ht="15" customHeight="1" s="47">
      <c r="C412" s="46" t="inlineStr">
        <is>
          <t>MMCT</t>
        </is>
      </c>
      <c r="D412" s="60" t="n">
        <v>0.25</v>
      </c>
      <c r="E412" s="29" t="n">
        <v>0.1772151898734177</v>
      </c>
      <c r="F412" s="31">
        <f>IFERROR(D412-E412,0)</f>
        <v/>
      </c>
    </row>
    <row r="413" ht="15" customHeight="1" s="47">
      <c r="B413" s="42" t="inlineStr">
        <is>
          <t>Lansing-East Lansing, MI</t>
        </is>
      </c>
      <c r="C413" s="46" t="inlineStr">
        <is>
          <t>Branches</t>
        </is>
      </c>
      <c r="D413" s="59" t="n">
        <v>8</v>
      </c>
      <c r="E413" s="58" t="n">
        <v>79</v>
      </c>
    </row>
    <row r="414" ht="15" customHeight="1" s="47">
      <c r="C414" s="46" t="inlineStr">
        <is>
          <t>LMICT</t>
        </is>
      </c>
      <c r="D414" s="60" t="n">
        <v>0</v>
      </c>
      <c r="E414" s="29" t="n">
        <v>0</v>
      </c>
      <c r="F414" s="31">
        <f>IFERROR(D414-E414,0)</f>
        <v/>
      </c>
    </row>
    <row r="415" ht="15" customHeight="1" s="47">
      <c r="C415" s="46" t="inlineStr">
        <is>
          <t>MMCT</t>
        </is>
      </c>
      <c r="D415" s="60" t="n">
        <v>0</v>
      </c>
      <c r="E415" s="29" t="n">
        <v>0</v>
      </c>
      <c r="F415" s="31">
        <f>IFERROR(D415-E415,0)</f>
        <v/>
      </c>
    </row>
    <row r="416" ht="15" customHeight="1" s="47">
      <c r="B416" s="42" t="inlineStr">
        <is>
          <t>Michigan Non-MSA</t>
        </is>
      </c>
      <c r="C416" s="46" t="inlineStr">
        <is>
          <t>Branches</t>
        </is>
      </c>
      <c r="D416" s="58" t="n">
        <v>1</v>
      </c>
      <c r="E416" s="58" t="n">
        <v>6</v>
      </c>
    </row>
    <row r="417" ht="15" customHeight="1" s="47">
      <c r="C417" s="46" t="inlineStr">
        <is>
          <t>LMICT</t>
        </is>
      </c>
      <c r="D417" s="29" t="n">
        <v>0</v>
      </c>
      <c r="E417" s="29" t="n">
        <v>0.5384615384615384</v>
      </c>
      <c r="F417" s="31">
        <f>IFERROR(D417-E417,0)</f>
        <v/>
      </c>
    </row>
    <row r="418" ht="15" customHeight="1" s="47">
      <c r="C418" s="46" t="inlineStr">
        <is>
          <t>MMCT</t>
        </is>
      </c>
      <c r="D418" s="29" t="n">
        <v>0</v>
      </c>
      <c r="E418" s="29" t="n">
        <v>0</v>
      </c>
      <c r="F418" s="31">
        <f>IFERROR(D418-E418,0)</f>
        <v/>
      </c>
    </row>
    <row r="419" ht="15" customHeight="1" s="47">
      <c r="B419" s="42" t="inlineStr">
        <is>
          <t>Midland, MI</t>
        </is>
      </c>
      <c r="C419" s="46" t="inlineStr">
        <is>
          <t>Branches</t>
        </is>
      </c>
      <c r="D419" s="58" t="n">
        <v>1</v>
      </c>
      <c r="E419" s="58" t="n">
        <v>13</v>
      </c>
    </row>
    <row r="420" ht="15" customHeight="1" s="47">
      <c r="C420" s="46" t="inlineStr">
        <is>
          <t>LMICT</t>
        </is>
      </c>
      <c r="D420" s="29" t="n">
        <v>0</v>
      </c>
      <c r="E420" s="29" t="n">
        <v>0.1428571428571428</v>
      </c>
      <c r="F420" s="31">
        <f>IFERROR(D420-E420,0)</f>
        <v/>
      </c>
    </row>
    <row r="421" ht="15" customHeight="1" s="47">
      <c r="C421" s="46" t="inlineStr">
        <is>
          <t>MMCT</t>
        </is>
      </c>
      <c r="D421" s="29" t="n">
        <v>0</v>
      </c>
      <c r="E421" s="29" t="n">
        <v>0</v>
      </c>
      <c r="F421" s="31">
        <f>IFERROR(D421-E421,0)</f>
        <v/>
      </c>
    </row>
    <row r="422" ht="15" customHeight="1" s="47">
      <c r="B422" s="42" t="inlineStr">
        <is>
          <t>Monroe, MI</t>
        </is>
      </c>
      <c r="C422" s="46" t="inlineStr">
        <is>
          <t>Branches</t>
        </is>
      </c>
      <c r="D422" s="58" t="n">
        <v>1</v>
      </c>
      <c r="E422" s="58" t="n">
        <v>21</v>
      </c>
    </row>
    <row r="423" ht="15" customHeight="1" s="47">
      <c r="C423" s="46" t="inlineStr">
        <is>
          <t>LMICT</t>
        </is>
      </c>
      <c r="D423" s="29" t="n">
        <v>0</v>
      </c>
      <c r="E423" s="29" t="n">
        <v>0</v>
      </c>
      <c r="F423" s="31">
        <f>IFERROR(D423-E423,0)</f>
        <v/>
      </c>
    </row>
    <row r="424" ht="15" customHeight="1" s="47">
      <c r="C424" s="46" t="inlineStr">
        <is>
          <t>MMCT</t>
        </is>
      </c>
      <c r="D424" s="29" t="n">
        <v>0</v>
      </c>
      <c r="E424" s="29" t="n">
        <v>0</v>
      </c>
      <c r="F424" s="31">
        <f>IFERROR(D424-E424,0)</f>
        <v/>
      </c>
    </row>
    <row r="425" ht="15" customHeight="1" s="47">
      <c r="B425" s="42" t="inlineStr">
        <is>
          <t>Michigan Non-MSA</t>
        </is>
      </c>
      <c r="C425" s="46" t="inlineStr">
        <is>
          <t>Branches</t>
        </is>
      </c>
      <c r="D425" s="59" t="n">
        <v>2</v>
      </c>
      <c r="E425" s="58" t="n">
        <v>15</v>
      </c>
    </row>
    <row r="426" ht="15" customHeight="1" s="47">
      <c r="C426" s="46" t="inlineStr">
        <is>
          <t>LMICT</t>
        </is>
      </c>
      <c r="D426" s="60" t="n">
        <v>0.25</v>
      </c>
      <c r="E426" s="29" t="n">
        <v>0.1363636363636364</v>
      </c>
      <c r="F426" s="31">
        <f>IFERROR(D426-E426,0)</f>
        <v/>
      </c>
    </row>
    <row r="427" ht="15" customHeight="1" s="47">
      <c r="C427" s="46" t="inlineStr">
        <is>
          <t>MMCT</t>
        </is>
      </c>
      <c r="D427" s="60" t="n">
        <v>0.25</v>
      </c>
      <c r="E427" s="29" t="n">
        <v>0.04545454545454546</v>
      </c>
      <c r="F427" s="31">
        <f>IFERROR(D427-E427,0)</f>
        <v/>
      </c>
    </row>
    <row r="428" ht="15" customHeight="1" s="47">
      <c r="B428" s="42" t="inlineStr">
        <is>
          <t>Muskegon, MI</t>
        </is>
      </c>
      <c r="C428" s="46" t="inlineStr">
        <is>
          <t>Branches</t>
        </is>
      </c>
      <c r="D428" s="58" t="n">
        <v>4</v>
      </c>
      <c r="E428" s="58" t="n">
        <v>22</v>
      </c>
    </row>
    <row r="429" ht="15" customHeight="1" s="47">
      <c r="C429" s="46" t="inlineStr">
        <is>
          <t>LMICT</t>
        </is>
      </c>
      <c r="D429" s="29" t="n">
        <v>0</v>
      </c>
      <c r="E429" s="29" t="n">
        <v>0.3548387096774194</v>
      </c>
      <c r="F429" s="31">
        <f>IFERROR(D429-E429,0)</f>
        <v/>
      </c>
    </row>
    <row r="430" ht="15" customHeight="1" s="47">
      <c r="C430" s="46" t="inlineStr">
        <is>
          <t>MMCT</t>
        </is>
      </c>
      <c r="D430" s="29" t="n">
        <v>0</v>
      </c>
      <c r="E430" s="29" t="n">
        <v>0.1612903225806452</v>
      </c>
      <c r="F430" s="31">
        <f>IFERROR(D430-E430,0)</f>
        <v/>
      </c>
    </row>
    <row r="431" ht="15" customHeight="1" s="47">
      <c r="B431" s="42" t="inlineStr">
        <is>
          <t>Saginaw, MI</t>
        </is>
      </c>
      <c r="C431" s="46" t="inlineStr">
        <is>
          <t>Branches</t>
        </is>
      </c>
      <c r="D431" s="58" t="n">
        <v>3</v>
      </c>
      <c r="E431" s="58" t="n">
        <v>31</v>
      </c>
    </row>
    <row r="432" ht="15" customHeight="1" s="47">
      <c r="C432" s="46" t="inlineStr">
        <is>
          <t>LMICT</t>
        </is>
      </c>
      <c r="D432" s="29" t="n">
        <v>0</v>
      </c>
      <c r="E432" s="29" t="n">
        <v>0.1923076923076923</v>
      </c>
      <c r="F432" s="31">
        <f>IFERROR(D432-E432,0)</f>
        <v/>
      </c>
    </row>
    <row r="433" ht="15" customHeight="1" s="47">
      <c r="C433" s="46" t="inlineStr">
        <is>
          <t>MMCT</t>
        </is>
      </c>
      <c r="D433" s="29" t="n">
        <v>0</v>
      </c>
      <c r="E433" s="29" t="n">
        <v>0</v>
      </c>
      <c r="F433" s="31">
        <f>IFERROR(D433-E433,0)</f>
        <v/>
      </c>
    </row>
    <row r="434" ht="15" customHeight="1" s="47">
      <c r="B434" s="42" t="inlineStr">
        <is>
          <t>Michigan Non-MSA</t>
        </is>
      </c>
      <c r="C434" s="46" t="inlineStr">
        <is>
          <t>Branches</t>
        </is>
      </c>
      <c r="D434" s="58" t="n">
        <v>1</v>
      </c>
      <c r="E434" s="58" t="n">
        <v>26</v>
      </c>
    </row>
    <row r="435" ht="15" customHeight="1" s="47">
      <c r="C435" s="46" t="inlineStr">
        <is>
          <t>LMICT</t>
        </is>
      </c>
      <c r="D435" s="29" t="n">
        <v>0.2</v>
      </c>
      <c r="E435" s="29" t="n">
        <v>0.2</v>
      </c>
      <c r="F435" s="31">
        <f>IFERROR(D435-E435,0)</f>
        <v/>
      </c>
    </row>
    <row r="436" ht="15" customHeight="1" s="47">
      <c r="C436" s="46" t="inlineStr">
        <is>
          <t>MMCT</t>
        </is>
      </c>
      <c r="D436" s="29" t="n">
        <v>0.2666666666666667</v>
      </c>
      <c r="E436" s="29" t="n">
        <v>0.08196721311475409</v>
      </c>
      <c r="F436" s="31">
        <f>IFERROR(D436-E436,0)</f>
        <v/>
      </c>
    </row>
    <row r="437" ht="15" customHeight="1" s="47">
      <c r="B437" s="42" t="inlineStr">
        <is>
          <t>Georgia Non-MSA</t>
        </is>
      </c>
      <c r="C437" s="46" t="inlineStr">
        <is>
          <t>Branches</t>
        </is>
      </c>
      <c r="D437" s="58" t="n">
        <v>30</v>
      </c>
      <c r="E437" s="58" t="n">
        <v>305</v>
      </c>
    </row>
    <row r="438" ht="15" customHeight="1" s="47">
      <c r="C438" s="46" t="inlineStr">
        <is>
          <t>LMICT</t>
        </is>
      </c>
      <c r="D438" s="29" t="n">
        <v>0</v>
      </c>
      <c r="E438" s="29" t="n">
        <v>0.3081395348837209</v>
      </c>
      <c r="F438" s="31">
        <f>IFERROR(D438-E438,0)</f>
        <v/>
      </c>
    </row>
    <row r="439" ht="15" customHeight="1" s="47">
      <c r="C439" s="46" t="inlineStr">
        <is>
          <t>MMCT</t>
        </is>
      </c>
      <c r="D439" s="29" t="n">
        <v>0</v>
      </c>
      <c r="E439" s="29" t="n">
        <v>0.09302325581395349</v>
      </c>
      <c r="F439" s="31">
        <f>IFERROR(D439-E439,0)</f>
        <v/>
      </c>
    </row>
    <row r="440" ht="15" customHeight="1" s="47">
      <c r="B440" s="42" t="inlineStr">
        <is>
          <t>Kansas City, MO-KS</t>
        </is>
      </c>
      <c r="C440" s="46" t="inlineStr">
        <is>
          <t>Branches</t>
        </is>
      </c>
      <c r="D440" s="58" t="n">
        <v>2</v>
      </c>
      <c r="E440" s="58" t="n">
        <v>172</v>
      </c>
    </row>
    <row r="441" ht="15" customHeight="1" s="47">
      <c r="C441" s="46" t="inlineStr">
        <is>
          <t>LMICT</t>
        </is>
      </c>
      <c r="D441" s="29" t="n">
        <v>0.2173913043478261</v>
      </c>
      <c r="E441" s="29" t="n">
        <v>0.2422018348623853</v>
      </c>
      <c r="F441" s="31">
        <f>IFERROR(D441-E441,0)</f>
        <v/>
      </c>
    </row>
    <row r="442" ht="15" customHeight="1" s="47">
      <c r="C442" s="46" t="inlineStr">
        <is>
          <t>MMCT</t>
        </is>
      </c>
      <c r="D442" s="29" t="n">
        <v>0.08695652173913043</v>
      </c>
      <c r="E442" s="29" t="n">
        <v>0.1155963302752294</v>
      </c>
      <c r="F442" s="31">
        <f>IFERROR(D442-E442,0)</f>
        <v/>
      </c>
    </row>
    <row r="443" ht="15" customHeight="1" s="47">
      <c r="A443" s="46" t="inlineStr">
        <is>
          <t>Ohio</t>
        </is>
      </c>
      <c r="B443" s="42" t="inlineStr">
        <is>
          <t>St. Louis, MO-IL</t>
        </is>
      </c>
      <c r="C443" s="46" t="inlineStr">
        <is>
          <t>Branches</t>
        </is>
      </c>
      <c r="D443" s="58" t="n">
        <v>23</v>
      </c>
      <c r="E443" s="58" t="n">
        <v>545</v>
      </c>
    </row>
    <row r="444" ht="15" customHeight="1" s="47">
      <c r="C444" s="46" t="inlineStr">
        <is>
          <t>LMICT</t>
        </is>
      </c>
      <c r="D444" s="29" t="n">
        <v>0.2222222222222222</v>
      </c>
      <c r="E444" s="29" t="n">
        <v>0.1560283687943262</v>
      </c>
      <c r="F444" s="31">
        <f>IFERROR(D444-E444,0)</f>
        <v/>
      </c>
    </row>
    <row r="445" ht="15" customHeight="1" s="47">
      <c r="C445" s="46" t="inlineStr">
        <is>
          <t>MMCT</t>
        </is>
      </c>
      <c r="D445" s="29" t="n">
        <v>0.05555555555555555</v>
      </c>
      <c r="E445" s="29" t="n">
        <v>0.07801418439716312</v>
      </c>
      <c r="F445" s="31">
        <f>IFERROR(D445-E445,0)</f>
        <v/>
      </c>
    </row>
    <row r="446" ht="15" customHeight="1" s="47">
      <c r="B446" s="42" t="inlineStr">
        <is>
          <t>Akron, OH</t>
        </is>
      </c>
      <c r="C446" s="46" t="inlineStr">
        <is>
          <t>Branches</t>
        </is>
      </c>
      <c r="D446" s="58" t="n">
        <v>18</v>
      </c>
      <c r="E446" s="58" t="n">
        <v>141</v>
      </c>
    </row>
    <row r="447" ht="15" customHeight="1" s="47">
      <c r="C447" s="46" t="inlineStr">
        <is>
          <t>LMICT</t>
        </is>
      </c>
      <c r="D447" s="29" t="n">
        <v>1</v>
      </c>
      <c r="E447" s="29" t="n">
        <v>0.3076923076923077</v>
      </c>
      <c r="F447" s="31">
        <f>IFERROR(D447-E447,0)</f>
        <v/>
      </c>
    </row>
    <row r="448" ht="15" customHeight="1" s="47">
      <c r="C448" s="46" t="inlineStr">
        <is>
          <t>MMCT</t>
        </is>
      </c>
      <c r="D448" s="29" t="n">
        <v>0</v>
      </c>
      <c r="E448" s="29" t="n">
        <v>0</v>
      </c>
      <c r="F448" s="31">
        <f>IFERROR(D448-E448,0)</f>
        <v/>
      </c>
    </row>
    <row r="449" ht="15" customHeight="1" s="47">
      <c r="B449" s="42" t="inlineStr">
        <is>
          <t>Ohio Non-MSA</t>
        </is>
      </c>
      <c r="C449" s="46" t="inlineStr">
        <is>
          <t>Branches</t>
        </is>
      </c>
      <c r="D449" s="58" t="n">
        <v>1</v>
      </c>
      <c r="E449" s="58" t="n">
        <v>13</v>
      </c>
    </row>
    <row r="450" ht="15" customHeight="1" s="47">
      <c r="C450" s="46" t="inlineStr">
        <is>
          <t>LMICT</t>
        </is>
      </c>
      <c r="D450" s="29" t="n">
        <v>0</v>
      </c>
      <c r="E450" s="29" t="n">
        <v>0.2352941176470588</v>
      </c>
      <c r="F450" s="31">
        <f>IFERROR(D450-E450,0)</f>
        <v/>
      </c>
    </row>
    <row r="451" ht="15" customHeight="1" s="47">
      <c r="C451" s="46" t="inlineStr">
        <is>
          <t>MMCT</t>
        </is>
      </c>
      <c r="D451" s="29" t="n">
        <v>0</v>
      </c>
      <c r="E451" s="29" t="n">
        <v>0</v>
      </c>
      <c r="F451" s="31">
        <f>IFERROR(D451-E451,0)</f>
        <v/>
      </c>
    </row>
    <row r="452" ht="15" customHeight="1" s="47">
      <c r="B452" s="42" t="inlineStr">
        <is>
          <t>Ohio Non-MSA</t>
        </is>
      </c>
      <c r="C452" s="46" t="inlineStr">
        <is>
          <t>Branches</t>
        </is>
      </c>
      <c r="D452" s="58" t="n">
        <v>2</v>
      </c>
      <c r="E452" s="58" t="n">
        <v>17</v>
      </c>
    </row>
    <row r="453" ht="15" customHeight="1" s="47">
      <c r="C453" s="46" t="inlineStr">
        <is>
          <t>LMICT</t>
        </is>
      </c>
      <c r="D453" s="29" t="n">
        <v>1</v>
      </c>
      <c r="E453" s="29" t="n">
        <v>0.7777777777777779</v>
      </c>
      <c r="F453" s="31">
        <f>IFERROR(D453-E453,0)</f>
        <v/>
      </c>
    </row>
    <row r="454" ht="15" customHeight="1" s="47">
      <c r="C454" s="46" t="inlineStr">
        <is>
          <t>MMCT</t>
        </is>
      </c>
      <c r="D454" s="29" t="n">
        <v>0</v>
      </c>
      <c r="E454" s="29" t="n">
        <v>0</v>
      </c>
      <c r="F454" s="31">
        <f>IFERROR(D454-E454,0)</f>
        <v/>
      </c>
    </row>
    <row r="455" ht="15" customHeight="1" s="47">
      <c r="B455" s="42" t="inlineStr">
        <is>
          <t>Ohio Non-MSA</t>
        </is>
      </c>
      <c r="C455" s="46" t="inlineStr">
        <is>
          <t>Branches</t>
        </is>
      </c>
      <c r="D455" s="58" t="n">
        <v>1</v>
      </c>
      <c r="E455" s="58" t="n">
        <v>9</v>
      </c>
    </row>
    <row r="456" ht="15" customHeight="1" s="47">
      <c r="C456" s="46" t="inlineStr">
        <is>
          <t>LMICT</t>
        </is>
      </c>
      <c r="D456" s="29" t="n">
        <v>0</v>
      </c>
      <c r="E456" s="29" t="n">
        <v>0.101123595505618</v>
      </c>
      <c r="F456" s="31">
        <f>IFERROR(D456-E456,0)</f>
        <v/>
      </c>
    </row>
    <row r="457" ht="15" customHeight="1" s="47">
      <c r="C457" s="46" t="inlineStr">
        <is>
          <t>MMCT</t>
        </is>
      </c>
      <c r="D457" s="29" t="n">
        <v>0</v>
      </c>
      <c r="E457" s="29" t="n">
        <v>0</v>
      </c>
      <c r="F457" s="31">
        <f>IFERROR(D457-E457,0)</f>
        <v/>
      </c>
    </row>
    <row r="458" ht="15" customHeight="1" s="47">
      <c r="B458" s="42" t="inlineStr">
        <is>
          <t>Canton-Massillon, OH</t>
        </is>
      </c>
      <c r="C458" s="46" t="inlineStr">
        <is>
          <t>Branches</t>
        </is>
      </c>
      <c r="D458" s="58" t="n">
        <v>7</v>
      </c>
      <c r="E458" s="58" t="n">
        <v>89</v>
      </c>
    </row>
    <row r="459" ht="15" customHeight="1" s="47">
      <c r="C459" s="46" t="inlineStr">
        <is>
          <t>LMICT</t>
        </is>
      </c>
      <c r="D459" s="29" t="n">
        <v>1</v>
      </c>
      <c r="E459" s="29" t="n">
        <v>0.4117647058823529</v>
      </c>
      <c r="F459" s="31">
        <f>IFERROR(D459-E459,0)</f>
        <v/>
      </c>
    </row>
    <row r="460" ht="15" customHeight="1" s="47">
      <c r="C460" s="46" t="inlineStr">
        <is>
          <t>MMCT</t>
        </is>
      </c>
      <c r="D460" s="29" t="n">
        <v>0</v>
      </c>
      <c r="E460" s="29" t="n">
        <v>0</v>
      </c>
      <c r="F460" s="31">
        <f>IFERROR(D460-E460,0)</f>
        <v/>
      </c>
    </row>
    <row r="461" ht="15" customHeight="1" s="47">
      <c r="B461" s="42" t="inlineStr">
        <is>
          <t>Ohio Non-MSA</t>
        </is>
      </c>
      <c r="C461" s="46" t="inlineStr">
        <is>
          <t>Branches</t>
        </is>
      </c>
      <c r="D461" s="58" t="n">
        <v>1</v>
      </c>
      <c r="E461" s="58" t="n">
        <v>17</v>
      </c>
    </row>
    <row r="462" ht="15" customHeight="1" s="47">
      <c r="C462" s="46" t="inlineStr">
        <is>
          <t>LMICT</t>
        </is>
      </c>
      <c r="D462" s="29" t="n">
        <v>0.2727272727272727</v>
      </c>
      <c r="E462" s="29" t="n">
        <v>0.2394957983193277</v>
      </c>
      <c r="F462" s="31">
        <f>IFERROR(D462-E462,0)</f>
        <v/>
      </c>
    </row>
    <row r="463" ht="15" customHeight="1" s="47">
      <c r="C463" s="46" t="inlineStr">
        <is>
          <t>MMCT</t>
        </is>
      </c>
      <c r="D463" s="29" t="n">
        <v>0.1818181818181818</v>
      </c>
      <c r="E463" s="29" t="n">
        <v>0.1218487394957983</v>
      </c>
      <c r="F463" s="31">
        <f>IFERROR(D463-E463,0)</f>
        <v/>
      </c>
    </row>
    <row r="464" ht="15" customHeight="1" s="47">
      <c r="B464" s="42" t="inlineStr">
        <is>
          <t>Cincinnati, OH-KY-IN</t>
        </is>
      </c>
      <c r="C464" s="46" t="inlineStr">
        <is>
          <t>Branches</t>
        </is>
      </c>
      <c r="D464" s="59" t="n">
        <v>44</v>
      </c>
      <c r="E464" s="58" t="n">
        <v>476</v>
      </c>
    </row>
    <row r="465" ht="15" customHeight="1" s="47">
      <c r="C465" s="46" t="inlineStr">
        <is>
          <t>LMICT</t>
        </is>
      </c>
      <c r="D465" s="60" t="n">
        <v>0.2666666666666667</v>
      </c>
      <c r="E465" s="29" t="n">
        <v>0.2414529914529915</v>
      </c>
      <c r="F465" s="31">
        <f>IFERROR(D465-E465,0)</f>
        <v/>
      </c>
    </row>
    <row r="466" ht="15" customHeight="1" s="47">
      <c r="C466" s="46" t="inlineStr">
        <is>
          <t>MMCT</t>
        </is>
      </c>
      <c r="D466" s="60" t="n">
        <v>0.2888888888888889</v>
      </c>
      <c r="E466" s="29" t="n">
        <v>0.1794871794871795</v>
      </c>
      <c r="F466" s="31">
        <f>IFERROR(D466-E466,0)</f>
        <v/>
      </c>
    </row>
    <row r="467" ht="15" customHeight="1" s="47">
      <c r="A467" s="46" t="inlineStr">
        <is>
          <t>Tennessee</t>
        </is>
      </c>
      <c r="B467" s="42" t="inlineStr">
        <is>
          <t>Cleveland-Elyria, OH</t>
        </is>
      </c>
      <c r="C467" s="46" t="inlineStr">
        <is>
          <t>Branches</t>
        </is>
      </c>
      <c r="D467" s="58" t="n">
        <v>45</v>
      </c>
      <c r="E467" s="58" t="n">
        <v>468</v>
      </c>
    </row>
    <row r="468" ht="15" customHeight="1" s="47">
      <c r="C468" s="46" t="inlineStr">
        <is>
          <t>LMICT</t>
        </is>
      </c>
      <c r="D468" s="29" t="n">
        <v>0.3571428571428572</v>
      </c>
      <c r="E468" s="29" t="n">
        <v>0.2967289719626168</v>
      </c>
      <c r="F468" s="31">
        <f>IFERROR(D468-E468,0)</f>
        <v/>
      </c>
    </row>
    <row r="469" ht="15" customHeight="1" s="47">
      <c r="C469" s="46" t="inlineStr">
        <is>
          <t>MMCT</t>
        </is>
      </c>
      <c r="D469" s="29" t="n">
        <v>0.1666666666666666</v>
      </c>
      <c r="E469" s="29" t="n">
        <v>0.1168224299065421</v>
      </c>
      <c r="F469" s="31">
        <f>IFERROR(D469-E469,0)</f>
        <v/>
      </c>
    </row>
    <row r="470" ht="15" customHeight="1" s="47">
      <c r="A470" s="46" t="inlineStr">
        <is>
          <t>Texas</t>
        </is>
      </c>
      <c r="B470" s="42" t="inlineStr">
        <is>
          <t>Columbus, OH</t>
        </is>
      </c>
      <c r="C470" s="46" t="inlineStr">
        <is>
          <t>Branches</t>
        </is>
      </c>
      <c r="D470" s="58" t="n">
        <v>42</v>
      </c>
      <c r="E470" s="58" t="n">
        <v>428</v>
      </c>
    </row>
    <row r="471" ht="15" customHeight="1" s="47">
      <c r="C471" s="46" t="inlineStr">
        <is>
          <t>LMICT</t>
        </is>
      </c>
      <c r="D471" s="29" t="n">
        <v>1</v>
      </c>
      <c r="E471" s="29" t="n">
        <v>0.5</v>
      </c>
      <c r="F471" s="31">
        <f>IFERROR(D471-E471,0)</f>
        <v/>
      </c>
    </row>
    <row r="472" ht="15" customHeight="1" s="47">
      <c r="C472" s="46" t="inlineStr">
        <is>
          <t>MMCT</t>
        </is>
      </c>
      <c r="D472" s="29" t="n">
        <v>0</v>
      </c>
      <c r="E472" s="29" t="n">
        <v>0</v>
      </c>
      <c r="F472" s="31">
        <f>IFERROR(D472-E472,0)</f>
        <v/>
      </c>
    </row>
    <row r="473" ht="15" customHeight="1" s="47">
      <c r="B473" s="42" t="inlineStr">
        <is>
          <t>Ohio Non-MSA</t>
        </is>
      </c>
      <c r="C473" s="46" t="inlineStr">
        <is>
          <t>Branches</t>
        </is>
      </c>
      <c r="D473" s="58" t="n">
        <v>1</v>
      </c>
      <c r="E473" s="58" t="n">
        <v>8</v>
      </c>
    </row>
    <row r="474" ht="15" customHeight="1" s="47">
      <c r="C474" s="46" t="inlineStr">
        <is>
          <t>LMICT</t>
        </is>
      </c>
      <c r="D474" s="29" t="n">
        <v>0.4</v>
      </c>
      <c r="E474" s="29" t="n">
        <v>0.2127659574468085</v>
      </c>
      <c r="F474" s="31">
        <f>IFERROR(D474-E474,0)</f>
        <v/>
      </c>
    </row>
    <row r="475" ht="15" customHeight="1" s="47">
      <c r="C475" s="46" t="inlineStr">
        <is>
          <t>MMCT</t>
        </is>
      </c>
      <c r="D475" s="29" t="n">
        <v>0.1333333333333333</v>
      </c>
      <c r="E475" s="29" t="n">
        <v>0.0851063829787234</v>
      </c>
      <c r="F475" s="31">
        <f>IFERROR(D475-E475,0)</f>
        <v/>
      </c>
    </row>
    <row r="476" ht="15" customHeight="1" s="47">
      <c r="A476" s="46" t="inlineStr">
        <is>
          <t>Virginia</t>
        </is>
      </c>
      <c r="B476" s="42" t="inlineStr">
        <is>
          <t>Dayton-Kettering, OH</t>
        </is>
      </c>
      <c r="C476" s="46" t="inlineStr">
        <is>
          <t>Branches</t>
        </is>
      </c>
      <c r="D476" s="58" t="n">
        <v>15</v>
      </c>
      <c r="E476" s="58" t="n">
        <v>141</v>
      </c>
    </row>
    <row r="477" ht="15" customHeight="1" s="47">
      <c r="C477" s="46" t="inlineStr">
        <is>
          <t>LMICT</t>
        </is>
      </c>
      <c r="D477" s="29" t="n">
        <v>0</v>
      </c>
      <c r="E477" s="29" t="n">
        <v>0.25</v>
      </c>
      <c r="F477" s="31">
        <f>IFERROR(D477-E477,0)</f>
        <v/>
      </c>
    </row>
    <row r="478" ht="15" customHeight="1" s="47">
      <c r="C478" s="46" t="inlineStr">
        <is>
          <t>MMCT</t>
        </is>
      </c>
      <c r="D478" s="29" t="n">
        <v>0</v>
      </c>
      <c r="E478" s="29" t="n">
        <v>0</v>
      </c>
      <c r="F478" s="31">
        <f>IFERROR(D478-E478,0)</f>
        <v/>
      </c>
    </row>
    <row r="479" ht="15" customHeight="1" s="47">
      <c r="B479" s="42" t="inlineStr">
        <is>
          <t>Ohio Non-MSA</t>
        </is>
      </c>
      <c r="C479" s="46" t="inlineStr">
        <is>
          <t>Branches</t>
        </is>
      </c>
      <c r="D479" s="58" t="n">
        <v>0</v>
      </c>
      <c r="E479" s="58" t="n">
        <v>20</v>
      </c>
    </row>
    <row r="480" ht="15" customHeight="1" s="47">
      <c r="C480" s="46" t="inlineStr">
        <is>
          <t>LMICT</t>
        </is>
      </c>
      <c r="D480" s="29" t="n">
        <v>0</v>
      </c>
      <c r="E480" s="29" t="n">
        <v>0.09090909090909091</v>
      </c>
      <c r="F480" s="31">
        <f>IFERROR(D480-E480,0)</f>
        <v/>
      </c>
    </row>
    <row r="481" ht="15" customHeight="1" s="47">
      <c r="C481" s="46" t="inlineStr">
        <is>
          <t>MMCT</t>
        </is>
      </c>
      <c r="D481" s="29" t="n">
        <v>0</v>
      </c>
      <c r="E481" s="29" t="n">
        <v>0</v>
      </c>
      <c r="F481" s="31">
        <f>IFERROR(D481-E481,0)</f>
        <v/>
      </c>
    </row>
    <row r="482" ht="15" customHeight="1" s="47">
      <c r="B482" s="42" t="inlineStr">
        <is>
          <t>Ohio Non-MSA</t>
        </is>
      </c>
      <c r="C482" s="46" t="inlineStr">
        <is>
          <t>Branches</t>
        </is>
      </c>
      <c r="D482" s="58" t="n">
        <v>2</v>
      </c>
      <c r="E482" s="58" t="n">
        <v>11</v>
      </c>
    </row>
    <row r="483" ht="15" customHeight="1" s="47">
      <c r="C483" s="46" t="inlineStr">
        <is>
          <t>LMICT</t>
        </is>
      </c>
      <c r="D483" s="29" t="n">
        <v>0</v>
      </c>
      <c r="E483" s="29" t="n">
        <v>0.2222222222222222</v>
      </c>
      <c r="F483" s="31">
        <f>IFERROR(D483-E483,0)</f>
        <v/>
      </c>
    </row>
    <row r="484" ht="15" customHeight="1" s="47">
      <c r="C484" s="46" t="inlineStr">
        <is>
          <t>MMCT</t>
        </is>
      </c>
      <c r="D484" s="29" t="n">
        <v>0</v>
      </c>
      <c r="E484" s="29" t="n">
        <v>0.02777777777777778</v>
      </c>
      <c r="F484" s="31">
        <f>IFERROR(D484-E484,0)</f>
        <v/>
      </c>
    </row>
    <row r="485" ht="15" customHeight="1" s="47">
      <c r="A485" s="46" t="inlineStr">
        <is>
          <t>West Virginia</t>
        </is>
      </c>
      <c r="B485" s="42" t="inlineStr">
        <is>
          <t>Mansfield, OH</t>
        </is>
      </c>
      <c r="C485" s="46" t="inlineStr">
        <is>
          <t>Branches</t>
        </is>
      </c>
      <c r="D485" s="59" t="n">
        <v>0</v>
      </c>
      <c r="E485" s="58" t="n">
        <v>36</v>
      </c>
    </row>
    <row r="486" ht="15" customHeight="1" s="47">
      <c r="C486" s="46" t="inlineStr">
        <is>
          <t>LMICT</t>
        </is>
      </c>
      <c r="D486" s="60" t="n">
        <v>0</v>
      </c>
      <c r="E486" s="29" t="n">
        <v>0.1818181818181818</v>
      </c>
      <c r="F486" s="31">
        <f>IFERROR(D486-E486,0)</f>
        <v/>
      </c>
    </row>
    <row r="487" ht="15" customHeight="1" s="47">
      <c r="C487" s="46" t="inlineStr">
        <is>
          <t>MMCT</t>
        </is>
      </c>
      <c r="D487" s="60" t="n">
        <v>0</v>
      </c>
      <c r="E487" s="29" t="n">
        <v>0</v>
      </c>
      <c r="F487" s="31">
        <f>IFERROR(D487-E487,0)</f>
        <v/>
      </c>
    </row>
    <row r="488" ht="15" customHeight="1" s="47">
      <c r="B488" s="42" t="inlineStr">
        <is>
          <t>Ohio Non-MSA</t>
        </is>
      </c>
      <c r="C488" s="46" t="inlineStr">
        <is>
          <t>Branches</t>
        </is>
      </c>
      <c r="D488" s="59" t="n">
        <v>1</v>
      </c>
      <c r="E488" s="58" t="n">
        <v>11</v>
      </c>
    </row>
    <row r="489" ht="15" customHeight="1" s="47">
      <c r="C489" s="46" t="inlineStr">
        <is>
          <t>LMICT</t>
        </is>
      </c>
      <c r="D489" s="60" t="n">
        <v>0</v>
      </c>
      <c r="E489" s="29" t="n">
        <v>0.0588235294117647</v>
      </c>
      <c r="F489" s="31">
        <f>IFERROR(D489-E489,0)</f>
        <v/>
      </c>
    </row>
    <row r="490" ht="15" customHeight="1" s="47">
      <c r="C490" s="46" t="inlineStr">
        <is>
          <t>MMCT</t>
        </is>
      </c>
      <c r="D490" s="60" t="n">
        <v>0</v>
      </c>
      <c r="E490" s="29" t="n">
        <v>0</v>
      </c>
      <c r="F490" s="31">
        <f>IFERROR(D490-E490,0)</f>
        <v/>
      </c>
    </row>
    <row r="491" ht="15" customHeight="1" s="47">
      <c r="B491" s="42" t="inlineStr">
        <is>
          <t>Ohio Non-MSA</t>
        </is>
      </c>
      <c r="C491" s="46" t="inlineStr">
        <is>
          <t>Branches</t>
        </is>
      </c>
      <c r="D491" s="58" t="n">
        <v>1</v>
      </c>
      <c r="E491" s="58" t="n">
        <v>17</v>
      </c>
    </row>
    <row r="492" ht="15" customHeight="1" s="47">
      <c r="C492" s="46" t="inlineStr">
        <is>
          <t>LMICT</t>
        </is>
      </c>
      <c r="D492" s="29" t="n">
        <v>1</v>
      </c>
      <c r="E492" s="29" t="n">
        <v>0.1333333333333333</v>
      </c>
      <c r="F492" s="31">
        <f>IFERROR(D492-E492,0)</f>
        <v/>
      </c>
    </row>
    <row r="493" ht="15" customHeight="1" s="47">
      <c r="C493" s="46" t="inlineStr">
        <is>
          <t>MMCT</t>
        </is>
      </c>
      <c r="D493" s="29" t="n">
        <v>0</v>
      </c>
      <c r="E493" s="29" t="n">
        <v>0</v>
      </c>
      <c r="F493" s="31">
        <f>IFERROR(D493-E493,0)</f>
        <v/>
      </c>
    </row>
    <row r="494" ht="15" customHeight="1" s="47">
      <c r="A494" s="46" t="inlineStr">
        <is>
          <t>Wisconsin</t>
        </is>
      </c>
      <c r="B494" s="42" t="inlineStr">
        <is>
          <t>Ohio Non-MSA</t>
        </is>
      </c>
      <c r="C494" s="46" t="inlineStr">
        <is>
          <t>Branches</t>
        </is>
      </c>
      <c r="D494" s="59" t="n">
        <v>1</v>
      </c>
      <c r="E494" s="58" t="n">
        <v>30</v>
      </c>
    </row>
    <row r="495" ht="15" customHeight="1" s="47">
      <c r="C495" s="46" t="inlineStr">
        <is>
          <t>LMICT</t>
        </is>
      </c>
      <c r="D495" s="60" t="n">
        <v>0.5</v>
      </c>
      <c r="E495" s="29" t="n">
        <v>0.3333333333333333</v>
      </c>
      <c r="F495" s="31">
        <f>IFERROR(D495-E495,0)</f>
        <v/>
      </c>
    </row>
    <row r="496" ht="15" customHeight="1" s="47">
      <c r="C496" s="46" t="inlineStr">
        <is>
          <t>MMCT</t>
        </is>
      </c>
      <c r="D496" s="60" t="n">
        <v>0</v>
      </c>
      <c r="E496" s="29" t="n">
        <v>0</v>
      </c>
      <c r="F496" s="31">
        <f>IFERROR(D496-E496,0)</f>
        <v/>
      </c>
    </row>
    <row r="497" ht="15" customHeight="1" s="47">
      <c r="B497" s="42" t="inlineStr">
        <is>
          <t>Ohio Non-MSA</t>
        </is>
      </c>
      <c r="C497" s="46" t="inlineStr">
        <is>
          <t>Branches</t>
        </is>
      </c>
      <c r="D497" s="58" t="n">
        <v>2</v>
      </c>
      <c r="E497" s="58" t="n">
        <v>18</v>
      </c>
    </row>
    <row r="498" ht="15" customHeight="1" s="47">
      <c r="C498" s="46" t="inlineStr">
        <is>
          <t>LMICT</t>
        </is>
      </c>
      <c r="D498" s="29" t="n">
        <v>1</v>
      </c>
      <c r="E498" s="29" t="n">
        <v>0.6428571428571429</v>
      </c>
      <c r="F498" s="31">
        <f>IFERROR(D498-E498,0)</f>
        <v/>
      </c>
    </row>
    <row r="499" ht="15" customHeight="1" s="47">
      <c r="C499" s="46" t="inlineStr">
        <is>
          <t>MMCT</t>
        </is>
      </c>
      <c r="D499" s="29" t="n">
        <v>0</v>
      </c>
      <c r="E499" s="29" t="n">
        <v>0</v>
      </c>
      <c r="F499" s="31">
        <f>IFERROR(D499-E499,0)</f>
        <v/>
      </c>
    </row>
    <row r="500" ht="15" customHeight="1" s="47">
      <c r="B500" s="42" t="inlineStr">
        <is>
          <t>Ohio Non-MSA</t>
        </is>
      </c>
      <c r="C500" s="46" t="inlineStr">
        <is>
          <t>Branches</t>
        </is>
      </c>
      <c r="D500" s="58" t="n">
        <v>2</v>
      </c>
      <c r="E500" s="58" t="n">
        <v>14</v>
      </c>
    </row>
    <row r="501" ht="15" customHeight="1" s="47">
      <c r="C501" s="46" t="inlineStr">
        <is>
          <t>LMICT</t>
        </is>
      </c>
      <c r="D501" s="29" t="n">
        <v>0</v>
      </c>
      <c r="E501" s="29" t="n">
        <v>0.07142857142857142</v>
      </c>
      <c r="F501" s="31">
        <f>IFERROR(D501-E501,0)</f>
        <v/>
      </c>
    </row>
    <row r="502" ht="15" customHeight="1" s="47">
      <c r="C502" s="46" t="inlineStr">
        <is>
          <t>MMCT</t>
        </is>
      </c>
      <c r="D502" s="29" t="n">
        <v>0</v>
      </c>
      <c r="E502" s="29" t="n">
        <v>0</v>
      </c>
      <c r="F502" s="31">
        <f>IFERROR(D502-E502,0)</f>
        <v/>
      </c>
    </row>
    <row r="503">
      <c r="B503" t="inlineStr">
        <is>
          <t>Ohio Non-MSA</t>
        </is>
      </c>
      <c r="C503" t="inlineStr">
        <is>
          <t>Branches</t>
        </is>
      </c>
      <c r="D503" s="8" t="n">
        <v>2</v>
      </c>
      <c r="E503" s="8" t="n">
        <v>28</v>
      </c>
    </row>
    <row r="504">
      <c r="C504" t="inlineStr">
        <is>
          <t>LMICT</t>
        </is>
      </c>
      <c r="D504" s="31" t="n">
        <v>0.5</v>
      </c>
      <c r="E504" s="31" t="n">
        <v>0.1578947368421053</v>
      </c>
      <c r="F504" s="31">
        <f>IFERROR(D504-E504,0)</f>
        <v/>
      </c>
    </row>
    <row r="505">
      <c r="C505" t="inlineStr">
        <is>
          <t>MMCT</t>
        </is>
      </c>
      <c r="D505" s="31" t="n">
        <v>0</v>
      </c>
      <c r="E505" s="31" t="n">
        <v>0</v>
      </c>
      <c r="F505" s="31">
        <f>IFERROR(D505-E505,0)</f>
        <v/>
      </c>
    </row>
    <row r="506">
      <c r="B506" t="inlineStr">
        <is>
          <t>Ohio Non-MSA</t>
        </is>
      </c>
      <c r="C506" t="inlineStr">
        <is>
          <t>Branches</t>
        </is>
      </c>
      <c r="D506" s="8" t="n">
        <v>2</v>
      </c>
      <c r="E506" s="8" t="n">
        <v>19</v>
      </c>
    </row>
    <row r="507">
      <c r="C507" t="inlineStr">
        <is>
          <t>LMICT</t>
        </is>
      </c>
      <c r="D507" s="31" t="n">
        <v>0</v>
      </c>
      <c r="E507" s="31" t="n">
        <v>0</v>
      </c>
      <c r="F507" s="31">
        <f>IFERROR(D507-E507,0)</f>
        <v/>
      </c>
    </row>
    <row r="508">
      <c r="C508" t="inlineStr">
        <is>
          <t>MMCT</t>
        </is>
      </c>
      <c r="D508" s="31" t="n">
        <v>0</v>
      </c>
      <c r="E508" s="31" t="n">
        <v>0</v>
      </c>
      <c r="F508" s="31">
        <f>IFERROR(D508-E508,0)</f>
        <v/>
      </c>
    </row>
    <row r="509">
      <c r="B509" t="inlineStr">
        <is>
          <t>Ohio Non-MSA</t>
        </is>
      </c>
      <c r="C509" t="inlineStr">
        <is>
          <t>Branches</t>
        </is>
      </c>
      <c r="D509" s="8" t="n">
        <v>1</v>
      </c>
      <c r="E509" s="8" t="n">
        <v>18</v>
      </c>
    </row>
    <row r="510">
      <c r="C510" t="inlineStr">
        <is>
          <t>LMICT</t>
        </is>
      </c>
      <c r="D510" s="31" t="n">
        <v>0.25</v>
      </c>
      <c r="E510" s="31" t="n">
        <v>0.3333333333333333</v>
      </c>
      <c r="F510" s="31">
        <f>IFERROR(D510-E510,0)</f>
        <v/>
      </c>
    </row>
    <row r="511">
      <c r="C511" t="inlineStr">
        <is>
          <t>MMCT</t>
        </is>
      </c>
      <c r="D511" s="31" t="n">
        <v>0</v>
      </c>
      <c r="E511" s="31" t="n">
        <v>0</v>
      </c>
      <c r="F511" s="31">
        <f>IFERROR(D511-E511,0)</f>
        <v/>
      </c>
    </row>
    <row r="512">
      <c r="B512" t="inlineStr">
        <is>
          <t>Springfield, OH</t>
        </is>
      </c>
      <c r="C512" t="inlineStr">
        <is>
          <t>Branches</t>
        </is>
      </c>
      <c r="D512" s="8" t="n">
        <v>4</v>
      </c>
      <c r="E512" s="8" t="n">
        <v>24</v>
      </c>
    </row>
    <row r="513">
      <c r="C513" t="inlineStr">
        <is>
          <t>LMICT</t>
        </is>
      </c>
      <c r="D513" s="31" t="n">
        <v>1</v>
      </c>
      <c r="E513" s="31" t="n">
        <v>0.2105263157894737</v>
      </c>
      <c r="F513" s="31">
        <f>IFERROR(D513-E513,0)</f>
        <v/>
      </c>
    </row>
    <row r="514">
      <c r="C514" t="inlineStr">
        <is>
          <t>MMCT</t>
        </is>
      </c>
      <c r="D514" s="31" t="n">
        <v>0</v>
      </c>
      <c r="E514" s="31" t="n">
        <v>0</v>
      </c>
      <c r="F514" s="31">
        <f>IFERROR(D514-E514,0)</f>
        <v/>
      </c>
    </row>
    <row r="515">
      <c r="B515" t="inlineStr">
        <is>
          <t>Ohio Non-MSA</t>
        </is>
      </c>
      <c r="C515" t="inlineStr">
        <is>
          <t>Branches</t>
        </is>
      </c>
      <c r="D515" s="8" t="n">
        <v>1</v>
      </c>
      <c r="E515" s="8" t="n">
        <v>19</v>
      </c>
    </row>
    <row r="516">
      <c r="C516" t="inlineStr">
        <is>
          <t>LMICT</t>
        </is>
      </c>
      <c r="D516" s="31" t="n">
        <v>0.3636363636363636</v>
      </c>
      <c r="E516" s="31" t="n">
        <v>0.1398601398601399</v>
      </c>
      <c r="F516" s="31">
        <f>IFERROR(D516-E516,0)</f>
        <v/>
      </c>
    </row>
    <row r="517">
      <c r="C517" t="inlineStr">
        <is>
          <t>MMCT</t>
        </is>
      </c>
      <c r="D517" s="31" t="n">
        <v>0</v>
      </c>
      <c r="E517" s="31" t="n">
        <v>0.09090909090909091</v>
      </c>
      <c r="F517" s="31">
        <f>IFERROR(D517-E517,0)</f>
        <v/>
      </c>
    </row>
    <row r="518">
      <c r="B518" t="inlineStr">
        <is>
          <t>Toledo, OH</t>
        </is>
      </c>
      <c r="C518" t="inlineStr">
        <is>
          <t>Branches</t>
        </is>
      </c>
      <c r="D518" s="8" t="n">
        <v>11</v>
      </c>
      <c r="E518" s="8" t="n">
        <v>143</v>
      </c>
    </row>
    <row r="519">
      <c r="C519" t="inlineStr">
        <is>
          <t>LMICT</t>
        </is>
      </c>
      <c r="D519" s="31" t="n">
        <v>0</v>
      </c>
      <c r="E519" s="31" t="n">
        <v>0.1111111111111111</v>
      </c>
      <c r="F519" s="31">
        <f>IFERROR(D519-E519,0)</f>
        <v/>
      </c>
    </row>
    <row r="520">
      <c r="C520" t="inlineStr">
        <is>
          <t>MMCT</t>
        </is>
      </c>
      <c r="D520" s="31" t="n">
        <v>0</v>
      </c>
      <c r="E520" s="31" t="n">
        <v>0</v>
      </c>
      <c r="F520" s="31">
        <f>IFERROR(D520-E520,0)</f>
        <v/>
      </c>
    </row>
    <row r="521">
      <c r="B521" t="inlineStr">
        <is>
          <t>Ohio Non-MSA</t>
        </is>
      </c>
      <c r="C521" t="inlineStr">
        <is>
          <t>Branches</t>
        </is>
      </c>
      <c r="D521" s="8" t="n">
        <v>0</v>
      </c>
      <c r="E521" s="8" t="n">
        <v>9</v>
      </c>
    </row>
    <row r="522">
      <c r="C522" t="inlineStr">
        <is>
          <t>LMICT</t>
        </is>
      </c>
      <c r="D522" s="31" t="n">
        <v>0.5</v>
      </c>
      <c r="E522" s="31" t="n">
        <v>0.0588235294117647</v>
      </c>
      <c r="F522" s="31">
        <f>IFERROR(D522-E522,0)</f>
        <v/>
      </c>
    </row>
    <row r="523">
      <c r="C523" t="inlineStr">
        <is>
          <t>MMCT</t>
        </is>
      </c>
      <c r="D523" s="31" t="n">
        <v>0</v>
      </c>
      <c r="E523" s="31" t="n">
        <v>0</v>
      </c>
      <c r="F523" s="31">
        <f>IFERROR(D523-E523,0)</f>
        <v/>
      </c>
    </row>
    <row r="524">
      <c r="B524" t="inlineStr">
        <is>
          <t>Weirton-Steubenville, WV-OH</t>
        </is>
      </c>
      <c r="C524" t="inlineStr">
        <is>
          <t>Branches</t>
        </is>
      </c>
      <c r="D524" s="8" t="n">
        <v>2</v>
      </c>
      <c r="E524" s="8" t="n">
        <v>17</v>
      </c>
    </row>
    <row r="525">
      <c r="C525" t="inlineStr">
        <is>
          <t>LMICT</t>
        </is>
      </c>
      <c r="D525" s="31" t="n">
        <v>0</v>
      </c>
      <c r="E525" s="31" t="n">
        <v>0.3846153846153847</v>
      </c>
      <c r="F525" s="31">
        <f>IFERROR(D525-E525,0)</f>
        <v/>
      </c>
    </row>
    <row r="526">
      <c r="C526" t="inlineStr">
        <is>
          <t>MMCT</t>
        </is>
      </c>
      <c r="D526" s="31" t="n">
        <v>0</v>
      </c>
      <c r="E526" s="31" t="n">
        <v>0</v>
      </c>
      <c r="F526" s="31">
        <f>IFERROR(D526-E526,0)</f>
        <v/>
      </c>
    </row>
    <row r="527">
      <c r="B527" t="inlineStr">
        <is>
          <t>Wheeling, WV-OH</t>
        </is>
      </c>
      <c r="C527" t="inlineStr">
        <is>
          <t>Branches</t>
        </is>
      </c>
      <c r="D527" s="8" t="n">
        <v>1</v>
      </c>
      <c r="E527" s="8" t="n">
        <v>26</v>
      </c>
    </row>
    <row r="528">
      <c r="C528" t="inlineStr">
        <is>
          <t>LMICT</t>
        </is>
      </c>
      <c r="D528" s="31" t="n">
        <v>0</v>
      </c>
      <c r="E528" s="31" t="n">
        <v>0.3333333333333333</v>
      </c>
      <c r="F528" s="31">
        <f>IFERROR(D528-E528,0)</f>
        <v/>
      </c>
    </row>
    <row r="529">
      <c r="C529" t="inlineStr">
        <is>
          <t>MMCT</t>
        </is>
      </c>
      <c r="D529" s="31" t="n">
        <v>0</v>
      </c>
      <c r="E529" s="31" t="n">
        <v>0</v>
      </c>
      <c r="F529" s="31">
        <f>IFERROR(D529-E529,0)</f>
        <v/>
      </c>
    </row>
    <row r="530">
      <c r="B530" t="inlineStr">
        <is>
          <t>Ohio Non-MSA</t>
        </is>
      </c>
      <c r="C530" t="inlineStr">
        <is>
          <t>Branches</t>
        </is>
      </c>
      <c r="D530" s="8" t="n">
        <v>1</v>
      </c>
      <c r="E530" s="8" t="n">
        <v>15</v>
      </c>
    </row>
    <row r="531">
      <c r="C531" t="inlineStr">
        <is>
          <t>LMICT</t>
        </is>
      </c>
      <c r="D531" s="31" t="n">
        <v>0.3333333333333333</v>
      </c>
      <c r="E531" s="31" t="n">
        <v>0.05263157894736842</v>
      </c>
      <c r="F531" s="31">
        <f>IFERROR(D531-E531,0)</f>
        <v/>
      </c>
    </row>
    <row r="532">
      <c r="C532" t="inlineStr">
        <is>
          <t>MMCT</t>
        </is>
      </c>
      <c r="D532" s="31" t="n">
        <v>0</v>
      </c>
      <c r="E532" s="31" t="n">
        <v>0</v>
      </c>
      <c r="F532" s="31">
        <f>IFERROR(D532-E532,0)</f>
        <v/>
      </c>
    </row>
    <row r="533">
      <c r="B533" t="inlineStr">
        <is>
          <t>Ohio Non-MSA</t>
        </is>
      </c>
      <c r="C533" t="inlineStr">
        <is>
          <t>Branches</t>
        </is>
      </c>
      <c r="D533" s="8" t="n">
        <v>3</v>
      </c>
      <c r="E533" s="8" t="n">
        <v>38</v>
      </c>
    </row>
    <row r="534">
      <c r="C534" t="inlineStr">
        <is>
          <t>LMICT</t>
        </is>
      </c>
      <c r="D534" s="31" t="n">
        <v>0.2727272727272727</v>
      </c>
      <c r="E534" s="31" t="n">
        <v>0.1238095238095238</v>
      </c>
      <c r="F534" s="31">
        <f>IFERROR(D534-E534,0)</f>
        <v/>
      </c>
    </row>
    <row r="535">
      <c r="C535" t="inlineStr">
        <is>
          <t>MMCT</t>
        </is>
      </c>
      <c r="D535" s="31" t="n">
        <v>0.1818181818181818</v>
      </c>
      <c r="E535" s="31" t="n">
        <v>0.05714285714285714</v>
      </c>
      <c r="F535" s="31">
        <f>IFERROR(D535-E535,0)</f>
        <v/>
      </c>
    </row>
    <row r="536">
      <c r="B536" t="inlineStr">
        <is>
          <t>Youngstown-Warren-Boardman, OH-PA</t>
        </is>
      </c>
      <c r="C536" t="inlineStr">
        <is>
          <t>Branches</t>
        </is>
      </c>
      <c r="D536" s="8" t="n">
        <v>11</v>
      </c>
      <c r="E536" s="8" t="n">
        <v>105</v>
      </c>
    </row>
    <row r="537">
      <c r="C537" t="inlineStr">
        <is>
          <t>LMICT</t>
        </is>
      </c>
      <c r="D537" s="31" t="n">
        <v>0</v>
      </c>
      <c r="E537" s="31" t="n">
        <v>0.4230769230769231</v>
      </c>
      <c r="F537" s="31">
        <f>IFERROR(D537-E537,0)</f>
        <v/>
      </c>
    </row>
    <row r="538">
      <c r="C538" t="inlineStr">
        <is>
          <t>MMCT</t>
        </is>
      </c>
      <c r="D538" s="31" t="n">
        <v>0</v>
      </c>
      <c r="E538" s="31" t="n">
        <v>0</v>
      </c>
      <c r="F538" s="31">
        <f>IFERROR(D538-E538,0)</f>
        <v/>
      </c>
    </row>
    <row r="539">
      <c r="B539" t="inlineStr">
        <is>
          <t>Ohio Non-MSA</t>
        </is>
      </c>
      <c r="C539" t="inlineStr">
        <is>
          <t>Branches</t>
        </is>
      </c>
      <c r="D539" s="8" t="n">
        <v>1</v>
      </c>
      <c r="E539" s="8" t="n">
        <v>26</v>
      </c>
    </row>
    <row r="540">
      <c r="A540" t="inlineStr">
        <is>
          <t>Pennsylvania</t>
        </is>
      </c>
      <c r="C540" t="inlineStr">
        <is>
          <t>LMICT</t>
        </is>
      </c>
      <c r="D540" s="31" t="n">
        <v>0.1764705882352941</v>
      </c>
      <c r="E540" s="31" t="n">
        <v>0.2832369942196532</v>
      </c>
      <c r="F540" s="31">
        <f>IFERROR(D540-E540,0)</f>
        <v/>
      </c>
    </row>
    <row r="541">
      <c r="C541" t="inlineStr">
        <is>
          <t>MMCT</t>
        </is>
      </c>
      <c r="D541" s="31" t="n">
        <v>0.1176470588235294</v>
      </c>
      <c r="E541" s="31" t="n">
        <v>0.1040462427745665</v>
      </c>
      <c r="F541" s="31">
        <f>IFERROR(D541-E541,0)</f>
        <v/>
      </c>
    </row>
    <row r="542">
      <c r="B542" t="inlineStr">
        <is>
          <t>Allentown-Bethlehem-Easton, PA-NJ</t>
        </is>
      </c>
      <c r="C542" t="inlineStr">
        <is>
          <t>Branches</t>
        </is>
      </c>
      <c r="D542" s="8" t="n">
        <v>17</v>
      </c>
      <c r="E542" s="8" t="n">
        <v>173</v>
      </c>
    </row>
    <row r="543">
      <c r="C543" t="inlineStr">
        <is>
          <t>LMICT</t>
        </is>
      </c>
      <c r="D543" s="31" t="n">
        <v>0</v>
      </c>
      <c r="E543" s="31" t="n">
        <v>0.2826086956521739</v>
      </c>
      <c r="F543" s="31">
        <f>IFERROR(D543-E543,0)</f>
        <v/>
      </c>
    </row>
    <row r="544">
      <c r="C544" t="inlineStr">
        <is>
          <t>MMCT</t>
        </is>
      </c>
      <c r="D544" s="31" t="n">
        <v>0</v>
      </c>
      <c r="E544" s="31" t="n">
        <v>0</v>
      </c>
      <c r="F544" s="31">
        <f>IFERROR(D544-E544,0)</f>
        <v/>
      </c>
    </row>
    <row r="545">
      <c r="B545" t="inlineStr">
        <is>
          <t>Altoona, PA</t>
        </is>
      </c>
      <c r="C545" t="inlineStr">
        <is>
          <t>Branches</t>
        </is>
      </c>
      <c r="D545" s="8" t="n">
        <v>0</v>
      </c>
      <c r="E545" s="8" t="n">
        <v>46</v>
      </c>
    </row>
    <row r="546">
      <c r="C546" t="inlineStr">
        <is>
          <t>LMICT</t>
        </is>
      </c>
      <c r="D546" s="31" t="n">
        <v>0</v>
      </c>
      <c r="E546" s="31" t="n">
        <v>0.1</v>
      </c>
      <c r="F546" s="31">
        <f>IFERROR(D546-E546,0)</f>
        <v/>
      </c>
    </row>
    <row r="547">
      <c r="C547" t="inlineStr">
        <is>
          <t>MMCT</t>
        </is>
      </c>
      <c r="D547" s="31" t="n">
        <v>0</v>
      </c>
      <c r="E547" s="31" t="n">
        <v>0</v>
      </c>
      <c r="F547" s="31">
        <f>IFERROR(D547-E547,0)</f>
        <v/>
      </c>
    </row>
    <row r="548">
      <c r="B548" t="inlineStr">
        <is>
          <t>Bloomsburg-Berwick, PA</t>
        </is>
      </c>
      <c r="C548" t="inlineStr">
        <is>
          <t>Branches</t>
        </is>
      </c>
      <c r="D548" s="8" t="n">
        <v>2</v>
      </c>
      <c r="E548" s="8" t="n">
        <v>20</v>
      </c>
    </row>
    <row r="549">
      <c r="C549" t="inlineStr">
        <is>
          <t>LMICT</t>
        </is>
      </c>
      <c r="D549" s="31" t="n">
        <v>1</v>
      </c>
      <c r="E549" s="31" t="n">
        <v>0.1333333333333333</v>
      </c>
      <c r="F549" s="31">
        <f>IFERROR(D549-E549,0)</f>
        <v/>
      </c>
    </row>
    <row r="550">
      <c r="C550" t="inlineStr">
        <is>
          <t>MMCT</t>
        </is>
      </c>
      <c r="D550" s="31" t="n">
        <v>0</v>
      </c>
      <c r="E550" s="31" t="n">
        <v>0</v>
      </c>
      <c r="F550" s="31">
        <f>IFERROR(D550-E550,0)</f>
        <v/>
      </c>
    </row>
    <row r="551">
      <c r="B551" t="inlineStr">
        <is>
          <t>Pennsylvania Non-MSA</t>
        </is>
      </c>
      <c r="C551" t="inlineStr">
        <is>
          <t>Branches</t>
        </is>
      </c>
      <c r="D551" s="8" t="n">
        <v>1</v>
      </c>
      <c r="E551" s="8" t="n">
        <v>15</v>
      </c>
    </row>
    <row r="552">
      <c r="C552" t="inlineStr">
        <is>
          <t>LMICT</t>
        </is>
      </c>
      <c r="D552" s="31" t="n">
        <v>0</v>
      </c>
      <c r="E552" s="31" t="n">
        <v>0.2608695652173913</v>
      </c>
      <c r="F552" s="31">
        <f>IFERROR(D552-E552,0)</f>
        <v/>
      </c>
    </row>
    <row r="553">
      <c r="C553" t="inlineStr">
        <is>
          <t>MMCT</t>
        </is>
      </c>
      <c r="D553" s="31" t="n">
        <v>0</v>
      </c>
      <c r="E553" s="31" t="n">
        <v>0</v>
      </c>
      <c r="F553" s="31">
        <f>IFERROR(D553-E553,0)</f>
        <v/>
      </c>
    </row>
    <row r="554">
      <c r="B554" t="inlineStr">
        <is>
          <t>Pennsylvania Non-MSA</t>
        </is>
      </c>
      <c r="C554" t="inlineStr">
        <is>
          <t>Branches</t>
        </is>
      </c>
      <c r="D554" s="8" t="n">
        <v>1</v>
      </c>
      <c r="E554" s="8" t="n">
        <v>23</v>
      </c>
    </row>
    <row r="555">
      <c r="C555" t="inlineStr">
        <is>
          <t>LMICT</t>
        </is>
      </c>
      <c r="D555" s="31" t="n">
        <v>0</v>
      </c>
      <c r="E555" s="31" t="n">
        <v>0.02777777777777778</v>
      </c>
      <c r="F555" s="31">
        <f>IFERROR(D555-E555,0)</f>
        <v/>
      </c>
    </row>
    <row r="556">
      <c r="C556" t="inlineStr">
        <is>
          <t>MMCT</t>
        </is>
      </c>
      <c r="D556" s="31" t="n">
        <v>0.3333333333333333</v>
      </c>
      <c r="E556" s="31" t="n">
        <v>0.1944444444444445</v>
      </c>
      <c r="F556" s="31">
        <f>IFERROR(D556-E556,0)</f>
        <v/>
      </c>
    </row>
    <row r="557">
      <c r="B557" t="inlineStr">
        <is>
          <t>East Stroudsburg, PA</t>
        </is>
      </c>
      <c r="C557" t="inlineStr">
        <is>
          <t>Branches</t>
        </is>
      </c>
      <c r="D557" s="8" t="n">
        <v>6</v>
      </c>
      <c r="E557" s="8" t="n">
        <v>36</v>
      </c>
    </row>
    <row r="558">
      <c r="C558" t="inlineStr">
        <is>
          <t>LMICT</t>
        </is>
      </c>
      <c r="D558" s="31" t="n">
        <v>0.1818181818181818</v>
      </c>
      <c r="E558" s="31" t="n">
        <v>0.3333333333333333</v>
      </c>
      <c r="F558" s="31">
        <f>IFERROR(D558-E558,0)</f>
        <v/>
      </c>
    </row>
    <row r="559">
      <c r="C559" t="inlineStr">
        <is>
          <t>MMCT</t>
        </is>
      </c>
      <c r="D559" s="31" t="n">
        <v>0</v>
      </c>
      <c r="E559" s="31" t="n">
        <v>0.03703703703703703</v>
      </c>
      <c r="F559" s="31">
        <f>IFERROR(D559-E559,0)</f>
        <v/>
      </c>
    </row>
    <row r="560">
      <c r="B560" t="inlineStr">
        <is>
          <t>Erie, PA</t>
        </is>
      </c>
      <c r="C560" t="inlineStr">
        <is>
          <t>Branches</t>
        </is>
      </c>
      <c r="D560" s="8" t="n">
        <v>11</v>
      </c>
      <c r="E560" s="8" t="n">
        <v>54</v>
      </c>
    </row>
    <row r="561">
      <c r="C561" t="inlineStr">
        <is>
          <t>LMICT</t>
        </is>
      </c>
      <c r="D561" s="31" t="n">
        <v>0.25</v>
      </c>
      <c r="E561" s="31" t="n">
        <v>0.2307692307692308</v>
      </c>
      <c r="F561" s="31">
        <f>IFERROR(D561-E561,0)</f>
        <v/>
      </c>
    </row>
    <row r="562">
      <c r="C562" t="inlineStr">
        <is>
          <t>MMCT</t>
        </is>
      </c>
      <c r="D562" s="31" t="n">
        <v>0</v>
      </c>
      <c r="E562" s="31" t="n">
        <v>0</v>
      </c>
      <c r="F562" s="31">
        <f>IFERROR(D562-E562,0)</f>
        <v/>
      </c>
    </row>
    <row r="563">
      <c r="B563" t="inlineStr">
        <is>
          <t>Gettysburg, PA</t>
        </is>
      </c>
      <c r="C563" t="inlineStr">
        <is>
          <t>Branches</t>
        </is>
      </c>
      <c r="D563" s="8" t="n">
        <v>4</v>
      </c>
      <c r="E563" s="8" t="n">
        <v>13</v>
      </c>
    </row>
    <row r="564">
      <c r="C564" t="inlineStr">
        <is>
          <t>LMICT</t>
        </is>
      </c>
      <c r="D564" s="31" t="n">
        <v>0.125</v>
      </c>
      <c r="E564" s="31" t="n">
        <v>0.2481203007518797</v>
      </c>
      <c r="F564" s="31">
        <f>IFERROR(D564-E564,0)</f>
        <v/>
      </c>
    </row>
    <row r="565">
      <c r="C565" t="inlineStr">
        <is>
          <t>MMCT</t>
        </is>
      </c>
      <c r="D565" s="31" t="n">
        <v>0.25</v>
      </c>
      <c r="E565" s="31" t="n">
        <v>0.1353383458646616</v>
      </c>
      <c r="F565" s="31">
        <f>IFERROR(D565-E565,0)</f>
        <v/>
      </c>
    </row>
    <row r="566">
      <c r="B566" t="inlineStr">
        <is>
          <t>Harrisburg-Carlisle, PA</t>
        </is>
      </c>
      <c r="C566" t="inlineStr">
        <is>
          <t>Branches</t>
        </is>
      </c>
      <c r="D566" s="8" t="n">
        <v>8</v>
      </c>
      <c r="E566" s="8" t="n">
        <v>133</v>
      </c>
    </row>
    <row r="567">
      <c r="C567" t="inlineStr">
        <is>
          <t>LMICT</t>
        </is>
      </c>
      <c r="D567" s="31" t="n">
        <v>0</v>
      </c>
      <c r="E567" s="31" t="n">
        <v>0.1666666666666666</v>
      </c>
      <c r="F567" s="31">
        <f>IFERROR(D567-E567,0)</f>
        <v/>
      </c>
    </row>
    <row r="568">
      <c r="C568" t="inlineStr">
        <is>
          <t>MMCT</t>
        </is>
      </c>
      <c r="D568" s="31" t="n">
        <v>0</v>
      </c>
      <c r="E568" s="31" t="n">
        <v>0</v>
      </c>
      <c r="F568" s="31">
        <f>IFERROR(D568-E568,0)</f>
        <v/>
      </c>
    </row>
    <row r="569">
      <c r="B569" t="inlineStr">
        <is>
          <t>Pennsylvania Non-MSA</t>
        </is>
      </c>
      <c r="C569" t="inlineStr">
        <is>
          <t>Branches</t>
        </is>
      </c>
      <c r="D569" s="8" t="n">
        <v>0</v>
      </c>
      <c r="E569" s="8" t="n">
        <v>12</v>
      </c>
    </row>
    <row r="570">
      <c r="C570" t="inlineStr">
        <is>
          <t>LMICT</t>
        </is>
      </c>
      <c r="D570" s="31" t="n">
        <v>0</v>
      </c>
      <c r="E570" s="31" t="n">
        <v>0</v>
      </c>
      <c r="F570" s="31">
        <f>IFERROR(D570-E570,0)</f>
        <v/>
      </c>
    </row>
    <row r="571">
      <c r="C571" t="inlineStr">
        <is>
          <t>MMCT</t>
        </is>
      </c>
      <c r="D571" s="31" t="n">
        <v>0</v>
      </c>
      <c r="E571" s="31" t="n">
        <v>0</v>
      </c>
      <c r="F571" s="31">
        <f>IFERROR(D571-E571,0)</f>
        <v/>
      </c>
    </row>
    <row r="572">
      <c r="B572" t="inlineStr">
        <is>
          <t>Pennsylvania Non-MSA</t>
        </is>
      </c>
      <c r="C572" t="inlineStr">
        <is>
          <t>Branches</t>
        </is>
      </c>
      <c r="D572" s="8" t="n">
        <v>2</v>
      </c>
      <c r="E572" s="8" t="n">
        <v>23</v>
      </c>
    </row>
    <row r="573">
      <c r="C573" t="inlineStr">
        <is>
          <t>LMICT</t>
        </is>
      </c>
      <c r="D573" s="31" t="n">
        <v>0.2307692307692308</v>
      </c>
      <c r="E573" s="31" t="n">
        <v>0.1167883211678832</v>
      </c>
      <c r="F573" s="31">
        <f>IFERROR(D573-E573,0)</f>
        <v/>
      </c>
    </row>
    <row r="574">
      <c r="C574" t="inlineStr">
        <is>
          <t>MMCT</t>
        </is>
      </c>
      <c r="D574" s="31" t="n">
        <v>0.07692307692307693</v>
      </c>
      <c r="E574" s="31" t="n">
        <v>0.0364963503649635</v>
      </c>
      <c r="F574" s="31">
        <f>IFERROR(D574-E574,0)</f>
        <v/>
      </c>
    </row>
    <row r="575">
      <c r="B575" t="inlineStr">
        <is>
          <t>Lancaster, PA</t>
        </is>
      </c>
      <c r="C575" t="inlineStr">
        <is>
          <t>Branches</t>
        </is>
      </c>
      <c r="D575" s="8" t="n">
        <v>13</v>
      </c>
      <c r="E575" s="8" t="n">
        <v>137</v>
      </c>
    </row>
    <row r="576">
      <c r="C576" t="inlineStr">
        <is>
          <t>LMICT</t>
        </is>
      </c>
      <c r="D576" s="31" t="n">
        <v>0</v>
      </c>
      <c r="E576" s="31" t="n">
        <v>0.2121212121212121</v>
      </c>
      <c r="F576" s="31">
        <f>IFERROR(D576-E576,0)</f>
        <v/>
      </c>
    </row>
    <row r="577">
      <c r="C577" t="inlineStr">
        <is>
          <t>MMCT</t>
        </is>
      </c>
      <c r="D577" s="31" t="n">
        <v>0</v>
      </c>
      <c r="E577" s="31" t="n">
        <v>0.0303030303030303</v>
      </c>
      <c r="F577" s="31">
        <f>IFERROR(D577-E577,0)</f>
        <v/>
      </c>
    </row>
    <row r="578">
      <c r="B578" t="inlineStr">
        <is>
          <t>Lebanon, PA</t>
        </is>
      </c>
      <c r="C578" t="inlineStr">
        <is>
          <t>Branches</t>
        </is>
      </c>
      <c r="D578" s="8" t="n">
        <v>0</v>
      </c>
      <c r="E578" s="8" t="n">
        <v>33</v>
      </c>
    </row>
    <row r="579">
      <c r="C579" t="inlineStr">
        <is>
          <t>LMICT</t>
        </is>
      </c>
      <c r="D579" s="31" t="n">
        <v>1</v>
      </c>
      <c r="E579" s="31" t="n">
        <v>0.5</v>
      </c>
      <c r="F579" s="31">
        <f>IFERROR(D579-E579,0)</f>
        <v/>
      </c>
    </row>
    <row r="580">
      <c r="C580" t="inlineStr">
        <is>
          <t>MMCT</t>
        </is>
      </c>
      <c r="D580" s="31" t="n">
        <v>0</v>
      </c>
      <c r="E580" s="31" t="n">
        <v>0</v>
      </c>
      <c r="F580" s="31">
        <f>IFERROR(D580-E580,0)</f>
        <v/>
      </c>
    </row>
    <row r="581">
      <c r="B581" t="inlineStr">
        <is>
          <t>Pennsylvania Non-MSA</t>
        </is>
      </c>
      <c r="C581" t="inlineStr">
        <is>
          <t>Branches</t>
        </is>
      </c>
      <c r="D581" s="8" t="n">
        <v>2</v>
      </c>
      <c r="E581" s="8" t="n">
        <v>16</v>
      </c>
    </row>
    <row r="582">
      <c r="C582" t="inlineStr">
        <is>
          <t>LMICT</t>
        </is>
      </c>
      <c r="D582" s="31" t="n">
        <v>0.6666666666666665</v>
      </c>
      <c r="E582" s="31" t="n">
        <v>0.5294117647058824</v>
      </c>
      <c r="F582" s="31">
        <f>IFERROR(D582-E582,0)</f>
        <v/>
      </c>
    </row>
    <row r="583">
      <c r="C583" t="inlineStr">
        <is>
          <t>MMCT</t>
        </is>
      </c>
      <c r="D583" s="31" t="n">
        <v>0</v>
      </c>
      <c r="E583" s="31" t="n">
        <v>0.1764705882352941</v>
      </c>
      <c r="F583" s="31">
        <f>IFERROR(D583-E583,0)</f>
        <v/>
      </c>
    </row>
    <row r="584">
      <c r="B584" t="inlineStr">
        <is>
          <t>Pennsylvania Non-MSA</t>
        </is>
      </c>
      <c r="C584" t="inlineStr">
        <is>
          <t>Branches</t>
        </is>
      </c>
      <c r="D584" s="8" t="n">
        <v>3</v>
      </c>
      <c r="E584" s="8" t="n">
        <v>17</v>
      </c>
    </row>
    <row r="585">
      <c r="C585" t="inlineStr">
        <is>
          <t>LMICT</t>
        </is>
      </c>
      <c r="D585" s="31" t="n">
        <v>0</v>
      </c>
      <c r="E585" s="31" t="n">
        <v>0.3076923076923077</v>
      </c>
      <c r="F585" s="31">
        <f>IFERROR(D585-E585,0)</f>
        <v/>
      </c>
    </row>
    <row r="586">
      <c r="C586" t="inlineStr">
        <is>
          <t>MMCT</t>
        </is>
      </c>
      <c r="D586" s="31" t="n">
        <v>0</v>
      </c>
      <c r="E586" s="31" t="n">
        <v>0</v>
      </c>
      <c r="F586" s="31">
        <f>IFERROR(D586-E586,0)</f>
        <v/>
      </c>
    </row>
    <row r="587">
      <c r="B587" t="inlineStr">
        <is>
          <t>Pennsylvania Non-MSA</t>
        </is>
      </c>
      <c r="C587" t="inlineStr">
        <is>
          <t>Branches</t>
        </is>
      </c>
      <c r="D587" s="8" t="n">
        <v>1</v>
      </c>
      <c r="E587" s="8" t="n">
        <v>13</v>
      </c>
    </row>
    <row r="588">
      <c r="C588" t="inlineStr">
        <is>
          <t>LMICT</t>
        </is>
      </c>
      <c r="D588" s="31" t="n">
        <v>0.2045454545454546</v>
      </c>
      <c r="E588" s="31" t="n">
        <v>0.2132231404958678</v>
      </c>
      <c r="F588" s="31">
        <f>IFERROR(D588-E588,0)</f>
        <v/>
      </c>
    </row>
    <row r="589">
      <c r="C589" t="inlineStr">
        <is>
          <t>MMCT</t>
        </is>
      </c>
      <c r="D589" s="31" t="n">
        <v>0.3106060606060606</v>
      </c>
      <c r="E589" s="31" t="n">
        <v>0.1628099173553719</v>
      </c>
      <c r="F589" s="31">
        <f>IFERROR(D589-E589,0)</f>
        <v/>
      </c>
    </row>
    <row r="590">
      <c r="B590" t="inlineStr">
        <is>
          <t>Philadelphia-Camden-Wilmington, PA-NJ-DE-MD</t>
        </is>
      </c>
      <c r="C590" t="inlineStr">
        <is>
          <t>Branches</t>
        </is>
      </c>
      <c r="D590" s="8" t="n">
        <v>132</v>
      </c>
      <c r="E590" s="8" t="n">
        <v>1210</v>
      </c>
    </row>
    <row r="591">
      <c r="C591" t="inlineStr">
        <is>
          <t>LMICT</t>
        </is>
      </c>
      <c r="D591" s="31" t="n">
        <v>0.1839080459770115</v>
      </c>
      <c r="E591" s="31" t="n">
        <v>0.2183098591549296</v>
      </c>
      <c r="F591" s="31">
        <f>IFERROR(D591-E591,0)</f>
        <v/>
      </c>
    </row>
    <row r="592">
      <c r="C592" t="inlineStr">
        <is>
          <t>MMCT</t>
        </is>
      </c>
      <c r="D592" s="31" t="n">
        <v>0.08045977011494253</v>
      </c>
      <c r="E592" s="31" t="n">
        <v>0.04753521126760563</v>
      </c>
      <c r="F592" s="31">
        <f>IFERROR(D592-E592,0)</f>
        <v/>
      </c>
    </row>
    <row r="593">
      <c r="B593" t="inlineStr">
        <is>
          <t>Pittsburgh, PA</t>
        </is>
      </c>
      <c r="C593" t="inlineStr">
        <is>
          <t>Branches</t>
        </is>
      </c>
      <c r="D593" s="8" t="n">
        <v>87</v>
      </c>
      <c r="E593" s="8" t="n">
        <v>568</v>
      </c>
    </row>
    <row r="594">
      <c r="C594" t="inlineStr">
        <is>
          <t>LMICT</t>
        </is>
      </c>
      <c r="D594" s="31" t="n">
        <v>0</v>
      </c>
      <c r="E594" s="31" t="n">
        <v>0.1931818181818182</v>
      </c>
      <c r="F594" s="31">
        <f>IFERROR(D594-E594,0)</f>
        <v/>
      </c>
    </row>
    <row r="595">
      <c r="C595" t="inlineStr">
        <is>
          <t>MMCT</t>
        </is>
      </c>
      <c r="D595" s="31" t="n">
        <v>0</v>
      </c>
      <c r="E595" s="31" t="n">
        <v>0.1363636363636364</v>
      </c>
      <c r="F595" s="31">
        <f>IFERROR(D595-E595,0)</f>
        <v/>
      </c>
    </row>
    <row r="596">
      <c r="B596" t="inlineStr">
        <is>
          <t>Reading, PA</t>
        </is>
      </c>
      <c r="C596" t="inlineStr">
        <is>
          <t>Branches</t>
        </is>
      </c>
      <c r="D596" s="8" t="n">
        <v>0</v>
      </c>
      <c r="E596" s="8" t="n">
        <v>88</v>
      </c>
    </row>
    <row r="597">
      <c r="C597" t="inlineStr">
        <is>
          <t>LMICT</t>
        </is>
      </c>
      <c r="D597" s="31" t="n">
        <v>0</v>
      </c>
      <c r="E597" s="31" t="n">
        <v>0</v>
      </c>
      <c r="F597" s="31">
        <f>IFERROR(D597-E597,0)</f>
        <v/>
      </c>
    </row>
    <row r="598">
      <c r="C598" t="inlineStr">
        <is>
          <t>MMCT</t>
        </is>
      </c>
      <c r="D598" s="31" t="n">
        <v>0</v>
      </c>
      <c r="E598" s="31" t="n">
        <v>0</v>
      </c>
      <c r="F598" s="31">
        <f>IFERROR(D598-E598,0)</f>
        <v/>
      </c>
    </row>
    <row r="599">
      <c r="B599" t="inlineStr">
        <is>
          <t>Pennsylvania Non-MSA</t>
        </is>
      </c>
      <c r="C599" t="inlineStr">
        <is>
          <t>Branches</t>
        </is>
      </c>
      <c r="D599" s="8" t="n">
        <v>0</v>
      </c>
      <c r="E599" s="8" t="n">
        <v>12</v>
      </c>
    </row>
    <row r="600">
      <c r="C600" t="inlineStr">
        <is>
          <t>LMICT</t>
        </is>
      </c>
      <c r="D600" s="31" t="n">
        <v>0.375</v>
      </c>
      <c r="E600" s="31" t="n">
        <v>0.3401360544217687</v>
      </c>
      <c r="F600" s="31">
        <f>IFERROR(D600-E600,0)</f>
        <v/>
      </c>
    </row>
    <row r="601">
      <c r="C601" t="inlineStr">
        <is>
          <t>MMCT</t>
        </is>
      </c>
      <c r="D601" s="31" t="n">
        <v>0.0625</v>
      </c>
      <c r="E601" s="31" t="n">
        <v>0.06802721088435375</v>
      </c>
      <c r="F601" s="31">
        <f>IFERROR(D601-E601,0)</f>
        <v/>
      </c>
    </row>
    <row r="602">
      <c r="B602" t="inlineStr">
        <is>
          <t>Scranton—Wilkes-Barre, PA</t>
        </is>
      </c>
      <c r="C602" t="inlineStr">
        <is>
          <t>Branches</t>
        </is>
      </c>
      <c r="D602" s="8" t="n">
        <v>16</v>
      </c>
      <c r="E602" s="8" t="n">
        <v>147</v>
      </c>
    </row>
    <row r="603">
      <c r="C603" t="inlineStr">
        <is>
          <t>LMICT</t>
        </is>
      </c>
      <c r="D603" s="31" t="n">
        <v>1</v>
      </c>
      <c r="E603" s="31" t="n">
        <v>0.1818181818181818</v>
      </c>
      <c r="F603" s="31">
        <f>IFERROR(D603-E603,0)</f>
        <v/>
      </c>
    </row>
    <row r="604">
      <c r="C604" t="inlineStr">
        <is>
          <t>MMCT</t>
        </is>
      </c>
      <c r="D604" s="31" t="n">
        <v>0</v>
      </c>
      <c r="E604" s="31" t="n">
        <v>0</v>
      </c>
      <c r="F604" s="31">
        <f>IFERROR(D604-E604,0)</f>
        <v/>
      </c>
    </row>
    <row r="605">
      <c r="B605" t="inlineStr">
        <is>
          <t>Pennsylvania Non-MSA</t>
        </is>
      </c>
      <c r="C605" t="inlineStr">
        <is>
          <t>Branches</t>
        </is>
      </c>
      <c r="D605" s="8" t="n">
        <v>1</v>
      </c>
      <c r="E605" s="8" t="n">
        <v>22</v>
      </c>
    </row>
    <row r="606">
      <c r="C606" t="inlineStr">
        <is>
          <t>LMICT</t>
        </is>
      </c>
      <c r="D606" s="31" t="n">
        <v>0.2</v>
      </c>
      <c r="E606" s="31" t="n">
        <v>0.225</v>
      </c>
      <c r="F606" s="31">
        <f>IFERROR(D606-E606,0)</f>
        <v/>
      </c>
    </row>
    <row r="607">
      <c r="C607" t="inlineStr">
        <is>
          <t>MMCT</t>
        </is>
      </c>
      <c r="D607" s="31" t="n">
        <v>0</v>
      </c>
      <c r="E607" s="31" t="n">
        <v>0.075</v>
      </c>
      <c r="F607" s="31">
        <f>IFERROR(D607-E607,0)</f>
        <v/>
      </c>
    </row>
    <row r="608">
      <c r="B608" t="inlineStr">
        <is>
          <t>State College, PA</t>
        </is>
      </c>
      <c r="C608" t="inlineStr">
        <is>
          <t>Branches</t>
        </is>
      </c>
      <c r="D608" s="8" t="n">
        <v>5</v>
      </c>
      <c r="E608" s="8" t="n">
        <v>40</v>
      </c>
    </row>
    <row r="609">
      <c r="C609" t="inlineStr">
        <is>
          <t>LMICT</t>
        </is>
      </c>
      <c r="D609" s="31" t="n">
        <v>0</v>
      </c>
      <c r="E609" s="31" t="n">
        <v>0.1111111111111111</v>
      </c>
      <c r="F609" s="31">
        <f>IFERROR(D609-E609,0)</f>
        <v/>
      </c>
    </row>
    <row r="610">
      <c r="C610" t="inlineStr">
        <is>
          <t>MMCT</t>
        </is>
      </c>
      <c r="D610" s="31" t="n">
        <v>0</v>
      </c>
      <c r="E610" s="31" t="n">
        <v>0</v>
      </c>
      <c r="F610" s="31">
        <f>IFERROR(D610-E610,0)</f>
        <v/>
      </c>
    </row>
    <row r="611">
      <c r="B611" t="inlineStr">
        <is>
          <t>Pennsylvania Non-MSA</t>
        </is>
      </c>
      <c r="C611" t="inlineStr">
        <is>
          <t>Branches</t>
        </is>
      </c>
      <c r="D611" s="8" t="n">
        <v>1</v>
      </c>
      <c r="E611" s="8" t="n">
        <v>9</v>
      </c>
    </row>
    <row r="612">
      <c r="C612" t="inlineStr">
        <is>
          <t>LMICT</t>
        </is>
      </c>
      <c r="D612" s="31" t="n">
        <v>0</v>
      </c>
      <c r="E612" s="31" t="n">
        <v>0</v>
      </c>
      <c r="F612" s="31">
        <f>IFERROR(D612-E612,0)</f>
        <v/>
      </c>
    </row>
    <row r="613">
      <c r="C613" t="inlineStr">
        <is>
          <t>MMCT</t>
        </is>
      </c>
      <c r="D613" s="31" t="n">
        <v>0</v>
      </c>
      <c r="E613" s="31" t="n">
        <v>0</v>
      </c>
      <c r="F613" s="31">
        <f>IFERROR(D613-E613,0)</f>
        <v/>
      </c>
    </row>
    <row r="614">
      <c r="B614" t="inlineStr">
        <is>
          <t>Williamsport, PA</t>
        </is>
      </c>
      <c r="C614" t="inlineStr">
        <is>
          <t>Branches</t>
        </is>
      </c>
      <c r="D614" s="8" t="n">
        <v>1</v>
      </c>
      <c r="E614" s="8" t="n">
        <v>43</v>
      </c>
    </row>
    <row r="615">
      <c r="C615" t="inlineStr">
        <is>
          <t>LMICT</t>
        </is>
      </c>
      <c r="D615" s="31" t="n">
        <v>0</v>
      </c>
      <c r="E615" s="31" t="n">
        <v>0.1264367816091954</v>
      </c>
      <c r="F615" s="31">
        <f>IFERROR(D615-E615,0)</f>
        <v/>
      </c>
    </row>
    <row r="616">
      <c r="C616" t="inlineStr">
        <is>
          <t>MMCT</t>
        </is>
      </c>
      <c r="D616" s="31" t="n">
        <v>0</v>
      </c>
      <c r="E616" s="31" t="n">
        <v>0.06896551724137931</v>
      </c>
      <c r="F616" s="31">
        <f>IFERROR(D616-E616,0)</f>
        <v/>
      </c>
    </row>
    <row r="617">
      <c r="B617" t="inlineStr">
        <is>
          <t>York-Hanover, PA</t>
        </is>
      </c>
      <c r="C617" t="inlineStr">
        <is>
          <t>Branches</t>
        </is>
      </c>
      <c r="D617" s="8" t="n">
        <v>4</v>
      </c>
      <c r="E617" s="8" t="n">
        <v>87</v>
      </c>
    </row>
    <row r="618">
      <c r="A618" t="inlineStr">
        <is>
          <t>Tennessee</t>
        </is>
      </c>
      <c r="C618" t="inlineStr">
        <is>
          <t>LMICT</t>
        </is>
      </c>
      <c r="D618" s="31" t="n">
        <v>0</v>
      </c>
      <c r="E618" s="31" t="n">
        <v>0.1739130434782609</v>
      </c>
      <c r="F618" s="31">
        <f>IFERROR(D618-E618,0)</f>
        <v/>
      </c>
    </row>
    <row r="619">
      <c r="C619" t="inlineStr">
        <is>
          <t>MMCT</t>
        </is>
      </c>
      <c r="D619" s="31" t="n">
        <v>0.2</v>
      </c>
      <c r="E619" s="31" t="n">
        <v>0.1684782608695652</v>
      </c>
      <c r="F619" s="31">
        <f>IFERROR(D619-E619,0)</f>
        <v/>
      </c>
    </row>
    <row r="620">
      <c r="B620" t="inlineStr">
        <is>
          <t>Nashville-Davidson-Murfreesboro-Franklin, TN</t>
        </is>
      </c>
      <c r="C620" t="inlineStr">
        <is>
          <t>Branches</t>
        </is>
      </c>
      <c r="D620" s="8" t="n">
        <v>5</v>
      </c>
      <c r="E620" s="8" t="n">
        <v>368</v>
      </c>
    </row>
    <row r="621">
      <c r="A621" t="inlineStr">
        <is>
          <t>Texas</t>
        </is>
      </c>
      <c r="C621" t="inlineStr">
        <is>
          <t>LMICT</t>
        </is>
      </c>
      <c r="D621" s="31" t="n">
        <v>0.3152173913043478</v>
      </c>
      <c r="E621" s="31" t="n">
        <v>0.2419601837672282</v>
      </c>
      <c r="F621" s="31">
        <f>IFERROR(D621-E621,0)</f>
        <v/>
      </c>
    </row>
    <row r="622">
      <c r="C622" t="inlineStr">
        <is>
          <t>MMCT</t>
        </is>
      </c>
      <c r="D622" s="31" t="n">
        <v>0.5543478260869565</v>
      </c>
      <c r="E622" s="31" t="n">
        <v>0.5153139356814701</v>
      </c>
      <c r="F622" s="31">
        <f>IFERROR(D622-E622,0)</f>
        <v/>
      </c>
    </row>
    <row r="623">
      <c r="B623" t="inlineStr">
        <is>
          <t>Dallas-Fort Worth-Arlington, TX</t>
        </is>
      </c>
      <c r="C623" t="inlineStr">
        <is>
          <t>Branches</t>
        </is>
      </c>
      <c r="D623" s="8" t="n">
        <v>92</v>
      </c>
      <c r="E623" s="8" t="n">
        <v>1306</v>
      </c>
    </row>
    <row r="624">
      <c r="C624" t="inlineStr">
        <is>
          <t>LMICT</t>
        </is>
      </c>
      <c r="D624" s="31" t="n">
        <v>0.2272727272727273</v>
      </c>
      <c r="E624" s="31" t="n">
        <v>0.2809090909090909</v>
      </c>
      <c r="F624" s="31">
        <f>IFERROR(D624-E624,0)</f>
        <v/>
      </c>
    </row>
    <row r="625">
      <c r="C625" t="inlineStr">
        <is>
          <t>MMCT</t>
        </is>
      </c>
      <c r="D625" s="31" t="n">
        <v>0.5151515151515151</v>
      </c>
      <c r="E625" s="31" t="n">
        <v>0.5918181818181818</v>
      </c>
      <c r="F625" s="31">
        <f>IFERROR(D625-E625,0)</f>
        <v/>
      </c>
    </row>
    <row r="626">
      <c r="B626" t="inlineStr">
        <is>
          <t>Houston-The Woodlands-Sugar Land, TX</t>
        </is>
      </c>
      <c r="C626" t="inlineStr">
        <is>
          <t>Branches</t>
        </is>
      </c>
      <c r="D626" s="8" t="n">
        <v>66</v>
      </c>
      <c r="E626" s="8" t="n">
        <v>1100</v>
      </c>
    </row>
    <row r="627">
      <c r="A627" t="inlineStr">
        <is>
          <t>Virginia</t>
        </is>
      </c>
      <c r="C627" t="inlineStr">
        <is>
          <t>LMICT</t>
        </is>
      </c>
      <c r="D627" s="31" t="n">
        <v>0.5</v>
      </c>
      <c r="E627" s="31" t="n">
        <v>0.21875</v>
      </c>
      <c r="F627" s="31">
        <f>IFERROR(D627-E627,0)</f>
        <v/>
      </c>
    </row>
    <row r="628">
      <c r="C628" t="inlineStr">
        <is>
          <t>MMCT</t>
        </is>
      </c>
      <c r="D628" s="31" t="n">
        <v>0</v>
      </c>
      <c r="E628" s="31" t="n">
        <v>0</v>
      </c>
      <c r="F628" s="31">
        <f>IFERROR(D628-E628,0)</f>
        <v/>
      </c>
    </row>
    <row r="629">
      <c r="B629" t="inlineStr">
        <is>
          <t>Morgantown, WV</t>
        </is>
      </c>
      <c r="C629" t="inlineStr">
        <is>
          <t>Branches</t>
        </is>
      </c>
      <c r="D629" s="8" t="n">
        <v>2</v>
      </c>
      <c r="E629" s="8" t="n">
        <v>32</v>
      </c>
    </row>
    <row r="630">
      <c r="C630" t="inlineStr">
        <is>
          <t>LMICT</t>
        </is>
      </c>
      <c r="D630" s="31" t="n">
        <v>0.2784810126582278</v>
      </c>
      <c r="E630" s="31" t="n">
        <v>0.2946210268948655</v>
      </c>
      <c r="F630" s="31">
        <f>IFERROR(D630-E630,0)</f>
        <v/>
      </c>
    </row>
    <row r="631">
      <c r="C631" t="inlineStr">
        <is>
          <t>MMCT</t>
        </is>
      </c>
      <c r="D631" s="31" t="n">
        <v>0.5569620253164557</v>
      </c>
      <c r="E631" s="31" t="n">
        <v>0.5672371638141809</v>
      </c>
      <c r="F631" s="31">
        <f>IFERROR(D631-E631,0)</f>
        <v/>
      </c>
    </row>
    <row r="632">
      <c r="B632" t="inlineStr">
        <is>
          <t>Washington-Arlington-Alexandria, DC-VA-MD-WV</t>
        </is>
      </c>
      <c r="C632" t="inlineStr">
        <is>
          <t>Branches</t>
        </is>
      </c>
      <c r="D632" s="8" t="n">
        <v>79</v>
      </c>
      <c r="E632" s="8" t="n">
        <v>818</v>
      </c>
    </row>
    <row r="633">
      <c r="A633" t="inlineStr">
        <is>
          <t>Wisconsin</t>
        </is>
      </c>
      <c r="C633" t="inlineStr">
        <is>
          <t>LMICT</t>
        </is>
      </c>
      <c r="D633" s="31" t="n">
        <v>0.25</v>
      </c>
      <c r="E633" s="31" t="n">
        <v>0.1779448621553885</v>
      </c>
      <c r="F633" s="31">
        <f>IFERROR(D633-E633,0)</f>
        <v/>
      </c>
    </row>
    <row r="634">
      <c r="C634" t="inlineStr">
        <is>
          <t>MMCT</t>
        </is>
      </c>
      <c r="D634" s="31" t="n">
        <v>0.25</v>
      </c>
      <c r="E634" s="31" t="n">
        <v>0.1177944862155388</v>
      </c>
      <c r="F634" s="31">
        <f>IFERROR(D634-E634,0)</f>
        <v/>
      </c>
    </row>
    <row r="635">
      <c r="B635" t="inlineStr">
        <is>
          <t>Milwaukee-Waukesha, WI</t>
        </is>
      </c>
      <c r="C635" t="inlineStr">
        <is>
          <t>Branches</t>
        </is>
      </c>
      <c r="D635" s="8" t="n">
        <v>24</v>
      </c>
      <c r="E635" s="8" t="n">
        <v>399</v>
      </c>
    </row>
    <row r="636">
      <c r="C636" t="inlineStr">
        <is>
          <t>LMICT</t>
        </is>
      </c>
      <c r="D636" s="31" t="n">
        <v>0</v>
      </c>
      <c r="E636" s="31" t="n">
        <v>0</v>
      </c>
      <c r="F636" s="31">
        <f>IFERROR(D636-E636,0)</f>
        <v/>
      </c>
    </row>
    <row r="637">
      <c r="C637" t="inlineStr">
        <is>
          <t>MMCT</t>
        </is>
      </c>
      <c r="D637" s="31" t="n">
        <v>0</v>
      </c>
      <c r="E637" s="31" t="n">
        <v>0</v>
      </c>
      <c r="F637" s="31">
        <f>IFERROR(D637-E637,0)</f>
        <v/>
      </c>
    </row>
    <row r="638">
      <c r="B638" t="inlineStr">
        <is>
          <t>Wisconsin Non-MSA</t>
        </is>
      </c>
      <c r="C638" t="inlineStr">
        <is>
          <t>Branches</t>
        </is>
      </c>
      <c r="D638" s="8" t="n">
        <v>1</v>
      </c>
      <c r="E638" s="8" t="n">
        <v>31</v>
      </c>
    </row>
  </sheetData>
  <autoFilter ref="B1:F70"/>
  <mergeCells count="193">
    <mergeCell ref="B53:B55"/>
    <mergeCell ref="B146:B148"/>
    <mergeCell ref="B422:B424"/>
    <mergeCell ref="A218:A259"/>
    <mergeCell ref="B68:B70"/>
    <mergeCell ref="B344:B346"/>
    <mergeCell ref="B257:B259"/>
    <mergeCell ref="B359:B361"/>
    <mergeCell ref="B251:B253"/>
    <mergeCell ref="B5:B7"/>
    <mergeCell ref="B92:B94"/>
    <mergeCell ref="B110:B112"/>
    <mergeCell ref="B281:B283"/>
    <mergeCell ref="B20:B22"/>
    <mergeCell ref="A266:A286"/>
    <mergeCell ref="B449:B451"/>
    <mergeCell ref="B47:B49"/>
    <mergeCell ref="B305:B307"/>
    <mergeCell ref="B458:B460"/>
    <mergeCell ref="B320:B322"/>
    <mergeCell ref="B62:B64"/>
    <mergeCell ref="B233:B235"/>
    <mergeCell ref="B215:B217"/>
    <mergeCell ref="B386:B388"/>
    <mergeCell ref="B242:B244"/>
    <mergeCell ref="A131:A163"/>
    <mergeCell ref="A494:A502"/>
    <mergeCell ref="B134:B136"/>
    <mergeCell ref="B401:B403"/>
    <mergeCell ref="B152:B154"/>
    <mergeCell ref="B8:B10"/>
    <mergeCell ref="B362:B364"/>
    <mergeCell ref="B167:B169"/>
    <mergeCell ref="A2:B4"/>
    <mergeCell ref="B23:B25"/>
    <mergeCell ref="B176:B178"/>
    <mergeCell ref="B347:B349"/>
    <mergeCell ref="B299:B301"/>
    <mergeCell ref="B470:B472"/>
    <mergeCell ref="B293:B295"/>
    <mergeCell ref="B308:B310"/>
    <mergeCell ref="B98:B100"/>
    <mergeCell ref="B191:B193"/>
    <mergeCell ref="B107:B109"/>
    <mergeCell ref="B467:B469"/>
    <mergeCell ref="A476:A484"/>
    <mergeCell ref="B461:B463"/>
    <mergeCell ref="B476:B478"/>
    <mergeCell ref="B128:B130"/>
    <mergeCell ref="B398:B400"/>
    <mergeCell ref="B413:B415"/>
    <mergeCell ref="B254:B256"/>
    <mergeCell ref="B407:B409"/>
    <mergeCell ref="A290:A343"/>
    <mergeCell ref="A32:A34"/>
    <mergeCell ref="B164:B166"/>
    <mergeCell ref="B269:B271"/>
    <mergeCell ref="B335:B337"/>
    <mergeCell ref="B173:B175"/>
    <mergeCell ref="B74:B76"/>
    <mergeCell ref="B83:B85"/>
    <mergeCell ref="B197:B199"/>
    <mergeCell ref="B443:B445"/>
    <mergeCell ref="B35:B37"/>
    <mergeCell ref="B188:B190"/>
    <mergeCell ref="B206:B208"/>
    <mergeCell ref="B368:B370"/>
    <mergeCell ref="B311:B313"/>
    <mergeCell ref="B482:B484"/>
    <mergeCell ref="B473:B475"/>
    <mergeCell ref="B203:B205"/>
    <mergeCell ref="B374:B376"/>
    <mergeCell ref="B383:B385"/>
    <mergeCell ref="B125:B127"/>
    <mergeCell ref="B296:B298"/>
    <mergeCell ref="B248:B250"/>
    <mergeCell ref="B131:B133"/>
    <mergeCell ref="B140:B142"/>
    <mergeCell ref="B149:B151"/>
    <mergeCell ref="B416:B418"/>
    <mergeCell ref="B425:B427"/>
    <mergeCell ref="B11:B13"/>
    <mergeCell ref="B326:B328"/>
    <mergeCell ref="B488:B490"/>
    <mergeCell ref="A344:A385"/>
    <mergeCell ref="B182:B184"/>
    <mergeCell ref="B353:B355"/>
    <mergeCell ref="A470:A475"/>
    <mergeCell ref="B272:B274"/>
    <mergeCell ref="B464:B466"/>
    <mergeCell ref="B14:B16"/>
    <mergeCell ref="B29:B31"/>
    <mergeCell ref="B38:B40"/>
    <mergeCell ref="B392:B394"/>
    <mergeCell ref="A167:A190"/>
    <mergeCell ref="B230:B232"/>
    <mergeCell ref="B452:B454"/>
    <mergeCell ref="B314:B316"/>
    <mergeCell ref="B65:B67"/>
    <mergeCell ref="B158:B160"/>
    <mergeCell ref="B329:B331"/>
    <mergeCell ref="B245:B247"/>
    <mergeCell ref="B338:B340"/>
    <mergeCell ref="A47:A49"/>
    <mergeCell ref="B239:B241"/>
    <mergeCell ref="B80:B82"/>
    <mergeCell ref="A5:A31"/>
    <mergeCell ref="B89:B91"/>
    <mergeCell ref="B260:B262"/>
    <mergeCell ref="B365:B367"/>
    <mergeCell ref="A215:A217"/>
    <mergeCell ref="B275:B277"/>
    <mergeCell ref="B428:B430"/>
    <mergeCell ref="B26:B28"/>
    <mergeCell ref="B113:B115"/>
    <mergeCell ref="B284:B286"/>
    <mergeCell ref="B302:B304"/>
    <mergeCell ref="B185:B187"/>
    <mergeCell ref="B41:B43"/>
    <mergeCell ref="B212:B214"/>
    <mergeCell ref="B194:B196"/>
    <mergeCell ref="B50:B52"/>
    <mergeCell ref="B221:B223"/>
    <mergeCell ref="B59:B61"/>
    <mergeCell ref="B479:B481"/>
    <mergeCell ref="B389:B391"/>
    <mergeCell ref="B341:B343"/>
    <mergeCell ref="A95:A100"/>
    <mergeCell ref="B494:B496"/>
    <mergeCell ref="B350:B352"/>
    <mergeCell ref="B263:B265"/>
    <mergeCell ref="A467:A469"/>
    <mergeCell ref="B155:B157"/>
    <mergeCell ref="B278:B280"/>
    <mergeCell ref="B101:B103"/>
    <mergeCell ref="B116:B118"/>
    <mergeCell ref="B287:B289"/>
    <mergeCell ref="B17:B19"/>
    <mergeCell ref="B77:B79"/>
    <mergeCell ref="B86:B88"/>
    <mergeCell ref="B179:B181"/>
    <mergeCell ref="B446:B448"/>
    <mergeCell ref="B440:B442"/>
    <mergeCell ref="B455:B457"/>
    <mergeCell ref="B44:B46"/>
    <mergeCell ref="A164:A166"/>
    <mergeCell ref="B491:B493"/>
    <mergeCell ref="B317:B319"/>
    <mergeCell ref="A191:A214"/>
    <mergeCell ref="B377:B379"/>
    <mergeCell ref="B119:B121"/>
    <mergeCell ref="B290:B292"/>
    <mergeCell ref="B497:B499"/>
    <mergeCell ref="B143:B145"/>
    <mergeCell ref="B410:B412"/>
    <mergeCell ref="B419:B421"/>
    <mergeCell ref="A260:A265"/>
    <mergeCell ref="B434:B436"/>
    <mergeCell ref="B356:B358"/>
    <mergeCell ref="A35:A37"/>
    <mergeCell ref="B95:B97"/>
    <mergeCell ref="B266:B268"/>
    <mergeCell ref="A443:A466"/>
    <mergeCell ref="B104:B106"/>
    <mergeCell ref="B218:B220"/>
    <mergeCell ref="B122:B124"/>
    <mergeCell ref="B56:B58"/>
    <mergeCell ref="B227:B229"/>
    <mergeCell ref="B380:B382"/>
    <mergeCell ref="B236:B238"/>
    <mergeCell ref="B32:B34"/>
    <mergeCell ref="B224:B226"/>
    <mergeCell ref="B395:B397"/>
    <mergeCell ref="B404:B406"/>
    <mergeCell ref="B200:B202"/>
    <mergeCell ref="A386:A442"/>
    <mergeCell ref="A38:A46"/>
    <mergeCell ref="B209:B211"/>
    <mergeCell ref="B323:B325"/>
    <mergeCell ref="B161:B163"/>
    <mergeCell ref="B332:B334"/>
    <mergeCell ref="B170:B172"/>
    <mergeCell ref="B437:B439"/>
    <mergeCell ref="A50:A94"/>
    <mergeCell ref="B71:B73"/>
    <mergeCell ref="A287:A289"/>
    <mergeCell ref="B500:B502"/>
    <mergeCell ref="A101:A130"/>
    <mergeCell ref="B371:B373"/>
    <mergeCell ref="B431:B433"/>
    <mergeCell ref="A485:A493"/>
    <mergeCell ref="B485:B487"/>
    <mergeCell ref="B137:B13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4.45"/>
  <sheetData>
    <row r="1">
      <c r="C1" s="45" t="inlineStr">
        <is>
          <t>Sandy Spring Bank</t>
        </is>
      </c>
      <c r="H1" s="45" t="inlineStr">
        <is>
          <t>Other Banks</t>
        </is>
      </c>
    </row>
    <row r="2">
      <c r="A2" s="3" t="inlineStr">
        <is>
          <t>Sandy Spring Assessment Area</t>
        </is>
      </c>
      <c r="C2" s="45" t="inlineStr">
        <is>
          <t>2018</t>
        </is>
      </c>
      <c r="D2" s="45" t="inlineStr">
        <is>
          <t>2019</t>
        </is>
      </c>
      <c r="E2" s="45" t="inlineStr">
        <is>
          <t>2020</t>
        </is>
      </c>
      <c r="F2" s="45" t="inlineStr">
        <is>
          <t>2021</t>
        </is>
      </c>
      <c r="G2" s="45" t="inlineStr">
        <is>
          <t>2022</t>
        </is>
      </c>
      <c r="H2" s="45" t="inlineStr">
        <is>
          <t>2018</t>
        </is>
      </c>
      <c r="I2" s="45" t="inlineStr">
        <is>
          <t>2019</t>
        </is>
      </c>
      <c r="J2" s="45" t="inlineStr">
        <is>
          <t>2020</t>
        </is>
      </c>
      <c r="K2" s="45" t="inlineStr">
        <is>
          <t>2021</t>
        </is>
      </c>
      <c r="L2" s="45" t="inlineStr">
        <is>
          <t>2022</t>
        </is>
      </c>
    </row>
    <row r="3">
      <c r="A3" s="44" t="inlineStr">
        <is>
          <t>Grand Total</t>
        </is>
      </c>
      <c r="B3" s="44" t="inlineStr">
        <is>
          <t>Small Business Loans</t>
        </is>
      </c>
      <c r="C3" s="1" t="n">
        <v>1205</v>
      </c>
      <c r="D3" s="1" t="n">
        <v>1201</v>
      </c>
      <c r="E3" s="1" t="n">
        <v>5870</v>
      </c>
      <c r="F3" s="1" t="n">
        <v>3862</v>
      </c>
      <c r="G3" s="1" t="n">
        <v>1380</v>
      </c>
      <c r="H3" s="1" t="n">
        <v>167050</v>
      </c>
      <c r="I3" s="1" t="n">
        <v>176401</v>
      </c>
      <c r="J3" s="1" t="n">
        <v>185999</v>
      </c>
      <c r="K3" s="1" t="n">
        <v>216137</v>
      </c>
      <c r="L3" s="1" t="n">
        <v>205665</v>
      </c>
    </row>
    <row r="4">
      <c r="B4" s="44" t="inlineStr">
        <is>
          <t>Loans to Rev Under $1m (RUM)</t>
        </is>
      </c>
      <c r="C4" s="2" t="n">
        <v>0.3286307053941909</v>
      </c>
      <c r="D4" s="2" t="n">
        <v>0.321398834304746</v>
      </c>
      <c r="E4" s="2" t="n">
        <v>0.6431005110732538</v>
      </c>
      <c r="F4" s="2" t="n">
        <v>0.5523045054375971</v>
      </c>
      <c r="G4" s="2" t="n">
        <v>0.3043478260869565</v>
      </c>
      <c r="H4" s="2" t="n">
        <v>0.4981801855731817</v>
      </c>
      <c r="I4" s="2" t="n">
        <v>0.5152748567184994</v>
      </c>
      <c r="J4" s="2" t="n">
        <v>0.4554540615809762</v>
      </c>
      <c r="K4" s="2" t="n">
        <v>0.4941819309049353</v>
      </c>
      <c r="L4" s="2" t="n">
        <v>0.5354727347871538</v>
      </c>
    </row>
    <row r="5">
      <c r="B5" s="44" t="inlineStr">
        <is>
          <t>Loans to LMICT</t>
        </is>
      </c>
      <c r="C5" s="2" t="n">
        <v>0.220746887966805</v>
      </c>
      <c r="D5" s="2" t="n">
        <v>0.1199000832639467</v>
      </c>
      <c r="E5" s="2" t="n">
        <v>0.1957410562180579</v>
      </c>
      <c r="F5" s="2" t="n">
        <v>0.2011910926980839</v>
      </c>
      <c r="G5" s="2" t="n">
        <v>0.213768115942029</v>
      </c>
      <c r="H5" s="2" t="n">
        <v>0.2010715354684226</v>
      </c>
      <c r="I5" s="2" t="n">
        <v>0.115084381607814</v>
      </c>
      <c r="J5" s="2" t="n">
        <v>0.2020656025032393</v>
      </c>
      <c r="K5" s="2" t="n">
        <v>0.2125457464478548</v>
      </c>
      <c r="L5" s="2" t="n">
        <v>0.21710062480247</v>
      </c>
    </row>
    <row r="6">
      <c r="B6" s="44" t="inlineStr">
        <is>
          <t>Small Business Loan Amount (000s)</t>
        </is>
      </c>
      <c r="C6" s="1" t="n">
        <v>305213</v>
      </c>
      <c r="D6" s="1" t="n">
        <v>283559</v>
      </c>
      <c r="E6" s="1" t="n">
        <v>909561</v>
      </c>
      <c r="F6" s="1" t="n">
        <v>669974</v>
      </c>
      <c r="G6" s="1" t="n">
        <v>373178</v>
      </c>
      <c r="H6" s="1" t="n">
        <v>5055000</v>
      </c>
      <c r="I6" s="1" t="n">
        <v>5198045</v>
      </c>
      <c r="J6" s="1" t="n">
        <v>10074779</v>
      </c>
      <c r="K6" s="1" t="n">
        <v>7570763</v>
      </c>
      <c r="L6" s="1" t="n">
        <v>5280303</v>
      </c>
    </row>
    <row r="7">
      <c r="B7" s="44" t="inlineStr">
        <is>
          <t>Amount to Rev Under $1m (RUM)</t>
        </is>
      </c>
      <c r="C7" s="2" t="n">
        <v>0.2985128418514283</v>
      </c>
      <c r="D7" s="2" t="n">
        <v>0.2858805398523764</v>
      </c>
      <c r="E7" s="2" t="n">
        <v>0.4304648066484821</v>
      </c>
      <c r="F7" s="2" t="n">
        <v>0.4196147910217412</v>
      </c>
      <c r="G7" s="2" t="n">
        <v>0.3098467755333916</v>
      </c>
      <c r="H7" s="2" t="n">
        <v>0.3279800197823937</v>
      </c>
      <c r="I7" s="2" t="n">
        <v>0.3356400338973595</v>
      </c>
      <c r="J7" s="2" t="n">
        <v>0.26347049399297</v>
      </c>
      <c r="K7" s="2" t="n">
        <v>0.2841098050487117</v>
      </c>
      <c r="L7" s="2" t="n">
        <v>0.3533585099188437</v>
      </c>
    </row>
    <row r="8">
      <c r="B8" s="44" t="inlineStr">
        <is>
          <t>Amount to LMICT</t>
        </is>
      </c>
      <c r="C8" s="2" t="n">
        <v>0.2263796103049346</v>
      </c>
      <c r="D8" s="2" t="n">
        <v>0.1152564369319965</v>
      </c>
      <c r="E8" s="2" t="n">
        <v>0.2102343877980696</v>
      </c>
      <c r="F8" s="2" t="n">
        <v>0.2286775307698508</v>
      </c>
      <c r="G8" s="2" t="n">
        <v>0.2088547556394</v>
      </c>
      <c r="H8" s="2" t="n">
        <v>0.190351137487636</v>
      </c>
      <c r="I8" s="2" t="n">
        <v>0.111841855928527</v>
      </c>
      <c r="J8" s="2" t="n">
        <v>0.1968170219912516</v>
      </c>
      <c r="K8" s="2" t="n">
        <v>0.1996839684454526</v>
      </c>
      <c r="L8" s="2" t="n">
        <v>0.2008452924008338</v>
      </c>
    </row>
    <row r="9">
      <c r="A9" s="44" t="inlineStr">
        <is>
          <t>Washington-Baltimore-Arlington, DC-MD-VA Assessment Area</t>
        </is>
      </c>
      <c r="B9" s="44" t="inlineStr">
        <is>
          <t>Small Business Loans</t>
        </is>
      </c>
      <c r="C9" s="1" t="n">
        <v>1205</v>
      </c>
      <c r="D9" s="1" t="n">
        <v>1201</v>
      </c>
      <c r="E9" s="1" t="n">
        <v>5870</v>
      </c>
      <c r="F9" s="1" t="n">
        <v>3862</v>
      </c>
      <c r="G9" s="1" t="n">
        <v>1380</v>
      </c>
      <c r="H9" s="1" t="n">
        <v>167050</v>
      </c>
      <c r="I9" s="1" t="n">
        <v>176401</v>
      </c>
      <c r="J9" s="1" t="n">
        <v>185999</v>
      </c>
      <c r="K9" s="1" t="n">
        <v>216137</v>
      </c>
      <c r="L9" s="1" t="n">
        <v>205665</v>
      </c>
    </row>
    <row r="10">
      <c r="B10" s="44" t="inlineStr">
        <is>
          <t>Loans to Rev Under $1m (RUM)</t>
        </is>
      </c>
      <c r="C10" s="2" t="n">
        <v>0.3286307053941909</v>
      </c>
      <c r="D10" s="2" t="n">
        <v>0.321398834304746</v>
      </c>
      <c r="E10" s="2" t="n">
        <v>0.6431005110732538</v>
      </c>
      <c r="F10" s="2" t="n">
        <v>0.5523045054375971</v>
      </c>
      <c r="G10" s="2" t="n">
        <v>0.3043478260869565</v>
      </c>
      <c r="H10" s="2" t="n">
        <v>0.4981801855731817</v>
      </c>
      <c r="I10" s="2" t="n">
        <v>0.5152748567184994</v>
      </c>
      <c r="J10" s="2" t="n">
        <v>0.4554540615809762</v>
      </c>
      <c r="K10" s="2" t="n">
        <v>0.4941819309049353</v>
      </c>
      <c r="L10" s="2" t="n">
        <v>0.5354727347871538</v>
      </c>
    </row>
    <row r="11">
      <c r="B11" s="44" t="inlineStr">
        <is>
          <t>Loans to LMICT</t>
        </is>
      </c>
      <c r="C11" s="2" t="n">
        <v>0.220746887966805</v>
      </c>
      <c r="D11" s="2" t="n">
        <v>0.1199000832639467</v>
      </c>
      <c r="E11" s="2" t="n">
        <v>0.1957410562180579</v>
      </c>
      <c r="F11" s="2" t="n">
        <v>0.2011910926980839</v>
      </c>
      <c r="G11" s="2" t="n">
        <v>0.213768115942029</v>
      </c>
      <c r="H11" s="2" t="n">
        <v>0.2010715354684226</v>
      </c>
      <c r="I11" s="2" t="n">
        <v>0.115084381607814</v>
      </c>
      <c r="J11" s="2" t="n">
        <v>0.2020656025032393</v>
      </c>
      <c r="K11" s="2" t="n">
        <v>0.2125457464478548</v>
      </c>
      <c r="L11" s="2" t="n">
        <v>0.21710062480247</v>
      </c>
    </row>
    <row r="12">
      <c r="B12" s="44" t="inlineStr">
        <is>
          <t>Small Business Loan Amount (000s)</t>
        </is>
      </c>
      <c r="C12" s="1" t="n">
        <v>305213</v>
      </c>
      <c r="D12" s="1" t="n">
        <v>283559</v>
      </c>
      <c r="E12" s="1" t="n">
        <v>909561</v>
      </c>
      <c r="F12" s="1" t="n">
        <v>669974</v>
      </c>
      <c r="G12" s="1" t="n">
        <v>373178</v>
      </c>
      <c r="H12" s="1" t="n">
        <v>5055000</v>
      </c>
      <c r="I12" s="1" t="n">
        <v>5198045</v>
      </c>
      <c r="J12" s="1" t="n">
        <v>10074779</v>
      </c>
      <c r="K12" s="1" t="n">
        <v>7570763</v>
      </c>
      <c r="L12" s="1" t="n">
        <v>5280303</v>
      </c>
    </row>
    <row r="13">
      <c r="B13" s="44" t="inlineStr">
        <is>
          <t>Amount to Rev Under $1m (RUM)</t>
        </is>
      </c>
      <c r="C13" s="2" t="n">
        <v>0.2985128418514283</v>
      </c>
      <c r="D13" s="2" t="n">
        <v>0.2858805398523764</v>
      </c>
      <c r="E13" s="2" t="n">
        <v>0.4304648066484821</v>
      </c>
      <c r="F13" s="2" t="n">
        <v>0.4196147910217412</v>
      </c>
      <c r="G13" s="2" t="n">
        <v>0.3098467755333916</v>
      </c>
      <c r="H13" s="2" t="n">
        <v>0.3279800197823937</v>
      </c>
      <c r="I13" s="2" t="n">
        <v>0.3356400338973595</v>
      </c>
      <c r="J13" s="2" t="n">
        <v>0.26347049399297</v>
      </c>
      <c r="K13" s="2" t="n">
        <v>0.2841098050487117</v>
      </c>
      <c r="L13" s="2" t="n">
        <v>0.3533585099188437</v>
      </c>
    </row>
    <row r="14">
      <c r="B14" s="44" t="inlineStr">
        <is>
          <t>Amount to LMICT</t>
        </is>
      </c>
      <c r="C14" s="2" t="n">
        <v>0.2263796103049346</v>
      </c>
      <c r="D14" s="2" t="n">
        <v>0.1152564369319965</v>
      </c>
      <c r="E14" s="2" t="n">
        <v>0.2102343877980696</v>
      </c>
      <c r="F14" s="2" t="n">
        <v>0.2286775307698508</v>
      </c>
      <c r="G14" s="2" t="n">
        <v>0.2088547556394</v>
      </c>
      <c r="H14" s="2" t="n">
        <v>0.190351137487636</v>
      </c>
      <c r="I14" s="2" t="n">
        <v>0.111841855928527</v>
      </c>
      <c r="J14" s="2" t="n">
        <v>0.1968170219912516</v>
      </c>
      <c r="K14" s="2" t="n">
        <v>0.1996839684454526</v>
      </c>
      <c r="L14" s="2" t="n">
        <v>0.2008452924008338</v>
      </c>
    </row>
  </sheetData>
  <mergeCells count="4">
    <mergeCell ref="A3:A8"/>
    <mergeCell ref="H1:L1"/>
    <mergeCell ref="C1:G1"/>
    <mergeCell ref="A9:A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2"/>
  <sheetViews>
    <sheetView topLeftCell="A25" workbookViewId="0">
      <selection activeCell="A2" sqref="A2"/>
    </sheetView>
  </sheetViews>
  <sheetFormatPr baseColWidth="8" defaultRowHeight="14.45"/>
  <cols>
    <col width="51" bestFit="1" customWidth="1" style="47" min="2" max="2"/>
    <col width="14.140625" bestFit="1" customWidth="1" style="47" min="3" max="3"/>
    <col width="19.7109375" bestFit="1" customWidth="1" style="47" min="4" max="4"/>
    <col width="18" bestFit="1" customWidth="1" style="47" min="5" max="5"/>
    <col width="11.140625" customWidth="1" style="47" min="6" max="6"/>
  </cols>
  <sheetData>
    <row r="1" ht="15" customFormat="1" customHeight="1" s="7">
      <c r="A1" s="46" t="inlineStr">
        <is>
          <t>State</t>
        </is>
      </c>
      <c r="B1" s="36" t="inlineStr">
        <is>
          <t>@FirstBank AA</t>
        </is>
      </c>
      <c r="C1" s="37" t="n"/>
      <c r="D1" s="46" t="inlineStr">
        <is>
          <t>FirstBank</t>
        </is>
      </c>
      <c r="E1" s="46" t="inlineStr">
        <is>
          <t>Other</t>
        </is>
      </c>
      <c r="F1" s="7" t="inlineStr">
        <is>
          <t>Difference</t>
        </is>
      </c>
    </row>
    <row r="2" ht="15" customHeight="1" s="47">
      <c r="A2" s="46" t="inlineStr">
        <is>
          <t>Arizona</t>
        </is>
      </c>
      <c r="C2" s="46" t="inlineStr">
        <is>
          <t>Branches</t>
        </is>
      </c>
      <c r="D2" s="46" t="n">
        <v>97</v>
      </c>
      <c r="E2" s="25" t="n">
        <v>1635</v>
      </c>
    </row>
    <row r="3" ht="15" customHeight="1" s="47">
      <c r="C3" s="46" t="inlineStr">
        <is>
          <t>LMICT</t>
        </is>
      </c>
      <c r="D3" s="29" t="n">
        <v>0.2307692307692308</v>
      </c>
      <c r="E3" s="29" t="n">
        <v>0.2211981566820277</v>
      </c>
      <c r="F3" s="6">
        <f>IFERROR((D3/D2)-(E3/E2),0)</f>
        <v/>
      </c>
    </row>
    <row r="4" ht="15" customHeight="1" s="47">
      <c r="C4" s="46" t="inlineStr">
        <is>
          <t>MMCT</t>
        </is>
      </c>
      <c r="D4" s="29" t="n">
        <v>0.1538461538461539</v>
      </c>
      <c r="E4" s="29" t="n">
        <v>0.2242703533026113</v>
      </c>
      <c r="F4" s="6">
        <f>IFERROR((D4/D2)-(E4/E2),0)</f>
        <v/>
      </c>
    </row>
    <row r="5" ht="15" customHeight="1" s="47">
      <c r="A5" s="46" t="inlineStr">
        <is>
          <t>California</t>
        </is>
      </c>
      <c r="B5" s="46" t="inlineStr">
        <is>
          <t>Phoenix-Mesa-Chandler, AZ</t>
        </is>
      </c>
      <c r="C5" s="46" t="inlineStr">
        <is>
          <t>Branches</t>
        </is>
      </c>
      <c r="D5" s="58" t="n">
        <v>13</v>
      </c>
      <c r="E5" s="58" t="n">
        <v>651</v>
      </c>
    </row>
    <row r="6" ht="15" customHeight="1" s="47">
      <c r="C6" s="46" t="inlineStr">
        <is>
          <t>LMICT</t>
        </is>
      </c>
      <c r="D6" s="29" t="n">
        <v>0</v>
      </c>
      <c r="E6" s="29" t="n">
        <v>0.3149779735682819</v>
      </c>
      <c r="F6" s="6">
        <f>IFERROR((D6/D5)-(E6/E5),0)</f>
        <v/>
      </c>
    </row>
    <row r="7" ht="15" customHeight="1" s="47">
      <c r="C7" s="46" t="inlineStr">
        <is>
          <t>MMCT</t>
        </is>
      </c>
      <c r="D7" s="29" t="n">
        <v>0</v>
      </c>
      <c r="E7" s="29" t="n">
        <v>0.788546255506608</v>
      </c>
      <c r="F7" s="6">
        <f>IFERROR((D7/D5)-(E7/E5),0)</f>
        <v/>
      </c>
    </row>
    <row r="8" ht="15" customHeight="1" s="47">
      <c r="A8" s="46" t="inlineStr">
        <is>
          <t>Colorado</t>
        </is>
      </c>
      <c r="B8" s="46" t="inlineStr">
        <is>
          <t>Riverside-San Bernardino-Ontario, CA</t>
        </is>
      </c>
      <c r="C8" s="46" t="inlineStr">
        <is>
          <t>Branches</t>
        </is>
      </c>
      <c r="D8" s="58" t="n">
        <v>0</v>
      </c>
      <c r="E8" s="58" t="n">
        <v>454</v>
      </c>
      <c r="F8" s="40" t="n"/>
    </row>
    <row r="9" ht="15" customHeight="1" s="47">
      <c r="C9" s="46" t="inlineStr">
        <is>
          <t>LMICT</t>
        </is>
      </c>
      <c r="D9" s="29" t="n">
        <v>0.4</v>
      </c>
      <c r="E9" s="29" t="n">
        <v>0.3176470588235294</v>
      </c>
      <c r="F9" s="41">
        <f>IFERROR((D9/D8)-(E9/E8),0)</f>
        <v/>
      </c>
    </row>
    <row r="10" ht="15" customHeight="1" s="47">
      <c r="C10" s="46" t="inlineStr">
        <is>
          <t>MMCT</t>
        </is>
      </c>
      <c r="D10" s="29" t="n">
        <v>0</v>
      </c>
      <c r="E10" s="29" t="n">
        <v>0.01176470588235294</v>
      </c>
      <c r="F10" s="41">
        <f>IFERROR((D10/D8)-(E10/E8),0)</f>
        <v/>
      </c>
    </row>
    <row r="11" ht="15" customHeight="1" s="47">
      <c r="B11" s="46" t="inlineStr">
        <is>
          <t>Colorado Non-MSA</t>
        </is>
      </c>
      <c r="C11" s="46" t="inlineStr">
        <is>
          <t>Branches</t>
        </is>
      </c>
      <c r="D11" s="58" t="n">
        <v>5</v>
      </c>
      <c r="E11" s="58" t="n">
        <v>85</v>
      </c>
    </row>
    <row r="12" ht="15" customHeight="1" s="47">
      <c r="C12" s="46" t="inlineStr">
        <is>
          <t>LMICT</t>
        </is>
      </c>
      <c r="D12" s="29" t="n">
        <v>0</v>
      </c>
      <c r="E12" s="29" t="n">
        <v>0</v>
      </c>
      <c r="F12" s="6">
        <f>IFERROR((D12/D11)-(E12/E11),0)</f>
        <v/>
      </c>
    </row>
    <row r="13" ht="15" customHeight="1" s="47">
      <c r="C13" s="46" t="inlineStr">
        <is>
          <t>MMCT</t>
        </is>
      </c>
      <c r="D13" s="29" t="n">
        <v>0</v>
      </c>
      <c r="E13" s="29" t="n">
        <v>0</v>
      </c>
      <c r="F13" s="6">
        <f>IFERROR((D13/D11)-(E13/E11),0)</f>
        <v/>
      </c>
    </row>
    <row r="14" ht="15" customHeight="1" s="47">
      <c r="B14" s="46" t="inlineStr">
        <is>
          <t>Colorado Non-MSA</t>
        </is>
      </c>
      <c r="C14" s="46" t="inlineStr">
        <is>
          <t>Branches</t>
        </is>
      </c>
      <c r="D14" s="58" t="n">
        <v>2</v>
      </c>
      <c r="E14" s="58" t="n">
        <v>9</v>
      </c>
    </row>
    <row r="15" ht="15" customHeight="1" s="47">
      <c r="C15" s="46" t="inlineStr">
        <is>
          <t>LMICT</t>
        </is>
      </c>
      <c r="D15" s="29" t="n">
        <v>0.3333333333333333</v>
      </c>
      <c r="E15" s="29" t="n">
        <v>0.3790322580645162</v>
      </c>
      <c r="F15" s="6">
        <f>IFERROR((D15/D14)-(E15/E14),0)</f>
        <v/>
      </c>
    </row>
    <row r="16" ht="15" customHeight="1" s="47">
      <c r="C16" s="46" t="inlineStr">
        <is>
          <t>MMCT</t>
        </is>
      </c>
      <c r="D16" s="29" t="n">
        <v>0</v>
      </c>
      <c r="E16" s="29" t="n">
        <v>0.06451612903225806</v>
      </c>
      <c r="F16" s="6">
        <f>IFERROR((D16/D14)-(E16/E14),0)</f>
        <v/>
      </c>
    </row>
    <row r="17" ht="15" customHeight="1" s="47">
      <c r="B17" s="46" t="inlineStr">
        <is>
          <t>Colorado Springs, CO</t>
        </is>
      </c>
      <c r="C17" s="46" t="inlineStr">
        <is>
          <t>Branches</t>
        </is>
      </c>
      <c r="D17" s="58" t="n">
        <v>6</v>
      </c>
      <c r="E17" s="58" t="n">
        <v>124</v>
      </c>
    </row>
    <row r="18" ht="15" customHeight="1" s="47">
      <c r="C18" s="46" t="inlineStr">
        <is>
          <t>LMICT</t>
        </is>
      </c>
      <c r="D18" s="29" t="n">
        <v>0.1153846153846154</v>
      </c>
      <c r="E18" s="29" t="n">
        <v>0.2518796992481203</v>
      </c>
      <c r="F18" s="6">
        <f>IFERROR((D18/D17)-(E18/E17),0)</f>
        <v/>
      </c>
    </row>
    <row r="19" ht="15" customHeight="1" s="47">
      <c r="C19" s="46" t="inlineStr">
        <is>
          <t>MMCT</t>
        </is>
      </c>
      <c r="D19" s="29" t="n">
        <v>0.1346153846153846</v>
      </c>
      <c r="E19" s="29" t="n">
        <v>0.1823308270676692</v>
      </c>
      <c r="F19" s="6">
        <f>IFERROR((D19/D17)-(E19/E17),0)</f>
        <v/>
      </c>
    </row>
    <row r="20" ht="15" customHeight="1" s="47">
      <c r="A20" s="46" t="n"/>
      <c r="B20" s="46" t="inlineStr">
        <is>
          <t>Denver-Boulder-Greeley CSA</t>
        </is>
      </c>
      <c r="C20" s="46" t="inlineStr">
        <is>
          <t>Branches</t>
        </is>
      </c>
      <c r="D20" s="58" t="n">
        <v>52</v>
      </c>
      <c r="E20" s="58" t="n">
        <v>532</v>
      </c>
    </row>
    <row r="21" ht="15" customHeight="1" s="47">
      <c r="A21" s="46" t="n"/>
      <c r="B21" s="46" t="n"/>
      <c r="C21" s="46" t="inlineStr">
        <is>
          <t>LMICT</t>
        </is>
      </c>
      <c r="D21" s="29" t="n">
        <v>0.2</v>
      </c>
      <c r="E21" s="29" t="n">
        <v>0.25</v>
      </c>
      <c r="F21" s="6">
        <f>IFERROR((D21/D20)-(E21/E20),0)</f>
        <v/>
      </c>
    </row>
    <row r="22" ht="15" customHeight="1" s="47">
      <c r="A22" s="46" t="n"/>
      <c r="B22" s="46" t="n"/>
      <c r="C22" s="46" t="inlineStr">
        <is>
          <t>MMCT</t>
        </is>
      </c>
      <c r="D22" s="29" t="n">
        <v>0.2</v>
      </c>
      <c r="E22" s="29" t="n">
        <v>0.3333333333333333</v>
      </c>
      <c r="F22" s="6">
        <f>IFERROR((D22/D20)-(E22/E20),0)</f>
        <v/>
      </c>
    </row>
    <row r="23" ht="15" customHeight="1" s="47">
      <c r="B23" s="44" t="inlineStr">
        <is>
          <t>Colorado Mountain Non-MSA</t>
        </is>
      </c>
      <c r="C23" s="44" t="inlineStr">
        <is>
          <t>Branches</t>
        </is>
      </c>
      <c r="D23" s="61" t="n">
        <v>5</v>
      </c>
      <c r="E23" s="61" t="n">
        <v>24</v>
      </c>
    </row>
    <row r="24" ht="15" customHeight="1" s="47">
      <c r="C24" s="44" t="inlineStr">
        <is>
          <t>LMICT</t>
        </is>
      </c>
      <c r="D24" s="2" t="n">
        <v>0.25</v>
      </c>
      <c r="E24" s="2" t="n">
        <v>0.1428571428571428</v>
      </c>
      <c r="F24" s="6">
        <f>IFERROR((D24/D23)-(E24/E23),0)</f>
        <v/>
      </c>
    </row>
    <row r="25" ht="15" customHeight="1" s="47">
      <c r="C25" s="44" t="inlineStr">
        <is>
          <t>MMCT</t>
        </is>
      </c>
      <c r="D25" s="2" t="n">
        <v>0</v>
      </c>
      <c r="E25" s="2" t="n">
        <v>0</v>
      </c>
      <c r="F25" s="6">
        <f>IFERROR((D25/D23)-(E25/E23),0)</f>
        <v/>
      </c>
    </row>
    <row r="26" ht="15" customHeight="1" s="47">
      <c r="B26" s="44" t="inlineStr">
        <is>
          <t>Fort Collins, CO</t>
        </is>
      </c>
      <c r="C26" s="44" t="inlineStr">
        <is>
          <t>Branches</t>
        </is>
      </c>
      <c r="D26" s="61" t="n">
        <v>4</v>
      </c>
      <c r="E26" s="61" t="n">
        <v>84</v>
      </c>
    </row>
    <row r="27" ht="15" customHeight="1" s="47">
      <c r="C27" s="44" t="inlineStr">
        <is>
          <t>LMICT</t>
        </is>
      </c>
      <c r="D27" s="2" t="n">
        <v>0</v>
      </c>
      <c r="E27" s="2" t="n">
        <v>0</v>
      </c>
      <c r="F27" s="6">
        <f>IFERROR((D27/D26)-(E27/E26),0)</f>
        <v/>
      </c>
    </row>
    <row r="28" ht="15" customHeight="1" s="47">
      <c r="C28" s="44" t="inlineStr">
        <is>
          <t>MMCT</t>
        </is>
      </c>
      <c r="D28" s="2" t="n">
        <v>0</v>
      </c>
      <c r="E28" s="2" t="n">
        <v>0</v>
      </c>
      <c r="F28" s="6">
        <f>IFERROR((D28/D26)-(E28/E26),0)</f>
        <v/>
      </c>
    </row>
    <row r="29" ht="15" customHeight="1" s="47">
      <c r="B29" s="44" t="inlineStr">
        <is>
          <t>Colorado Non-MSA</t>
        </is>
      </c>
      <c r="C29" s="44" t="inlineStr">
        <is>
          <t>Branches</t>
        </is>
      </c>
      <c r="D29" s="61" t="n">
        <v>3</v>
      </c>
      <c r="E29" s="61" t="n">
        <v>29</v>
      </c>
    </row>
    <row r="30" ht="15" customHeight="1" s="47">
      <c r="C30" s="44" t="inlineStr">
        <is>
          <t>LMICT</t>
        </is>
      </c>
      <c r="D30" s="2" t="n">
        <v>0.2</v>
      </c>
      <c r="E30" s="2" t="n">
        <v>0.1875</v>
      </c>
      <c r="F30" s="6">
        <f>IFERROR((D30/D29)-(E30/E29),0)</f>
        <v/>
      </c>
    </row>
    <row r="31" ht="15" customHeight="1" s="47">
      <c r="C31" s="44" t="inlineStr">
        <is>
          <t>MMCT</t>
        </is>
      </c>
      <c r="D31" s="2" t="n">
        <v>0.2</v>
      </c>
      <c r="E31" s="2" t="n">
        <v>0.1875</v>
      </c>
      <c r="F31" s="6">
        <f>IFERROR((D31/D29)-(E31/E29),0)</f>
        <v/>
      </c>
    </row>
    <row r="32" ht="15" customHeight="1" s="47">
      <c r="B32" s="44" t="inlineStr">
        <is>
          <t>Colorado Non-MSA</t>
        </is>
      </c>
      <c r="C32" s="44" t="inlineStr">
        <is>
          <t>Branches</t>
        </is>
      </c>
      <c r="D32" s="61" t="n">
        <v>5</v>
      </c>
      <c r="E32" s="61" t="n">
        <v>64</v>
      </c>
    </row>
    <row r="33" ht="15" customHeight="1" s="47">
      <c r="C33" s="44" t="inlineStr">
        <is>
          <t>LMICT</t>
        </is>
      </c>
      <c r="D33" s="2" t="n">
        <v>0</v>
      </c>
      <c r="E33" s="2" t="n">
        <v>0</v>
      </c>
      <c r="F33" s="6">
        <f>IFERROR((D33/D32)-(E33/E32),0)</f>
        <v/>
      </c>
    </row>
    <row r="34" ht="15" customHeight="1" s="47">
      <c r="C34" s="44" t="inlineStr">
        <is>
          <t>MMCT</t>
        </is>
      </c>
      <c r="D34" s="2" t="n">
        <v>0</v>
      </c>
      <c r="E34" s="2" t="n">
        <v>0</v>
      </c>
      <c r="F34" s="6">
        <f>IFERROR((D34/D32)-(E34/E32),0)</f>
        <v/>
      </c>
    </row>
    <row r="35" ht="15" customHeight="1" s="47">
      <c r="B35" s="44" t="inlineStr">
        <is>
          <t>Colorado Non-MSA</t>
        </is>
      </c>
      <c r="C35" s="44" t="inlineStr">
        <is>
          <t>Branches</t>
        </is>
      </c>
      <c r="D35" s="61" t="n">
        <v>0</v>
      </c>
      <c r="E35" s="61" t="n">
        <v>9</v>
      </c>
    </row>
    <row r="36" ht="15" customHeight="1" s="47">
      <c r="C36" s="44" t="inlineStr">
        <is>
          <t>LMICT</t>
        </is>
      </c>
      <c r="D36" s="2" t="n">
        <v>0</v>
      </c>
      <c r="E36" s="2" t="n">
        <v>0.1538461538461539</v>
      </c>
      <c r="F36" s="6">
        <f>IFERROR((D36/D35)-(E36/E35),0)</f>
        <v/>
      </c>
    </row>
    <row r="37" ht="15" customHeight="1" s="47">
      <c r="C37" s="44" t="inlineStr">
        <is>
          <t>MMCT</t>
        </is>
      </c>
      <c r="D37" s="2" t="n">
        <v>0</v>
      </c>
      <c r="E37" s="2" t="n">
        <v>0</v>
      </c>
      <c r="F37" s="6">
        <f>IFERROR((D37/D35)-(E37/E35),0)</f>
        <v/>
      </c>
    </row>
    <row r="38" ht="15" customHeight="1" s="47">
      <c r="B38" s="44" t="inlineStr">
        <is>
          <t>Colorado Non-MSA</t>
        </is>
      </c>
      <c r="C38" s="44" t="inlineStr">
        <is>
          <t>Branches</t>
        </is>
      </c>
      <c r="D38" s="61" t="n">
        <v>0</v>
      </c>
      <c r="E38" s="61" t="n">
        <v>13</v>
      </c>
    </row>
    <row r="39" ht="15" customHeight="1" s="47">
      <c r="C39" s="44" t="n"/>
      <c r="D39" s="62" t="n"/>
      <c r="E39" s="62" t="n"/>
      <c r="F39" s="6">
        <f>IFERROR((D39/D38)-(E39/E38),0)</f>
        <v/>
      </c>
    </row>
    <row r="40" ht="15" customHeight="1" s="47">
      <c r="C40" s="44" t="n"/>
      <c r="D40" s="62" t="n"/>
      <c r="E40" s="62" t="n"/>
      <c r="F40" s="6">
        <f>IFERROR((D40/D38)-(E40/E38),0)</f>
        <v/>
      </c>
    </row>
    <row r="41" ht="15" customHeight="1" s="47">
      <c r="B41" s="44" t="n"/>
      <c r="C41" s="44" t="n"/>
      <c r="D41" s="62" t="n"/>
      <c r="E41" s="62" t="n"/>
    </row>
    <row r="42" ht="15" customHeight="1" s="47">
      <c r="C42" s="44" t="n"/>
      <c r="D42" s="62" t="n"/>
      <c r="E42" s="62" t="n"/>
      <c r="F42" s="6">
        <f>IFERROR((D42/D41)-(E42/E41),0)</f>
        <v/>
      </c>
    </row>
    <row r="43" ht="15" customHeight="1" s="47">
      <c r="C43" s="44" t="n"/>
      <c r="D43" s="62" t="n"/>
      <c r="E43" s="62" t="n"/>
      <c r="F43" s="6">
        <f>IFERROR((D43/D41)-(E43/E41),0)</f>
        <v/>
      </c>
    </row>
    <row r="44" ht="15" customHeight="1" s="47">
      <c r="B44" s="44" t="n"/>
      <c r="C44" s="44" t="n"/>
      <c r="D44" s="62" t="n"/>
      <c r="E44" s="62" t="n"/>
    </row>
    <row r="45" ht="15" customHeight="1" s="47">
      <c r="C45" s="44" t="n"/>
      <c r="D45" s="62" t="n"/>
      <c r="E45" s="62" t="n"/>
      <c r="F45" s="6">
        <f>IFERROR((D45/D44)-(E45/E44),0)</f>
        <v/>
      </c>
    </row>
    <row r="46" ht="15" customHeight="1" s="47">
      <c r="C46" s="44" t="n"/>
      <c r="D46" s="62" t="n"/>
      <c r="E46" s="62" t="n"/>
      <c r="F46" s="6">
        <f>IFERROR((D46/D44)-(E46/E44),0)</f>
        <v/>
      </c>
    </row>
    <row r="47" ht="15" customHeight="1" s="47">
      <c r="B47" s="44" t="n"/>
      <c r="C47" s="44" t="n"/>
      <c r="D47" s="62" t="n"/>
      <c r="E47" s="62" t="n"/>
    </row>
    <row r="48" ht="15" customHeight="1" s="47">
      <c r="C48" s="44" t="n"/>
      <c r="D48" s="62" t="n"/>
      <c r="E48" s="62" t="n"/>
      <c r="F48" s="6">
        <f>IFERROR((D48/D47)-(E48/E47),0)</f>
        <v/>
      </c>
    </row>
    <row r="49" ht="15" customHeight="1" s="47">
      <c r="C49" s="44" t="n"/>
      <c r="D49" s="62" t="n"/>
      <c r="E49" s="62" t="n"/>
      <c r="F49" s="6">
        <f>IFERROR((D49/D47)-(E49/E47),0)</f>
        <v/>
      </c>
    </row>
    <row r="50" ht="15" customHeight="1" s="47">
      <c r="B50" s="44" t="n"/>
      <c r="C50" s="44" t="n"/>
      <c r="D50" s="62" t="n"/>
      <c r="E50" s="62" t="n"/>
    </row>
    <row r="51" ht="15" customHeight="1" s="47">
      <c r="C51" s="44" t="n"/>
      <c r="D51" s="62" t="n"/>
      <c r="E51" s="62" t="n"/>
      <c r="F51" s="6">
        <f>IFERROR((D51/D50)-(E51/E50),0)</f>
        <v/>
      </c>
    </row>
    <row r="52" ht="15" customHeight="1" s="47">
      <c r="C52" s="44" t="n"/>
      <c r="D52" s="62" t="n"/>
      <c r="E52" s="62" t="n"/>
      <c r="F52" s="6">
        <f>IFERROR((D52/D50)-(E52/E50),0)</f>
        <v/>
      </c>
    </row>
    <row r="53" ht="15" customHeight="1" s="47">
      <c r="B53" s="44" t="n"/>
      <c r="C53" s="44" t="n"/>
      <c r="D53" s="62" t="n"/>
      <c r="E53" s="62" t="n"/>
    </row>
    <row r="54" ht="15" customHeight="1" s="47">
      <c r="C54" s="44" t="n"/>
      <c r="D54" s="62" t="n"/>
      <c r="E54" s="62" t="n"/>
      <c r="F54" s="6">
        <f>IFERROR((D54/D53)-(E54/E53),0)</f>
        <v/>
      </c>
    </row>
    <row r="55" ht="15" customHeight="1" s="47">
      <c r="C55" s="44" t="n"/>
      <c r="D55" s="62" t="n"/>
      <c r="E55" s="62" t="n"/>
      <c r="F55" s="6">
        <f>IFERROR((D55/D53)-(E55/E53),0)</f>
        <v/>
      </c>
    </row>
    <row r="56" ht="15" customHeight="1" s="47">
      <c r="B56" s="44" t="n"/>
      <c r="C56" s="44" t="n"/>
      <c r="D56" s="62" t="n"/>
      <c r="E56" s="62" t="n"/>
    </row>
    <row r="57" ht="15" customHeight="1" s="47">
      <c r="C57" s="44" t="n"/>
      <c r="D57" s="62" t="n"/>
      <c r="E57" s="62" t="n"/>
      <c r="F57" s="6">
        <f>IFERROR((D57/D56)-(E57/E56),0)</f>
        <v/>
      </c>
    </row>
    <row r="58" ht="15" customHeight="1" s="47">
      <c r="C58" s="44" t="n"/>
      <c r="D58" s="62" t="n"/>
      <c r="E58" s="62" t="n"/>
      <c r="F58" s="6">
        <f>IFERROR((D58/D56)-(E58/E56),0)</f>
        <v/>
      </c>
    </row>
    <row r="59" ht="15" customHeight="1" s="47">
      <c r="B59" s="44" t="n"/>
      <c r="C59" s="44" t="n"/>
      <c r="D59" s="62" t="n"/>
      <c r="E59" s="62" t="n"/>
    </row>
    <row r="60" ht="15" customHeight="1" s="47">
      <c r="C60" s="44" t="n"/>
      <c r="D60" s="62" t="n"/>
      <c r="E60" s="62" t="n"/>
      <c r="F60" s="6">
        <f>IFERROR((D60/D59)-(E60/E59),0)</f>
        <v/>
      </c>
    </row>
    <row r="61" ht="15" customHeight="1" s="47">
      <c r="C61" s="44" t="n"/>
      <c r="D61" s="62" t="n"/>
      <c r="E61" s="62" t="n"/>
      <c r="F61" s="6">
        <f>IFERROR((D61/D59)-(E61/E59),0)</f>
        <v/>
      </c>
    </row>
    <row r="62" ht="15" customHeight="1" s="47">
      <c r="B62" s="44" t="n"/>
      <c r="C62" s="44" t="n"/>
      <c r="D62" s="62" t="n"/>
      <c r="E62" s="62" t="n"/>
    </row>
    <row r="63" ht="15" customHeight="1" s="47">
      <c r="C63" s="44" t="n"/>
      <c r="D63" s="62" t="n"/>
      <c r="E63" s="62" t="n"/>
      <c r="F63" s="6">
        <f>IFERROR((D63/D62)-(E63/E62),0)</f>
        <v/>
      </c>
    </row>
    <row r="64" ht="15" customHeight="1" s="47">
      <c r="C64" s="44" t="n"/>
      <c r="D64" s="62" t="n"/>
      <c r="E64" s="62" t="n"/>
      <c r="F64" s="6">
        <f>IFERROR((D64/D62)-(E64/E62),0)</f>
        <v/>
      </c>
    </row>
    <row r="65" ht="15" customHeight="1" s="47">
      <c r="B65" s="44" t="n"/>
      <c r="C65" s="44" t="n"/>
      <c r="D65" s="62" t="n"/>
      <c r="E65" s="62" t="n"/>
    </row>
    <row r="66" ht="15" customHeight="1" s="47">
      <c r="C66" s="44" t="n"/>
      <c r="D66" s="62" t="n"/>
      <c r="E66" s="62" t="n"/>
      <c r="F66" s="6">
        <f>IFERROR((D66/D65)-(E66/E65),0)</f>
        <v/>
      </c>
    </row>
    <row r="67" ht="15" customHeight="1" s="47">
      <c r="C67" s="44" t="n"/>
      <c r="D67" s="62" t="n"/>
      <c r="E67" s="62" t="n"/>
      <c r="F67" s="6">
        <f>IFERROR((D67/D65)-(E67/E65),0)</f>
        <v/>
      </c>
    </row>
    <row r="68" ht="15" customHeight="1" s="47">
      <c r="B68" s="44" t="n"/>
      <c r="C68" s="44" t="n"/>
      <c r="D68" s="62" t="n"/>
      <c r="E68" s="62" t="n"/>
    </row>
    <row r="69" ht="15" customHeight="1" s="47">
      <c r="C69" s="44" t="n"/>
      <c r="D69" s="62" t="n"/>
      <c r="E69" s="62" t="n"/>
      <c r="F69" s="6">
        <f>IFERROR((D69/D68)-(E69/E68),0)</f>
        <v/>
      </c>
    </row>
    <row r="70" ht="15" customHeight="1" s="47">
      <c r="C70" s="44" t="n"/>
      <c r="D70" s="62" t="n"/>
      <c r="E70" s="62" t="n"/>
      <c r="F70" s="6">
        <f>IFERROR((D70/D68)-(E70/E68),0)</f>
        <v/>
      </c>
    </row>
    <row r="71" ht="15" customHeight="1" s="47">
      <c r="B71" s="44" t="n"/>
      <c r="C71" s="44" t="n"/>
      <c r="D71" s="62" t="n"/>
      <c r="E71" s="62" t="n"/>
    </row>
    <row r="72" ht="15" customHeight="1" s="47">
      <c r="C72" s="44" t="n"/>
      <c r="D72" s="62" t="n"/>
      <c r="E72" s="62" t="n"/>
      <c r="F72" s="6">
        <f>IFERROR((D72/D71)-(E72/E71),0)</f>
        <v/>
      </c>
    </row>
    <row r="73" ht="15" customHeight="1" s="47">
      <c r="C73" s="44" t="n"/>
      <c r="D73" s="62" t="n"/>
      <c r="E73" s="62" t="n"/>
      <c r="F73" s="6">
        <f>IFERROR((D73/D71)-(E73/E71),0)</f>
        <v/>
      </c>
    </row>
    <row r="74" ht="15" customHeight="1" s="47">
      <c r="B74" s="44" t="n"/>
      <c r="C74" s="44" t="n"/>
      <c r="D74" s="62" t="n"/>
      <c r="E74" s="62" t="n"/>
    </row>
    <row r="75" ht="15" customHeight="1" s="47">
      <c r="C75" s="44" t="n"/>
      <c r="D75" s="62" t="n"/>
      <c r="E75" s="62" t="n"/>
      <c r="F75" s="6">
        <f>IFERROR((D75/D74)-(E75/E74),0)</f>
        <v/>
      </c>
    </row>
    <row r="76" ht="15" customHeight="1" s="47">
      <c r="C76" s="44" t="n"/>
      <c r="D76" s="62" t="n"/>
      <c r="E76" s="62" t="n"/>
      <c r="F76" s="6">
        <f>IFERROR((D76/D74)-(E76/E74),0)</f>
        <v/>
      </c>
    </row>
    <row r="77" ht="15" customHeight="1" s="47">
      <c r="B77" s="44" t="n"/>
      <c r="C77" s="44" t="n"/>
      <c r="D77" s="62" t="n"/>
      <c r="E77" s="62" t="n"/>
    </row>
    <row r="78" ht="15" customHeight="1" s="47">
      <c r="C78" s="44" t="n"/>
      <c r="D78" s="62" t="n"/>
      <c r="E78" s="62" t="n"/>
      <c r="F78" s="6">
        <f>IFERROR((D78/D77)-(E78/E77),0)</f>
        <v/>
      </c>
    </row>
    <row r="79" ht="15" customHeight="1" s="47">
      <c r="C79" s="44" t="n"/>
      <c r="D79" s="62" t="n"/>
      <c r="E79" s="62" t="n"/>
      <c r="F79" s="6">
        <f>IFERROR((D79/D77)-(E79/E77),0)</f>
        <v/>
      </c>
    </row>
    <row r="80" ht="15" customHeight="1" s="47">
      <c r="B80" s="44" t="n"/>
      <c r="C80" s="44" t="n"/>
      <c r="D80" s="62" t="n"/>
      <c r="E80" s="62" t="n"/>
    </row>
    <row r="81" ht="15" customHeight="1" s="47">
      <c r="C81" s="44" t="n"/>
      <c r="D81" s="62" t="n"/>
      <c r="E81" s="62" t="n"/>
      <c r="F81" s="6">
        <f>IFERROR((D81/D80)-(E81/E80),0)</f>
        <v/>
      </c>
    </row>
    <row r="82" ht="15" customHeight="1" s="47">
      <c r="C82" s="44" t="n"/>
      <c r="D82" s="62" t="n"/>
      <c r="E82" s="62" t="n"/>
      <c r="F82" s="6">
        <f>IFERROR((D82/D80)-(E82/E80),0)</f>
        <v/>
      </c>
    </row>
    <row r="83" ht="15" customHeight="1" s="47">
      <c r="B83" s="44" t="n"/>
      <c r="C83" s="44" t="n"/>
      <c r="D83" s="62" t="n"/>
      <c r="E83" s="62" t="n"/>
    </row>
    <row r="84" ht="15" customHeight="1" s="47">
      <c r="C84" s="44" t="n"/>
      <c r="D84" s="62" t="n"/>
      <c r="E84" s="62" t="n"/>
      <c r="F84" s="6">
        <f>IFERROR((D84/D83)-(E84/E83),0)</f>
        <v/>
      </c>
    </row>
    <row r="85" ht="15" customHeight="1" s="47">
      <c r="C85" s="44" t="n"/>
      <c r="D85" s="62" t="n"/>
      <c r="E85" s="62" t="n"/>
      <c r="F85" s="6">
        <f>IFERROR((D85/D83)-(E85/E83),0)</f>
        <v/>
      </c>
    </row>
    <row r="86" ht="15" customHeight="1" s="47">
      <c r="B86" s="44" t="n"/>
      <c r="C86" s="44" t="n"/>
      <c r="D86" s="62" t="n"/>
      <c r="E86" s="62" t="n"/>
    </row>
    <row r="87" ht="15" customHeight="1" s="47">
      <c r="C87" s="44" t="n"/>
      <c r="D87" s="62" t="n"/>
      <c r="E87" s="62" t="n"/>
      <c r="F87" s="6">
        <f>IFERROR((D87/D86)-(E87/E86),0)</f>
        <v/>
      </c>
    </row>
    <row r="88" ht="15" customHeight="1" s="47">
      <c r="C88" s="44" t="n"/>
      <c r="D88" s="62" t="n"/>
      <c r="E88" s="62" t="n"/>
      <c r="F88" s="6">
        <f>IFERROR((D88/D86)-(E88/E86),0)</f>
        <v/>
      </c>
    </row>
    <row r="89" ht="15" customHeight="1" s="47">
      <c r="B89" s="44" t="n"/>
      <c r="C89" s="44" t="n"/>
      <c r="D89" s="62" t="n"/>
      <c r="E89" s="62" t="n"/>
    </row>
    <row r="90" ht="15" customHeight="1" s="47">
      <c r="C90" s="44" t="n"/>
      <c r="D90" s="62" t="n"/>
      <c r="E90" s="62" t="n"/>
      <c r="F90" s="6">
        <f>IFERROR((D90/D89)-(E90/E89),0)</f>
        <v/>
      </c>
    </row>
    <row r="91" ht="15" customHeight="1" s="47">
      <c r="C91" s="44" t="n"/>
      <c r="D91" s="62" t="n"/>
      <c r="E91" s="62" t="n"/>
      <c r="F91" s="6">
        <f>IFERROR((D91/D89)-(E91/E89),0)</f>
        <v/>
      </c>
    </row>
    <row r="92" ht="15" customHeight="1" s="47">
      <c r="B92" s="44" t="n"/>
      <c r="C92" s="44" t="n"/>
      <c r="D92" s="62" t="n"/>
      <c r="E92" s="62" t="n"/>
    </row>
    <row r="93" ht="15" customHeight="1" s="47">
      <c r="C93" s="44" t="n"/>
      <c r="D93" s="62" t="n"/>
      <c r="E93" s="62" t="n"/>
      <c r="F93" s="6">
        <f>IFERROR((D93/D92)-(E93/E92),0)</f>
        <v/>
      </c>
    </row>
    <row r="94" ht="15" customHeight="1" s="47">
      <c r="C94" s="44" t="n"/>
      <c r="D94" s="62" t="n"/>
      <c r="E94" s="62" t="n"/>
      <c r="F94" s="6">
        <f>IFERROR((D94/D92)-(E94/E92),0)</f>
        <v/>
      </c>
    </row>
    <row r="95" ht="15" customHeight="1" s="47">
      <c r="B95" s="44" t="n"/>
      <c r="C95" s="44" t="n"/>
      <c r="D95" s="62" t="n"/>
      <c r="E95" s="62" t="n"/>
    </row>
    <row r="96" ht="15" customHeight="1" s="47">
      <c r="C96" s="44" t="n"/>
      <c r="D96" s="62" t="n"/>
      <c r="E96" s="62" t="n"/>
      <c r="F96" s="6">
        <f>IFERROR((D96/D95)-(E96/E95),0)</f>
        <v/>
      </c>
    </row>
    <row r="97" ht="15" customHeight="1" s="47">
      <c r="C97" s="44" t="n"/>
      <c r="D97" s="62" t="n"/>
      <c r="E97" s="62" t="n"/>
      <c r="F97" s="6">
        <f>IFERROR((D97/D95)-(E97/E95),0)</f>
        <v/>
      </c>
    </row>
    <row r="98" ht="15" customHeight="1" s="47">
      <c r="B98" s="44" t="n"/>
      <c r="C98" s="44" t="n"/>
      <c r="D98" s="62" t="n"/>
      <c r="E98" s="62" t="n"/>
    </row>
    <row r="99" ht="15" customHeight="1" s="47">
      <c r="C99" s="44" t="n"/>
      <c r="D99" s="62" t="n"/>
      <c r="E99" s="62" t="n"/>
      <c r="F99" s="6">
        <f>IFERROR((D99/D98)-(E99/E98),0)</f>
        <v/>
      </c>
    </row>
    <row r="100" ht="15" customHeight="1" s="47">
      <c r="C100" s="44" t="n"/>
      <c r="D100" s="62" t="n"/>
      <c r="E100" s="62" t="n"/>
      <c r="F100" s="6">
        <f>IFERROR((D100/D98)-(E100/E98),0)</f>
        <v/>
      </c>
    </row>
    <row r="101" ht="15" customHeight="1" s="47">
      <c r="B101" s="44" t="n"/>
      <c r="C101" s="44" t="n"/>
      <c r="D101" s="62" t="n"/>
      <c r="E101" s="62" t="n"/>
    </row>
    <row r="102" ht="15" customHeight="1" s="47">
      <c r="C102" s="44" t="n"/>
      <c r="D102" s="62" t="n"/>
      <c r="E102" s="62" t="n"/>
      <c r="F102" s="6">
        <f>IFERROR((D102/D101)-(E102/E101),0)</f>
        <v/>
      </c>
    </row>
    <row r="103" ht="15" customHeight="1" s="47">
      <c r="C103" s="44" t="n"/>
      <c r="D103" s="62" t="n"/>
      <c r="E103" s="62" t="n"/>
      <c r="F103" s="6">
        <f>IFERROR((D103/D101)-(E103/E101),0)</f>
        <v/>
      </c>
    </row>
    <row r="104" ht="15" customHeight="1" s="47">
      <c r="B104" s="44" t="n"/>
      <c r="C104" s="44" t="n"/>
      <c r="D104" s="62" t="n"/>
      <c r="E104" s="62" t="n"/>
    </row>
    <row r="105" ht="15" customHeight="1" s="47">
      <c r="C105" s="44" t="n"/>
      <c r="D105" s="62" t="n"/>
      <c r="E105" s="62" t="n"/>
      <c r="F105" s="6">
        <f>IFERROR((D105/D104)-(E105/E104),0)</f>
        <v/>
      </c>
    </row>
    <row r="106" ht="15" customHeight="1" s="47">
      <c r="C106" s="44" t="n"/>
      <c r="D106" s="62" t="n"/>
      <c r="E106" s="62" t="n"/>
      <c r="F106" s="6">
        <f>IFERROR((D106/D104)-(E106/E104),0)</f>
        <v/>
      </c>
    </row>
    <row r="107" ht="15" customHeight="1" s="47">
      <c r="B107" s="44" t="n"/>
      <c r="C107" s="44" t="n"/>
      <c r="D107" s="62" t="n"/>
      <c r="E107" s="62" t="n"/>
    </row>
    <row r="108" ht="15" customHeight="1" s="47">
      <c r="C108" s="44" t="n"/>
      <c r="D108" s="62" t="n"/>
      <c r="E108" s="62" t="n"/>
      <c r="F108" s="6">
        <f>IFERROR((D108/D107)-(E108/E107),0)</f>
        <v/>
      </c>
    </row>
    <row r="109" ht="15" customHeight="1" s="47">
      <c r="C109" s="44" t="n"/>
      <c r="D109" s="62" t="n"/>
      <c r="E109" s="62" t="n"/>
      <c r="F109" s="6">
        <f>IFERROR((D109/D107)-(E109/E107),0)</f>
        <v/>
      </c>
    </row>
    <row r="110" ht="15" customHeight="1" s="47">
      <c r="B110" s="44" t="n"/>
      <c r="C110" s="44" t="n"/>
      <c r="D110" s="62" t="n"/>
      <c r="E110" s="62" t="n"/>
    </row>
    <row r="111" ht="15" customHeight="1" s="47">
      <c r="C111" s="44" t="n"/>
      <c r="D111" s="62" t="n"/>
      <c r="E111" s="62" t="n"/>
      <c r="F111" s="6">
        <f>IFERROR((D111/D110)-(E111/E110),0)</f>
        <v/>
      </c>
    </row>
    <row r="112" ht="15" customHeight="1" s="47">
      <c r="C112" s="44" t="n"/>
      <c r="D112" s="62" t="n"/>
      <c r="E112" s="62" t="n"/>
      <c r="F112" s="6">
        <f>IFERROR((D112/D110)-(E112/E110),0)</f>
        <v/>
      </c>
    </row>
    <row r="113" ht="15" customHeight="1" s="47">
      <c r="B113" s="44" t="n"/>
      <c r="C113" s="44" t="n"/>
      <c r="D113" s="62" t="n"/>
      <c r="E113" s="62" t="n"/>
    </row>
    <row r="114" ht="15" customHeight="1" s="47">
      <c r="C114" s="44" t="n"/>
      <c r="D114" s="62" t="n"/>
      <c r="E114" s="62" t="n"/>
      <c r="F114" s="6">
        <f>IFERROR((D114/D113)-(E114/E113),0)</f>
        <v/>
      </c>
    </row>
    <row r="115" ht="15" customHeight="1" s="47">
      <c r="C115" s="44" t="n"/>
      <c r="D115" s="62" t="n"/>
      <c r="E115" s="62" t="n"/>
      <c r="F115" s="6">
        <f>IFERROR((D115/D113)-(E115/E113),0)</f>
        <v/>
      </c>
    </row>
    <row r="116" ht="15" customHeight="1" s="47">
      <c r="B116" s="44" t="n"/>
      <c r="C116" s="44" t="n"/>
      <c r="D116" s="62" t="n"/>
      <c r="E116" s="62" t="n"/>
    </row>
    <row r="117" ht="15" customHeight="1" s="47">
      <c r="C117" s="44" t="n"/>
      <c r="D117" s="62" t="n"/>
      <c r="E117" s="62" t="n"/>
      <c r="F117" s="6">
        <f>IFERROR((D117/D116)-(E117/E116),0)</f>
        <v/>
      </c>
    </row>
    <row r="118" ht="15" customHeight="1" s="47">
      <c r="C118" s="44" t="n"/>
      <c r="D118" s="62" t="n"/>
      <c r="E118" s="62" t="n"/>
      <c r="F118" s="6">
        <f>IFERROR((D118/D116)-(E118/E116),0)</f>
        <v/>
      </c>
    </row>
    <row r="119" ht="15" customHeight="1" s="47">
      <c r="B119" s="44" t="n"/>
      <c r="C119" s="44" t="n"/>
      <c r="D119" s="62" t="n"/>
      <c r="E119" s="62" t="n"/>
    </row>
    <row r="120" ht="15" customHeight="1" s="47">
      <c r="C120" s="44" t="n"/>
      <c r="D120" s="62" t="n"/>
      <c r="E120" s="62" t="n"/>
      <c r="F120" s="6">
        <f>IFERROR((D120/D119)-(E120/E119),0)</f>
        <v/>
      </c>
    </row>
    <row r="121" ht="15" customHeight="1" s="47">
      <c r="C121" s="44" t="n"/>
      <c r="D121" s="62" t="n"/>
      <c r="E121" s="62" t="n"/>
      <c r="F121" s="6">
        <f>IFERROR((D121/D119)-(E121/E119),0)</f>
        <v/>
      </c>
    </row>
    <row r="122" ht="15" customHeight="1" s="47">
      <c r="B122" s="44" t="n"/>
      <c r="C122" s="44" t="n"/>
      <c r="D122" s="62" t="n"/>
      <c r="E122" s="62" t="n"/>
    </row>
    <row r="123" ht="15" customHeight="1" s="47">
      <c r="C123" s="44" t="n"/>
      <c r="D123" s="62" t="n"/>
      <c r="E123" s="62" t="n"/>
      <c r="F123" s="6">
        <f>IFERROR((D123/D122)-(E123/E122),0)</f>
        <v/>
      </c>
    </row>
    <row r="124" ht="15" customHeight="1" s="47">
      <c r="C124" s="44" t="n"/>
      <c r="D124" s="62" t="n"/>
      <c r="E124" s="62" t="n"/>
      <c r="F124" s="6">
        <f>IFERROR((D124/D122)-(E124/E122),0)</f>
        <v/>
      </c>
    </row>
    <row r="125" ht="15" customHeight="1" s="47">
      <c r="B125" s="44" t="n"/>
      <c r="C125" s="44" t="n"/>
      <c r="D125" s="62" t="n"/>
      <c r="E125" s="62" t="n"/>
    </row>
    <row r="126" ht="15" customHeight="1" s="47">
      <c r="C126" s="44" t="n"/>
      <c r="D126" s="62" t="n"/>
      <c r="E126" s="62" t="n"/>
      <c r="F126" s="6">
        <f>IFERROR((D126/D125)-(E126/E125),0)</f>
        <v/>
      </c>
    </row>
    <row r="127" ht="15" customHeight="1" s="47">
      <c r="C127" s="44" t="n"/>
      <c r="D127" s="62" t="n"/>
      <c r="E127" s="62" t="n"/>
      <c r="F127" s="6">
        <f>IFERROR((D127/D125)-(E127/E125),0)</f>
        <v/>
      </c>
    </row>
    <row r="128" ht="15" customHeight="1" s="47">
      <c r="B128" s="44" t="n"/>
      <c r="C128" s="44" t="n"/>
      <c r="D128" s="62" t="n"/>
      <c r="E128" s="62" t="n"/>
    </row>
    <row r="129" ht="15" customHeight="1" s="47">
      <c r="C129" s="44" t="n"/>
      <c r="D129" s="62" t="n"/>
      <c r="E129" s="62" t="n"/>
      <c r="F129" s="6">
        <f>IFERROR((D129/D128)-(E129/E128),0)</f>
        <v/>
      </c>
    </row>
    <row r="130" ht="15" customHeight="1" s="47">
      <c r="C130" s="44" t="n"/>
      <c r="D130" s="62" t="n"/>
      <c r="E130" s="62" t="n"/>
      <c r="F130" s="6">
        <f>IFERROR((D130/D128)-(E130/E128),0)</f>
        <v/>
      </c>
    </row>
    <row r="131" ht="15" customHeight="1" s="47">
      <c r="B131" s="44" t="n"/>
      <c r="C131" s="44" t="n"/>
      <c r="D131" s="62" t="n"/>
      <c r="E131" s="62" t="n"/>
    </row>
    <row r="132" ht="15" customHeight="1" s="47">
      <c r="C132" s="44" t="n"/>
      <c r="D132" s="62" t="n"/>
      <c r="E132" s="62" t="n"/>
      <c r="F132" s="6">
        <f>IFERROR((D132/D131)-(E132/E131),0)</f>
        <v/>
      </c>
    </row>
    <row r="133" ht="15" customHeight="1" s="47">
      <c r="C133" s="44" t="n"/>
      <c r="D133" s="62" t="n"/>
      <c r="E133" s="62" t="n"/>
      <c r="F133" s="6">
        <f>IFERROR((D133/D131)-(E133/E131),0)</f>
        <v/>
      </c>
    </row>
    <row r="134" ht="15" customHeight="1" s="47">
      <c r="B134" s="44" t="n"/>
      <c r="C134" s="44" t="n"/>
      <c r="D134" s="62" t="n"/>
      <c r="E134" s="62" t="n"/>
    </row>
    <row r="135" ht="15" customHeight="1" s="47">
      <c r="C135" s="44" t="n"/>
      <c r="D135" s="62" t="n"/>
      <c r="E135" s="62" t="n"/>
      <c r="F135" s="6">
        <f>IFERROR((D135/D134)-(E135/E134),0)</f>
        <v/>
      </c>
    </row>
    <row r="136" ht="15" customHeight="1" s="47">
      <c r="C136" s="44" t="n"/>
      <c r="D136" s="62" t="n"/>
      <c r="E136" s="62" t="n"/>
      <c r="F136" s="6">
        <f>IFERROR((D136/D134)-(E136/E134),0)</f>
        <v/>
      </c>
    </row>
    <row r="137" ht="15" customHeight="1" s="47">
      <c r="B137" s="44" t="n"/>
      <c r="C137" s="44" t="n"/>
      <c r="D137" s="62" t="n"/>
      <c r="E137" s="62" t="n"/>
    </row>
    <row r="138" ht="15" customHeight="1" s="47">
      <c r="C138" s="44" t="n"/>
      <c r="D138" s="62" t="n"/>
      <c r="E138" s="62" t="n"/>
      <c r="F138" s="6">
        <f>IFERROR((D138/D137)-(E138/E137),0)</f>
        <v/>
      </c>
    </row>
    <row r="139" ht="15" customHeight="1" s="47">
      <c r="C139" s="44" t="n"/>
      <c r="D139" s="62" t="n"/>
      <c r="E139" s="62" t="n"/>
      <c r="F139" s="6">
        <f>IFERROR((D139/D137)-(E139/E137),0)</f>
        <v/>
      </c>
    </row>
    <row r="140" ht="15" customHeight="1" s="47">
      <c r="B140" s="44" t="n"/>
      <c r="C140" s="44" t="n"/>
      <c r="D140" s="62" t="n"/>
      <c r="E140" s="62" t="n"/>
    </row>
    <row r="141" ht="15" customHeight="1" s="47">
      <c r="C141" s="44" t="n"/>
      <c r="D141" s="62" t="n"/>
      <c r="E141" s="62" t="n"/>
      <c r="F141" s="6">
        <f>IFERROR((D141/D140)-(E141/E140),0)</f>
        <v/>
      </c>
    </row>
    <row r="142" ht="15" customHeight="1" s="47">
      <c r="C142" s="44" t="n"/>
      <c r="D142" s="62" t="n"/>
      <c r="E142" s="62" t="n"/>
      <c r="F142" s="6">
        <f>IFERROR((D142/D140)-(E142/E140),0)</f>
        <v/>
      </c>
    </row>
    <row r="143" ht="15" customHeight="1" s="47">
      <c r="B143" s="44" t="n"/>
      <c r="C143" s="44" t="n"/>
      <c r="D143" s="62" t="n"/>
      <c r="E143" s="62" t="n"/>
    </row>
    <row r="144" ht="15" customHeight="1" s="47">
      <c r="C144" s="44" t="n"/>
      <c r="D144" s="62" t="n"/>
      <c r="E144" s="62" t="n"/>
      <c r="F144" s="6">
        <f>IFERROR((D144/D143)-(E144/E143),0)</f>
        <v/>
      </c>
    </row>
    <row r="145" ht="15" customHeight="1" s="47">
      <c r="C145" s="44" t="n"/>
      <c r="D145" s="62" t="n"/>
      <c r="E145" s="62" t="n"/>
      <c r="F145" s="6">
        <f>IFERROR((D145/D143)-(E145/E143),0)</f>
        <v/>
      </c>
    </row>
    <row r="146" ht="15" customHeight="1" s="47">
      <c r="B146" s="44" t="n"/>
      <c r="C146" s="44" t="n"/>
      <c r="D146" s="62" t="n"/>
      <c r="E146" s="62" t="n"/>
    </row>
    <row r="147" ht="15" customHeight="1" s="47">
      <c r="C147" s="44" t="n"/>
      <c r="D147" s="62" t="n"/>
      <c r="E147" s="62" t="n"/>
      <c r="F147" s="6">
        <f>IFERROR((D147/D146)-(E147/E146),0)</f>
        <v/>
      </c>
    </row>
    <row r="148" ht="15" customHeight="1" s="47">
      <c r="C148" s="44" t="n"/>
      <c r="D148" s="62" t="n"/>
      <c r="E148" s="62" t="n"/>
      <c r="F148" s="6">
        <f>IFERROR((D148/D146)-(E148/E146),0)</f>
        <v/>
      </c>
    </row>
    <row r="149" ht="15" customHeight="1" s="47">
      <c r="B149" s="44" t="n"/>
      <c r="C149" s="44" t="n"/>
      <c r="D149" s="62" t="n"/>
      <c r="E149" s="62" t="n"/>
    </row>
    <row r="150" ht="15" customHeight="1" s="47">
      <c r="C150" s="44" t="n"/>
      <c r="D150" s="62" t="n"/>
      <c r="E150" s="62" t="n"/>
      <c r="F150" s="6">
        <f>IFERROR((D150/D149)-(E150/E149),0)</f>
        <v/>
      </c>
    </row>
    <row r="151" ht="15" customHeight="1" s="47">
      <c r="C151" s="44" t="n"/>
      <c r="D151" s="62" t="n"/>
      <c r="E151" s="62" t="n"/>
      <c r="F151" s="6">
        <f>IFERROR((D151/D149)-(E151/E149),0)</f>
        <v/>
      </c>
    </row>
    <row r="152" ht="15" customHeight="1" s="47">
      <c r="B152" s="44" t="n"/>
      <c r="C152" s="44" t="n"/>
      <c r="D152" s="62" t="n"/>
      <c r="E152" s="62" t="n"/>
    </row>
    <row r="153" ht="15" customHeight="1" s="47">
      <c r="C153" s="44" t="n"/>
      <c r="D153" s="62" t="n"/>
      <c r="E153" s="62" t="n"/>
      <c r="F153" s="6">
        <f>IFERROR((D153/D152)-(E153/E152),0)</f>
        <v/>
      </c>
    </row>
    <row r="154" ht="15" customHeight="1" s="47">
      <c r="C154" s="44" t="n"/>
      <c r="D154" s="62" t="n"/>
      <c r="E154" s="62" t="n"/>
      <c r="F154" s="6">
        <f>IFERROR((D154/D152)-(E154/E152),0)</f>
        <v/>
      </c>
    </row>
    <row r="155" ht="15" customHeight="1" s="47">
      <c r="B155" s="44" t="n"/>
      <c r="C155" s="44" t="n"/>
      <c r="D155" s="62" t="n"/>
      <c r="E155" s="62" t="n"/>
    </row>
    <row r="156" ht="15" customHeight="1" s="47">
      <c r="C156" s="44" t="n"/>
      <c r="D156" s="62" t="n"/>
      <c r="E156" s="62" t="n"/>
      <c r="F156" s="6">
        <f>IFERROR((D156/D155)-(E156/E155),0)</f>
        <v/>
      </c>
    </row>
    <row r="157" ht="15" customHeight="1" s="47">
      <c r="C157" s="44" t="n"/>
      <c r="D157" s="62" t="n"/>
      <c r="E157" s="62" t="n"/>
      <c r="F157" s="6">
        <f>IFERROR((D157/D155)-(E157/E155),0)</f>
        <v/>
      </c>
    </row>
    <row r="158" ht="15" customHeight="1" s="47">
      <c r="B158" s="44" t="n"/>
      <c r="C158" s="44" t="n"/>
      <c r="D158" s="62" t="n"/>
      <c r="E158" s="62" t="n"/>
    </row>
    <row r="159" ht="15" customHeight="1" s="47">
      <c r="C159" s="44" t="n"/>
      <c r="D159" s="62" t="n"/>
      <c r="E159" s="62" t="n"/>
      <c r="F159" s="6">
        <f>IFERROR((D159/D158)-(E159/E158),0)</f>
        <v/>
      </c>
    </row>
    <row r="160" ht="15" customHeight="1" s="47">
      <c r="C160" s="44" t="n"/>
      <c r="D160" s="62" t="n"/>
      <c r="E160" s="62" t="n"/>
      <c r="F160" s="6">
        <f>IFERROR((D160/D158)-(E160/E158),0)</f>
        <v/>
      </c>
    </row>
    <row r="161" ht="15" customHeight="1" s="47">
      <c r="B161" s="44" t="n"/>
      <c r="C161" s="44" t="n"/>
      <c r="D161" s="62" t="n"/>
      <c r="E161" s="62" t="n"/>
    </row>
    <row r="162" ht="15" customHeight="1" s="47">
      <c r="C162" s="44" t="n"/>
      <c r="D162" s="62" t="n"/>
      <c r="E162" s="62" t="n"/>
      <c r="F162" s="6">
        <f>IFERROR((D162/D161)-(E162/E161),0)</f>
        <v/>
      </c>
    </row>
    <row r="163" ht="15" customHeight="1" s="47">
      <c r="C163" s="44" t="n"/>
      <c r="D163" s="62" t="n"/>
      <c r="E163" s="62" t="n"/>
      <c r="F163" s="6">
        <f>IFERROR((D163/D161)-(E163/E161),0)</f>
        <v/>
      </c>
    </row>
    <row r="164" ht="15" customHeight="1" s="47">
      <c r="B164" s="44" t="n"/>
      <c r="C164" s="44" t="n"/>
      <c r="D164" s="62" t="n"/>
      <c r="E164" s="62" t="n"/>
    </row>
    <row r="165" ht="15" customHeight="1" s="47">
      <c r="C165" s="44" t="n"/>
      <c r="D165" s="62" t="n"/>
      <c r="E165" s="62" t="n"/>
      <c r="F165" s="6">
        <f>IFERROR((D165/D164)-(E165/E164),0)</f>
        <v/>
      </c>
    </row>
    <row r="166" ht="15" customHeight="1" s="47">
      <c r="C166" s="44" t="n"/>
      <c r="D166" s="62" t="n"/>
      <c r="E166" s="62" t="n"/>
      <c r="F166" s="6">
        <f>IFERROR((D166/D164)-(E166/E164),0)</f>
        <v/>
      </c>
    </row>
    <row r="167" ht="15" customHeight="1" s="47">
      <c r="B167" s="44" t="n"/>
      <c r="C167" s="44" t="n"/>
      <c r="D167" s="62" t="n"/>
      <c r="E167" s="62" t="n"/>
    </row>
    <row r="168" ht="15" customHeight="1" s="47">
      <c r="C168" s="44" t="n"/>
      <c r="D168" s="62" t="n"/>
      <c r="E168" s="62" t="n"/>
      <c r="F168" s="6">
        <f>IFERROR((D168/D167)-(E168/E167),0)</f>
        <v/>
      </c>
    </row>
    <row r="169" ht="15" customHeight="1" s="47">
      <c r="C169" s="44" t="n"/>
      <c r="D169" s="62" t="n"/>
      <c r="E169" s="62" t="n"/>
      <c r="F169" s="6">
        <f>IFERROR((D169/D167)-(E169/E167),0)</f>
        <v/>
      </c>
    </row>
    <row r="170" ht="15" customHeight="1" s="47">
      <c r="B170" s="44" t="n"/>
      <c r="C170" s="44" t="n"/>
      <c r="D170" s="62" t="n"/>
      <c r="E170" s="62" t="n"/>
    </row>
    <row r="171" ht="15" customHeight="1" s="47">
      <c r="C171" s="44" t="n"/>
      <c r="D171" s="62" t="n"/>
      <c r="E171" s="62" t="n"/>
      <c r="F171" s="6">
        <f>IFERROR((D171/D170)-(E171/E170),0)</f>
        <v/>
      </c>
    </row>
    <row r="172" ht="15" customHeight="1" s="47">
      <c r="C172" s="44" t="n"/>
      <c r="D172" s="62" t="n"/>
      <c r="E172" s="62" t="n"/>
      <c r="F172" s="6">
        <f>IFERROR((D172/D170)-(E172/E170),0)</f>
        <v/>
      </c>
    </row>
  </sheetData>
  <autoFilter ref="B1:F7"/>
  <mergeCells count="58">
    <mergeCell ref="B128:B130"/>
    <mergeCell ref="B53:B55"/>
    <mergeCell ref="B146:B148"/>
    <mergeCell ref="B65:B67"/>
    <mergeCell ref="B158:B160"/>
    <mergeCell ref="B143:B145"/>
    <mergeCell ref="B68:B70"/>
    <mergeCell ref="A5:A7"/>
    <mergeCell ref="B80:B82"/>
    <mergeCell ref="B164:B166"/>
    <mergeCell ref="B89:B91"/>
    <mergeCell ref="B119:B121"/>
    <mergeCell ref="B74:B76"/>
    <mergeCell ref="B5:B7"/>
    <mergeCell ref="B92:B94"/>
    <mergeCell ref="B83:B85"/>
    <mergeCell ref="B110:B112"/>
    <mergeCell ref="B35:B37"/>
    <mergeCell ref="B26:B28"/>
    <mergeCell ref="B95:B97"/>
    <mergeCell ref="B113:B115"/>
    <mergeCell ref="B104:B106"/>
    <mergeCell ref="B122:B124"/>
    <mergeCell ref="B56:B58"/>
    <mergeCell ref="B41:B43"/>
    <mergeCell ref="B47:B49"/>
    <mergeCell ref="B32:B34"/>
    <mergeCell ref="B50:B52"/>
    <mergeCell ref="B125:B127"/>
    <mergeCell ref="B59:B61"/>
    <mergeCell ref="B131:B133"/>
    <mergeCell ref="B62:B64"/>
    <mergeCell ref="B140:B142"/>
    <mergeCell ref="B149:B151"/>
    <mergeCell ref="B134:B136"/>
    <mergeCell ref="B161:B163"/>
    <mergeCell ref="B152:B154"/>
    <mergeCell ref="B11:B13"/>
    <mergeCell ref="B8:B10"/>
    <mergeCell ref="B170:B172"/>
    <mergeCell ref="B71:B73"/>
    <mergeCell ref="B155:B157"/>
    <mergeCell ref="B101:B103"/>
    <mergeCell ref="B116:B118"/>
    <mergeCell ref="B167:B169"/>
    <mergeCell ref="A2:B4"/>
    <mergeCell ref="B23:B25"/>
    <mergeCell ref="B17:B19"/>
    <mergeCell ref="B77:B79"/>
    <mergeCell ref="B86:B88"/>
    <mergeCell ref="B44:B46"/>
    <mergeCell ref="A8:A19"/>
    <mergeCell ref="B14:B16"/>
    <mergeCell ref="B29:B31"/>
    <mergeCell ref="B98:B100"/>
    <mergeCell ref="B107:B109"/>
    <mergeCell ref="B38:B40"/>
    <mergeCell ref="B137:B13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8" customWidth="1" style="47" min="1" max="1"/>
    <col width="8" customWidth="1" style="47" min="2" max="2"/>
    <col width="16" customWidth="1" style="47" min="3" max="3"/>
    <col width="17" customWidth="1" style="47" min="4" max="4"/>
    <col width="12" customWidth="1" style="47" min="5" max="5"/>
    <col width="33" customWidth="1" style="47" min="6" max="6"/>
    <col width="33" customWidth="1" style="47" min="7" max="7"/>
    <col width="29" customWidth="1" style="47" min="8" max="8"/>
    <col width="30" customWidth="1" style="47" min="9" max="9"/>
  </cols>
  <sheetData>
    <row r="1">
      <c r="A1" s="63" t="inlineStr">
        <is>
          <t>HHI Analysis - Counties with PNC BANK and FIRSTBANK Branches</t>
        </is>
      </c>
    </row>
    <row r="3">
      <c r="A3" s="64" t="inlineStr">
        <is>
          <t>County, State</t>
        </is>
      </c>
      <c r="B3" s="64" t="inlineStr">
        <is>
          <t>GEOID5</t>
        </is>
      </c>
      <c r="C3" s="64" t="inlineStr">
        <is>
          <t>Pre-Merger HHI</t>
        </is>
      </c>
      <c r="D3" s="64" t="inlineStr">
        <is>
          <t>Post-Merger HHI</t>
        </is>
      </c>
      <c r="E3" s="64" t="inlineStr">
        <is>
          <t>HHI Change</t>
        </is>
      </c>
      <c r="F3" s="64" t="inlineStr">
        <is>
          <t>Pre-Merger Concentration</t>
        </is>
      </c>
      <c r="G3" s="64" t="inlineStr">
        <is>
          <t>Post-Merger Concentration</t>
        </is>
      </c>
      <c r="H3" s="64" t="inlineStr">
        <is>
          <t>Total Deposits (Pre-Merger)</t>
        </is>
      </c>
      <c r="I3" s="64" t="inlineStr">
        <is>
          <t>Total Deposits (Post-Merger)</t>
        </is>
      </c>
    </row>
    <row r="4">
      <c r="A4" s="65" t="inlineStr">
        <is>
          <t>Adams County, Colorado</t>
        </is>
      </c>
      <c r="B4" s="65" t="inlineStr">
        <is>
          <t>08001</t>
        </is>
      </c>
      <c r="C4" s="66" t="n">
        <v>1202.38</v>
      </c>
      <c r="D4" s="66" t="n">
        <v>1276.56</v>
      </c>
      <c r="E4" s="66" t="n">
        <v>74.18000000000001</v>
      </c>
      <c r="F4" s="65" t="inlineStr">
        <is>
          <t>Low Concentration (Competitive)</t>
        </is>
      </c>
      <c r="G4" s="65" t="inlineStr">
        <is>
          <t>Low Concentration (Competitive)</t>
        </is>
      </c>
      <c r="H4" s="67" t="n">
        <v>6503668000</v>
      </c>
      <c r="I4" s="67" t="n">
        <v>6503668000</v>
      </c>
    </row>
    <row r="5">
      <c r="A5" s="65" t="inlineStr">
        <is>
          <t>Arapahoe County, Colorado</t>
        </is>
      </c>
      <c r="B5" s="65" t="inlineStr">
        <is>
          <t>08005</t>
        </is>
      </c>
      <c r="C5" s="66" t="n">
        <v>1154.15</v>
      </c>
      <c r="D5" s="66" t="n">
        <v>1191.71</v>
      </c>
      <c r="E5" s="66" t="n">
        <v>37.56</v>
      </c>
      <c r="F5" s="65" t="inlineStr">
        <is>
          <t>Low Concentration (Competitive)</t>
        </is>
      </c>
      <c r="G5" s="65" t="inlineStr">
        <is>
          <t>Low Concentration (Competitive)</t>
        </is>
      </c>
      <c r="H5" s="67" t="n">
        <v>20180247000</v>
      </c>
      <c r="I5" s="67" t="n">
        <v>20180247000</v>
      </c>
    </row>
    <row r="6">
      <c r="A6" s="65" t="inlineStr">
        <is>
          <t>Boulder County, Colorado</t>
        </is>
      </c>
      <c r="B6" s="65" t="inlineStr">
        <is>
          <t>08013</t>
        </is>
      </c>
      <c r="C6" s="66" t="n">
        <v>1124.95</v>
      </c>
      <c r="D6" s="66" t="n">
        <v>1147.63</v>
      </c>
      <c r="E6" s="66" t="n">
        <v>22.69</v>
      </c>
      <c r="F6" s="65" t="inlineStr">
        <is>
          <t>Low Concentration (Competitive)</t>
        </is>
      </c>
      <c r="G6" s="65" t="inlineStr">
        <is>
          <t>Low Concentration (Competitive)</t>
        </is>
      </c>
      <c r="H6" s="67" t="n">
        <v>11997591000</v>
      </c>
      <c r="I6" s="67" t="n">
        <v>11997591000</v>
      </c>
    </row>
    <row r="7">
      <c r="A7" s="65" t="inlineStr">
        <is>
          <t>Denver County, Colorado</t>
        </is>
      </c>
      <c r="B7" s="65" t="inlineStr">
        <is>
          <t>08031</t>
        </is>
      </c>
      <c r="C7" s="66" t="n">
        <v>1090.66</v>
      </c>
      <c r="D7" s="66" t="n">
        <v>1105.9</v>
      </c>
      <c r="E7" s="66" t="n">
        <v>15.23</v>
      </c>
      <c r="F7" s="65" t="inlineStr">
        <is>
          <t>Low Concentration (Competitive)</t>
        </is>
      </c>
      <c r="G7" s="65" t="inlineStr">
        <is>
          <t>Low Concentration (Competitive)</t>
        </is>
      </c>
      <c r="H7" s="67" t="n">
        <v>54384760000</v>
      </c>
      <c r="I7" s="67" t="n">
        <v>54384760000</v>
      </c>
    </row>
    <row r="8">
      <c r="A8" s="65" t="inlineStr">
        <is>
          <t>Douglas County, Colorado</t>
        </is>
      </c>
      <c r="B8" s="65" t="inlineStr">
        <is>
          <t>08035</t>
        </is>
      </c>
      <c r="C8" s="66" t="n">
        <v>1656.7</v>
      </c>
      <c r="D8" s="66" t="n">
        <v>1722.99</v>
      </c>
      <c r="E8" s="66" t="n">
        <v>66.3</v>
      </c>
      <c r="F8" s="65" t="inlineStr">
        <is>
          <t>Moderate Concentration</t>
        </is>
      </c>
      <c r="G8" s="65" t="inlineStr">
        <is>
          <t>Moderate Concentration</t>
        </is>
      </c>
      <c r="H8" s="67" t="n">
        <v>7010974000</v>
      </c>
      <c r="I8" s="67" t="n">
        <v>7010974000</v>
      </c>
    </row>
    <row r="9">
      <c r="A9" s="65" t="inlineStr">
        <is>
          <t>El Paso County, Colorado</t>
        </is>
      </c>
      <c r="B9" s="65" t="inlineStr">
        <is>
          <t>08041</t>
        </is>
      </c>
      <c r="C9" s="66" t="n">
        <v>873.75</v>
      </c>
      <c r="D9" s="66" t="n">
        <v>885.53</v>
      </c>
      <c r="E9" s="66" t="n">
        <v>11.77</v>
      </c>
      <c r="F9" s="65" t="inlineStr">
        <is>
          <t>Low Concentration (Competitive)</t>
        </is>
      </c>
      <c r="G9" s="65" t="inlineStr">
        <is>
          <t>Low Concentration (Competitive)</t>
        </is>
      </c>
      <c r="H9" s="67" t="n">
        <v>10331883000</v>
      </c>
      <c r="I9" s="67" t="n">
        <v>10331883000</v>
      </c>
    </row>
    <row r="10">
      <c r="A10" s="65" t="inlineStr">
        <is>
          <t>Jefferson County, Colorado</t>
        </is>
      </c>
      <c r="B10" s="65" t="inlineStr">
        <is>
          <t>08059</t>
        </is>
      </c>
      <c r="C10" s="66" t="n">
        <v>2046.45</v>
      </c>
      <c r="D10" s="66" t="n">
        <v>2099.9</v>
      </c>
      <c r="E10" s="66" t="n">
        <v>53.45</v>
      </c>
      <c r="F10" s="65" t="inlineStr">
        <is>
          <t>Moderate Concentration</t>
        </is>
      </c>
      <c r="G10" s="65" t="inlineStr">
        <is>
          <t>Moderate Concentration</t>
        </is>
      </c>
      <c r="H10" s="67" t="n">
        <v>18084161000</v>
      </c>
      <c r="I10" s="67" t="n">
        <v>18084161000</v>
      </c>
    </row>
    <row r="11">
      <c r="A11" s="65" t="inlineStr">
        <is>
          <t>Larimer County, Colorado</t>
        </is>
      </c>
      <c r="B11" s="65" t="inlineStr">
        <is>
          <t>08069</t>
        </is>
      </c>
      <c r="C11" s="66" t="n">
        <v>1175.1</v>
      </c>
      <c r="D11" s="66" t="n">
        <v>1189.7</v>
      </c>
      <c r="E11" s="66" t="n">
        <v>14.6</v>
      </c>
      <c r="F11" s="65" t="inlineStr">
        <is>
          <t>Low Concentration (Competitive)</t>
        </is>
      </c>
      <c r="G11" s="65" t="inlineStr">
        <is>
          <t>Low Concentration (Competitive)</t>
        </is>
      </c>
      <c r="H11" s="67" t="n">
        <v>10226012000</v>
      </c>
      <c r="I11" s="67" t="n">
        <v>10226012000</v>
      </c>
    </row>
    <row r="12">
      <c r="A12" s="65" t="inlineStr">
        <is>
          <t>Maricopa County, Arizona</t>
        </is>
      </c>
      <c r="B12" s="65" t="inlineStr">
        <is>
          <t>04013</t>
        </is>
      </c>
      <c r="C12" s="66" t="n">
        <v>1608.63</v>
      </c>
      <c r="D12" s="66" t="n">
        <v>1611.32</v>
      </c>
      <c r="E12" s="66" t="n">
        <v>2.68</v>
      </c>
      <c r="F12" s="65" t="inlineStr">
        <is>
          <t>Moderate Concentration</t>
        </is>
      </c>
      <c r="G12" s="65" t="inlineStr">
        <is>
          <t>Moderate Concentration</t>
        </is>
      </c>
      <c r="H12" s="67" t="n">
        <v>177478446000</v>
      </c>
      <c r="I12" s="67" t="n">
        <v>177478446000</v>
      </c>
    </row>
    <row r="13">
      <c r="A13" s="65" t="inlineStr">
        <is>
          <t>Weld County, Colorado</t>
        </is>
      </c>
      <c r="B13" s="65" t="inlineStr">
        <is>
          <t>08123</t>
        </is>
      </c>
      <c r="C13" s="66" t="n">
        <v>970.95</v>
      </c>
      <c r="D13" s="66" t="n">
        <v>980.29</v>
      </c>
      <c r="E13" s="66" t="n">
        <v>9.34</v>
      </c>
      <c r="F13" s="65" t="inlineStr">
        <is>
          <t>Low Concentration (Competitive)</t>
        </is>
      </c>
      <c r="G13" s="65" t="inlineStr">
        <is>
          <t>Low Concentration (Competitive)</t>
        </is>
      </c>
      <c r="H13" s="67" t="n">
        <v>6473179000</v>
      </c>
      <c r="I13" s="67" t="n">
        <v>6473179000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Jason Richardson</dc:creator>
  <dcterms:created xsi:type="dcterms:W3CDTF">2024-10-30T00:23:52Z</dcterms:created>
  <dcterms:modified xsi:type="dcterms:W3CDTF">2025-11-17T00:49:12Z</dcterms:modified>
</cp:coreProperties>
</file>