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62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167" fontId="1" fillId="0" borderId="0" applyAlignment="1" pivotButton="0" quotePrefix="0" xfId="0">
      <alignment wrapText="1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/>
    </xf>
    <xf numFmtId="168" fontId="1" fillId="0" borderId="0" applyAlignment="1" pivotButton="0" quotePrefix="0" xfId="0">
      <alignment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34" t="inlineStr">
        <is>
          <t>@PNC AA</t>
        </is>
      </c>
      <c r="B1" s="43" t="inlineStr">
        <is>
          <t>County State</t>
        </is>
      </c>
      <c r="C1" s="35" t="n"/>
      <c r="D1" s="36" t="inlineStr">
        <is>
          <t>@FirstBank AA</t>
        </is>
      </c>
      <c r="E1" s="43" t="inlineStr">
        <is>
          <t>County State</t>
        </is>
      </c>
      <c r="F1" s="35" t="n"/>
    </row>
    <row r="2">
      <c r="A2" s="41" t="inlineStr">
        <is>
          <t>CBSA Name</t>
        </is>
      </c>
      <c r="B2" s="41" t="inlineStr">
        <is>
          <t>County A</t>
        </is>
      </c>
      <c r="D2" s="41" t="inlineStr">
        <is>
          <t>CBSA Name</t>
        </is>
      </c>
      <c r="E2" s="41" t="inlineStr">
        <is>
          <t>County A</t>
        </is>
      </c>
      <c r="F2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29" t="n"/>
      <c r="B1" s="29" t="n"/>
      <c r="C1" s="55" t="inlineStr">
        <is>
          <t>Bank B</t>
        </is>
      </c>
      <c r="D1" s="55" t="inlineStr">
        <is>
          <t>Peers</t>
        </is>
      </c>
      <c r="E1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43" t="inlineStr">
        <is>
          <t>Chicago-Naperville-Elgin, IL-IN-WI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/>
      <c r="E14" s="17">
        <f>IFERROR(C14-D14,"")</f>
        <v/>
      </c>
    </row>
    <row r="15">
      <c r="B15" s="42" t="inlineStr">
        <is>
          <t xml:space="preserve">LMICT% </t>
        </is>
      </c>
      <c r="C15" s="16" t="n">
        <v>21.52905198776758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34.67889908256881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105705000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29.23547400611621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28.56269113149847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5.565749235474006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4.587155963302752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0.1834862385321101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18.2262996941896</v>
      </c>
      <c r="D24" s="13" t="n"/>
      <c r="E24">
        <f>IFERROR(C24-D24,"")</f>
        <v/>
      </c>
    </row>
    <row r="25">
      <c r="A25" t="inlineStr">
        <is>
          <t>Cincinnati, OH-KY-IN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/>
      <c r="E26" s="17">
        <f>IFERROR(C26-D26,"")</f>
        <v/>
      </c>
    </row>
    <row r="27">
      <c r="B27" s="42" t="inlineStr">
        <is>
          <t xml:space="preserve">LMICT% </t>
        </is>
      </c>
      <c r="C27" s="57" t="n">
        <v>29.72972972972973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41.55405405405405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36820000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15.87837837837838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16.89189189189189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3.547297297297297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9.797297297297296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0.3378378378378378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0.1689189189189189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3.040540540540541</v>
      </c>
      <c r="D36" s="16" t="n"/>
      <c r="E36" s="17">
        <f>IFERROR(C36-D36,"")</f>
        <v/>
      </c>
    </row>
    <row r="37">
      <c r="A37" t="inlineStr">
        <is>
          <t>Cleveland-Elyria, OH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/>
      <c r="E38" s="17">
        <f>IFERROR(C38-D38,"")</f>
        <v/>
      </c>
    </row>
    <row r="39">
      <c r="B39" s="42" t="inlineStr">
        <is>
          <t xml:space="preserve">LMICT% </t>
        </is>
      </c>
      <c r="C39" s="16" t="n">
        <v>30.52905464006939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45.09973980919341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67880000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25.32523850823938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25.32523850823938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4.683434518647007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14.31049436253253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0.08673026886383348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0.08673026886383348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6.157849089332177</v>
      </c>
      <c r="D48" s="16" t="n"/>
      <c r="E48" s="17">
        <f>IFERROR(C48-D48,"")</f>
        <v/>
      </c>
    </row>
    <row r="49">
      <c r="A49" t="inlineStr">
        <is>
          <t>Columbus, OH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/>
      <c r="E50" s="17">
        <f>IFERROR(C50-D50,"")</f>
        <v/>
      </c>
    </row>
    <row r="51">
      <c r="B51" s="42" t="inlineStr">
        <is>
          <t xml:space="preserve">LMICT% </t>
        </is>
      </c>
      <c r="C51" s="16" t="n">
        <v>28.55436081242533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43.96654719235364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67820000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19.11589008363202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22.81959378733572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8.124253285543608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10.03584229390681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0.1194743130227001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0.1194743130227001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4.420549581839905</v>
      </c>
      <c r="D60" s="57" t="n"/>
      <c r="E60" s="17">
        <f>IFERROR(C60-D60,"")</f>
        <v/>
      </c>
    </row>
    <row r="61">
      <c r="A61" t="inlineStr">
        <is>
          <t>Dallas-Fort Worth-Arlington, TX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/>
      <c r="E62" s="17">
        <f>IFERROR(C62-D62,"")</f>
        <v/>
      </c>
    </row>
    <row r="63">
      <c r="B63" s="42" t="inlineStr">
        <is>
          <t xml:space="preserve">LMICT% </t>
        </is>
      </c>
      <c r="C63" s="16" t="n">
        <v>19.00311526479751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16.51090342679128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19935000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47.0404984423676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30.8411214953271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11.21495327102804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6.542056074766355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0.6230529595015576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12.46105919003115</v>
      </c>
      <c r="D72" s="16" t="n"/>
      <c r="E72" s="17">
        <f>IFERROR(C72-D72,"")</f>
        <v/>
      </c>
    </row>
    <row r="73">
      <c r="A73" s="42" t="inlineStr">
        <is>
          <t>Detroit-Warren-Dearborn, MI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410</v>
      </c>
      <c r="D74" s="16" t="n"/>
      <c r="E74" s="17">
        <f>IFERROR(C74-D74,"")</f>
        <v/>
      </c>
    </row>
    <row r="75">
      <c r="A75" s="42" t="n"/>
      <c r="B75" s="42" t="inlineStr">
        <is>
          <t xml:space="preserve">LMICT% </t>
        </is>
      </c>
      <c r="C75" s="16" t="n">
        <v>22.4390243902439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35.12195121951219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16420000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25.36585365853659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24.87804878048781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4.878048780487805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13.90243902439025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0.7317073170731708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0.2439024390243902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5.121951219512195</v>
      </c>
      <c r="D84" s="31" t="n"/>
      <c r="E84" s="17">
        <f>IFERROR(C84-D84,"")</f>
        <v/>
      </c>
    </row>
    <row r="85">
      <c r="A85" t="inlineStr">
        <is>
          <t>Houston-The Woodlands-Sugar Land, TX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/>
      <c r="E86" s="17">
        <f>IFERROR(C86-D86,"")</f>
        <v/>
      </c>
    </row>
    <row r="87">
      <c r="B87" s="42" t="inlineStr">
        <is>
          <t xml:space="preserve">LMICT% </t>
        </is>
      </c>
      <c r="C87" s="16" t="n">
        <v>14.70588235294118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7.918552036199094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6245000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42.76018099547511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34.38914027149321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9.049773755656108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5.203619909502263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20.13574660633484</v>
      </c>
      <c r="D96" s="31" t="n"/>
      <c r="E96" s="17">
        <f>IFERROR(C96-D96,"")</f>
        <v/>
      </c>
    </row>
    <row r="97">
      <c r="A97" t="inlineStr">
        <is>
          <t>Louisville/Jefferson County, KY-IN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/>
      <c r="E98" s="17">
        <f>IFERROR(C98-D98,"")</f>
        <v/>
      </c>
    </row>
    <row r="99">
      <c r="B99" s="42" t="inlineStr">
        <is>
          <t xml:space="preserve">LMICT% </t>
        </is>
      </c>
      <c r="C99" s="16" t="n">
        <v>16.85144124168514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41.7960088691796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58855000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8.093126385809313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21.84035476718404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7.87139689578714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11.08647450110865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2.882483370288248</v>
      </c>
      <c r="D108" s="31" t="n"/>
      <c r="E108" s="17">
        <f>IFERROR(C108-D108,"")</f>
        <v/>
      </c>
    </row>
    <row r="109">
      <c r="A109" t="inlineStr">
        <is>
          <t>Miami-Fort Lauderdale-Pompano Beach, FL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/>
      <c r="E110" s="17">
        <f>IFERROR(C110-D110,"")</f>
        <v/>
      </c>
    </row>
    <row r="111">
      <c r="B111" s="42" t="inlineStr">
        <is>
          <t xml:space="preserve">LMICT% </t>
        </is>
      </c>
      <c r="C111" s="16" t="n">
        <v>21.54811715481172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18.82845188284519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21940000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23.22175732217573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25.10460251046025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2.510460251046025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5.857740585774058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16.73640167364017</v>
      </c>
      <c r="D120" s="31" t="n"/>
      <c r="E120" s="17">
        <f>IFERROR(C120-D120,"")</f>
        <v/>
      </c>
    </row>
    <row r="121">
      <c r="A121" t="inlineStr">
        <is>
          <t>Philadelphia-Camden-Wilmington, PA-NJ-DE-MD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/>
      <c r="E122" s="17">
        <f>IFERROR(C122-D122,"")</f>
        <v/>
      </c>
    </row>
    <row r="123">
      <c r="A123" s="42" t="n"/>
      <c r="B123" s="42" t="inlineStr">
        <is>
          <t xml:space="preserve">LMICT% </t>
        </is>
      </c>
      <c r="C123" s="55" t="n">
        <v>25.0936329588015</v>
      </c>
      <c r="D123" s="30" t="n"/>
      <c r="E123">
        <f>IFERROR(C123-D123,"")</f>
        <v/>
      </c>
    </row>
    <row r="124">
      <c r="B124" s="42" t="inlineStr">
        <is>
          <t>LMIB%</t>
        </is>
      </c>
      <c r="C124" s="16" t="n">
        <v>27.84019975031211</v>
      </c>
      <c r="D124" s="31" t="n"/>
      <c r="E124" s="17">
        <f>IFERROR(C124-D124,"")</f>
        <v/>
      </c>
    </row>
    <row r="125">
      <c r="B125" s="42" t="inlineStr">
        <is>
          <t>LMIB$</t>
        </is>
      </c>
      <c r="C125" s="16" t="n">
        <v>40935000</v>
      </c>
      <c r="D125" s="31" t="n"/>
      <c r="E125" s="17">
        <f>IFERROR(C125-D125,"")</f>
        <v/>
      </c>
    </row>
    <row r="126">
      <c r="B126" s="42" t="inlineStr">
        <is>
          <t>MMCT%</t>
        </is>
      </c>
      <c r="C126" s="57" t="n">
        <v>34.95630461922597</v>
      </c>
      <c r="D126" s="58" t="n"/>
      <c r="E126" s="17">
        <f>IFERROR(C126-D126,"")</f>
        <v/>
      </c>
    </row>
    <row r="127">
      <c r="B127" s="42" t="inlineStr">
        <is>
          <t>MINB%</t>
        </is>
      </c>
      <c r="C127" s="16" t="n">
        <v>28.46441947565543</v>
      </c>
      <c r="D127" s="31" t="n"/>
      <c r="E127" s="17">
        <f>IFERROR(C127-D127,"")</f>
        <v/>
      </c>
    </row>
    <row r="128">
      <c r="B128" s="42" t="inlineStr">
        <is>
          <t>Asian%</t>
        </is>
      </c>
      <c r="C128" s="16" t="n">
        <v>8.364544319600499</v>
      </c>
      <c r="D128" s="31" t="n"/>
      <c r="E128" s="17">
        <f>IFERROR(C128-D128,"")</f>
        <v/>
      </c>
    </row>
    <row r="129">
      <c r="B129" s="42" t="inlineStr">
        <is>
          <t>Black%</t>
        </is>
      </c>
      <c r="C129" s="16" t="n">
        <v>14.60674157303371</v>
      </c>
      <c r="D129" s="31" t="n"/>
      <c r="E129" s="17">
        <f>IFERROR(C129-D129,"")</f>
        <v/>
      </c>
    </row>
    <row r="130">
      <c r="B130" s="42" t="inlineStr">
        <is>
          <t>Native American%</t>
        </is>
      </c>
      <c r="C130" s="16" t="n">
        <v>0</v>
      </c>
      <c r="D130" s="31" t="n"/>
      <c r="E130" s="17">
        <f>IFERROR(C130-D130,"")</f>
        <v/>
      </c>
    </row>
    <row r="131">
      <c r="B131" s="42" t="inlineStr">
        <is>
          <t>HoPI%</t>
        </is>
      </c>
      <c r="C131" s="16" t="n">
        <v>0</v>
      </c>
      <c r="D131" s="31" t="n"/>
      <c r="E131" s="17">
        <f>IFERROR(C131-D131,"")</f>
        <v/>
      </c>
    </row>
    <row r="132">
      <c r="B132" s="42" t="inlineStr">
        <is>
          <t>Hispanic%</t>
        </is>
      </c>
      <c r="C132" s="16" t="n">
        <v>5.493133583021224</v>
      </c>
      <c r="D132" s="31" t="n"/>
      <c r="E132" s="17">
        <f>IFERROR(C132-D132,"")</f>
        <v/>
      </c>
    </row>
    <row r="133">
      <c r="A133" t="inlineStr">
        <is>
          <t>Phoenix-Mesa-Chandler, AZ</t>
        </is>
      </c>
      <c r="B133" s="42" t="n"/>
      <c r="C133" s="16" t="n"/>
      <c r="D133" s="31" t="n"/>
      <c r="E133" s="17">
        <f>D133-E133</f>
        <v/>
      </c>
    </row>
    <row r="134">
      <c r="A134" s="42" t="n"/>
      <c r="B134" s="42" t="inlineStr">
        <is>
          <t>Loans</t>
        </is>
      </c>
      <c r="C134" s="55" t="n">
        <v>446</v>
      </c>
      <c r="D134" s="30" t="n"/>
      <c r="E134">
        <f>IFERROR(C134-D134,"")</f>
        <v/>
      </c>
    </row>
    <row r="135">
      <c r="B135" s="42" t="inlineStr">
        <is>
          <t xml:space="preserve">LMICT% </t>
        </is>
      </c>
      <c r="C135" s="16" t="n">
        <v>10.08968609865471</v>
      </c>
      <c r="D135" s="31" t="n"/>
      <c r="E135" s="17">
        <f>IFERROR(C135-D135,"")</f>
        <v/>
      </c>
    </row>
    <row r="136">
      <c r="B136" s="42" t="inlineStr">
        <is>
          <t>LMIB%</t>
        </is>
      </c>
      <c r="C136" s="16" t="n">
        <v>7.847533632286996</v>
      </c>
      <c r="D136" s="31" t="n"/>
      <c r="E136" s="17">
        <f>IFERROR(C136-D136,"")</f>
        <v/>
      </c>
    </row>
    <row r="137">
      <c r="B137" s="42" t="inlineStr">
        <is>
          <t>LMIB$</t>
        </is>
      </c>
      <c r="C137" s="57" t="n">
        <v>11185000</v>
      </c>
      <c r="D137" s="58" t="n"/>
      <c r="E137" s="17">
        <f>IFERROR(C137-D137,"")</f>
        <v/>
      </c>
    </row>
    <row r="138">
      <c r="B138" s="42" t="inlineStr">
        <is>
          <t>MMCT%</t>
        </is>
      </c>
      <c r="C138" s="16" t="n">
        <v>10.31390134529148</v>
      </c>
      <c r="D138" s="31" t="n"/>
      <c r="E138" s="17">
        <f>IFERROR(C138-D138,"")</f>
        <v/>
      </c>
    </row>
    <row r="139">
      <c r="B139" s="42" t="inlineStr">
        <is>
          <t>MINB%</t>
        </is>
      </c>
      <c r="C139" s="16" t="n">
        <v>20.40358744394619</v>
      </c>
      <c r="D139" s="31" t="n"/>
      <c r="E139" s="17">
        <f>IFERROR(C139-D139,"")</f>
        <v/>
      </c>
    </row>
    <row r="140">
      <c r="B140" s="42" t="inlineStr">
        <is>
          <t>Asian%</t>
        </is>
      </c>
      <c r="C140" s="16" t="n">
        <v>8.968609865470851</v>
      </c>
      <c r="D140" s="31" t="n"/>
      <c r="E140" s="17">
        <f>IFERROR(C140-D140,"")</f>
        <v/>
      </c>
    </row>
    <row r="141">
      <c r="B141" s="42" t="inlineStr">
        <is>
          <t>Black%</t>
        </is>
      </c>
      <c r="C141" s="16" t="n">
        <v>2.017937219730942</v>
      </c>
      <c r="D141" s="31" t="n"/>
      <c r="E141" s="17">
        <f>IFERROR(C141-D141,"")</f>
        <v/>
      </c>
    </row>
    <row r="142">
      <c r="B142" s="42" t="inlineStr">
        <is>
          <t>Native American%</t>
        </is>
      </c>
      <c r="C142" s="16" t="n">
        <v>0.4484304932735426</v>
      </c>
      <c r="D142" s="31" t="n"/>
      <c r="E142" s="17">
        <f>IFERROR(C142-D142,"")</f>
        <v/>
      </c>
    </row>
    <row r="143">
      <c r="B143" s="42" t="inlineStr">
        <is>
          <t>HoPI%</t>
        </is>
      </c>
      <c r="C143" s="16" t="n">
        <v>0</v>
      </c>
      <c r="D143" s="31" t="n"/>
      <c r="E143" s="17">
        <f>IFERROR(C143-D143,"")</f>
        <v/>
      </c>
    </row>
    <row r="144">
      <c r="B144" s="42" t="inlineStr">
        <is>
          <t>Hispanic%</t>
        </is>
      </c>
      <c r="C144" s="16" t="n">
        <v>8.968609865470851</v>
      </c>
      <c r="D144" s="31" t="n"/>
      <c r="E144" s="17">
        <f>IFERROR(C144-D144,"")</f>
        <v/>
      </c>
    </row>
    <row r="145">
      <c r="A145" s="42" t="inlineStr">
        <is>
          <t>Pittsburgh, PA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/>
      <c r="E146" s="17">
        <f>IFERROR(C146-D146,"")</f>
        <v/>
      </c>
    </row>
    <row r="147">
      <c r="B147" s="42" t="inlineStr">
        <is>
          <t xml:space="preserve">LMICT% </t>
        </is>
      </c>
      <c r="C147" s="16" t="n">
        <v>17.42219215155616</v>
      </c>
      <c r="D147" s="31" t="n"/>
      <c r="E147" s="17">
        <f>IFERROR(C147-D147,"")</f>
        <v/>
      </c>
    </row>
    <row r="148">
      <c r="B148" s="42" t="inlineStr">
        <is>
          <t>LMIB%</t>
        </is>
      </c>
      <c r="C148" s="57" t="n">
        <v>34.06630581867388</v>
      </c>
      <c r="D148" s="58" t="n"/>
      <c r="E148" s="17">
        <f>IFERROR(C148-D148,"")</f>
        <v/>
      </c>
    </row>
    <row r="149">
      <c r="B149" s="42" t="inlineStr">
        <is>
          <t>LMIB$</t>
        </is>
      </c>
      <c r="C149" s="16" t="n">
        <v>146725000</v>
      </c>
      <c r="D149" s="31" t="n"/>
      <c r="E149" s="17">
        <f>IFERROR(C149-D149,"")</f>
        <v/>
      </c>
    </row>
    <row r="150">
      <c r="B150" s="42" t="inlineStr">
        <is>
          <t>MMCT%</t>
        </is>
      </c>
      <c r="C150" s="16" t="n">
        <v>5.378890392422192</v>
      </c>
      <c r="D150" s="31" t="n"/>
      <c r="E150" s="17">
        <f>IFERROR(C150-D150,"")</f>
        <v/>
      </c>
    </row>
    <row r="151">
      <c r="B151" s="42" t="inlineStr">
        <is>
          <t>MINB%</t>
        </is>
      </c>
      <c r="C151" s="16" t="n">
        <v>11.53585926928282</v>
      </c>
      <c r="D151" s="31" t="n"/>
      <c r="E151" s="17">
        <f>IFERROR(C151-D151,"")</f>
        <v/>
      </c>
    </row>
    <row r="152">
      <c r="B152" s="42" t="inlineStr">
        <is>
          <t>Asian%</t>
        </is>
      </c>
      <c r="C152" s="16" t="n">
        <v>4.972936400541272</v>
      </c>
      <c r="D152" s="31" t="n"/>
      <c r="E152" s="17">
        <f>IFERROR(C152-D152,"")</f>
        <v/>
      </c>
    </row>
    <row r="153">
      <c r="B153" s="42" t="inlineStr">
        <is>
          <t>Black%</t>
        </is>
      </c>
      <c r="C153" s="16" t="n">
        <v>4.634641407307171</v>
      </c>
      <c r="D153" s="31" t="n"/>
      <c r="E153" s="17">
        <f>IFERROR(C153-D153,"")</f>
        <v/>
      </c>
    </row>
    <row r="154">
      <c r="B154" s="42" t="inlineStr">
        <is>
          <t>Native American%</t>
        </is>
      </c>
      <c r="C154" s="16" t="n">
        <v>0.2029769959404601</v>
      </c>
      <c r="D154" s="31" t="n"/>
      <c r="E154" s="17">
        <f>IFERROR(C154-D154,"")</f>
        <v/>
      </c>
    </row>
    <row r="155">
      <c r="B155" s="42" t="inlineStr">
        <is>
          <t>HoPI%</t>
        </is>
      </c>
      <c r="C155" s="16" t="n">
        <v>0.03382949932341001</v>
      </c>
      <c r="D155" s="31" t="n"/>
      <c r="E155" s="17">
        <f>IFERROR(C155-D155,"")</f>
        <v/>
      </c>
    </row>
    <row r="156">
      <c r="A156" s="42" t="n"/>
      <c r="B156" s="42" t="inlineStr">
        <is>
          <t>Hispanic%</t>
        </is>
      </c>
      <c r="C156" s="55" t="n">
        <v>1.691474966170501</v>
      </c>
      <c r="D156" s="30" t="n"/>
      <c r="E156">
        <f>IFERROR(C156-D156,"")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5">
    <mergeCell ref="A585:A595"/>
    <mergeCell ref="A277:A287"/>
    <mergeCell ref="A486:A496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519:A529"/>
    <mergeCell ref="A189:A199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56:A166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29" t="n"/>
      <c r="B1" s="29" t="n"/>
      <c r="C1" s="55" t="inlineStr">
        <is>
          <t>Bank B</t>
        </is>
      </c>
      <c r="D1" s="55" t="inlineStr">
        <is>
          <t>Peers</t>
        </is>
      </c>
      <c r="E1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43" t="inlineStr">
        <is>
          <t>Boulder, CO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/>
      <c r="E14" s="17">
        <f>IFERROR(C14-D14,"")</f>
        <v/>
      </c>
    </row>
    <row r="15">
      <c r="B15" s="42" t="inlineStr">
        <is>
          <t xml:space="preserve">LMICT% </t>
        </is>
      </c>
      <c r="C15" s="16" t="n">
        <v>19.52380952380953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30.47619047619048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45020000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1.19047619047619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18.09523809523809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6.190476190476191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0.9523809523809524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0.2380952380952381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0.2380952380952381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10.47619047619048</v>
      </c>
      <c r="D24" s="13" t="n"/>
      <c r="E24">
        <f>IFERROR(C24-D24,"")</f>
        <v/>
      </c>
    </row>
    <row r="25">
      <c r="A25" t="inlineStr">
        <is>
          <t>Breckenridge, CO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/>
      <c r="E26" s="17">
        <f>IFERROR(C26-D26,"")</f>
        <v/>
      </c>
    </row>
    <row r="27">
      <c r="B27" s="42" t="inlineStr">
        <is>
          <t xml:space="preserve">LMICT% </t>
        </is>
      </c>
      <c r="C27" s="57" t="n">
        <v>0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10.88082901554404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9405000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0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10.36269430051813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2.072538860103627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0.5181347150259068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1.036269430051814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6.735751295336788</v>
      </c>
      <c r="D36" s="16" t="n"/>
      <c r="E36" s="17">
        <f>IFERROR(C36-D36,"")</f>
        <v/>
      </c>
    </row>
    <row r="37">
      <c r="A37" t="inlineStr">
        <is>
          <t>Colorado Springs, CO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/>
      <c r="E38" s="17">
        <f>IFERROR(C38-D38,"")</f>
        <v/>
      </c>
    </row>
    <row r="39">
      <c r="B39" s="42" t="inlineStr">
        <is>
          <t xml:space="preserve">LMICT% </t>
        </is>
      </c>
      <c r="C39" s="16" t="n">
        <v>18.58407079646018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23.30383480825959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21925000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7.374631268436578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33.03834808259587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7.964601769911504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5.309734513274337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19.76401179941003</v>
      </c>
      <c r="D48" s="16" t="n"/>
      <c r="E48" s="17">
        <f>IFERROR(C48-D48,"")</f>
        <v/>
      </c>
    </row>
    <row r="49">
      <c r="A49" t="inlineStr">
        <is>
          <t>Denver-Aurora-Lakewood, CO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/>
      <c r="E50" s="17">
        <f>IFERROR(C50-D50,"")</f>
        <v/>
      </c>
    </row>
    <row r="51">
      <c r="B51" s="42" t="inlineStr">
        <is>
          <t xml:space="preserve">LMICT% </t>
        </is>
      </c>
      <c r="C51" s="16" t="n">
        <v>22.72596843615495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26.37015781922525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266325000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17.33142037302726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35.7819225251076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10.10043041606887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6.915351506456241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0.2295552367288379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0.05738880918220947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18.47919655667145</v>
      </c>
      <c r="D60" s="57" t="n"/>
      <c r="E60" s="17">
        <f>IFERROR(C60-D60,"")</f>
        <v/>
      </c>
    </row>
    <row r="61">
      <c r="A61" t="inlineStr">
        <is>
          <t>Edwards, CO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/>
      <c r="E62" s="17">
        <f>IFERROR(C62-D62,"")</f>
        <v/>
      </c>
    </row>
    <row r="63">
      <c r="B63" s="42" t="inlineStr">
        <is>
          <t xml:space="preserve">LMICT% </t>
        </is>
      </c>
      <c r="C63" s="16" t="n">
        <v>3.299492385786802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9.390862944162437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12465000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14.46700507614213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15.73604060913706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1.015228426395939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0.5076142131979695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0.5076142131979695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0.2538071065989848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13.45177664974619</v>
      </c>
      <c r="D72" s="16" t="n"/>
      <c r="E72" s="17">
        <f>IFERROR(C72-D72,"")</f>
        <v/>
      </c>
    </row>
    <row r="73">
      <c r="A73" s="42" t="inlineStr">
        <is>
          <t>Fort Collins, CO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461</v>
      </c>
      <c r="D74" s="16" t="n"/>
      <c r="E74" s="17">
        <f>IFERROR(C74-D74,"")</f>
        <v/>
      </c>
    </row>
    <row r="75">
      <c r="A75" s="42" t="n"/>
      <c r="B75" s="42" t="inlineStr">
        <is>
          <t xml:space="preserve">LMICT% </t>
        </is>
      </c>
      <c r="C75" s="16" t="n">
        <v>10.84598698481562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23.42733188720173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32900000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0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8.242950108459871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3.904555314533622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0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0.2169197396963124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4.121475054229935</v>
      </c>
      <c r="D84" s="31" t="n"/>
      <c r="E84" s="17">
        <f>IFERROR(C84-D84,"")</f>
        <v/>
      </c>
    </row>
    <row r="85">
      <c r="A85" t="inlineStr">
        <is>
          <t>Glenwood Springs, CO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/>
      <c r="E86" s="17">
        <f>IFERROR(C86-D86,"")</f>
        <v/>
      </c>
    </row>
    <row r="87">
      <c r="B87" s="42" t="inlineStr">
        <is>
          <t xml:space="preserve">LMICT% </t>
        </is>
      </c>
      <c r="C87" s="16" t="n">
        <v>0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7.913669064748201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2515000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0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23.7410071942446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1.43884892086331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0.7194244604316548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0.7194244604316548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20.86330935251799</v>
      </c>
      <c r="D96" s="31" t="n"/>
      <c r="E96" s="17">
        <f>IFERROR(C96-D96,"")</f>
        <v/>
      </c>
    </row>
    <row r="97">
      <c r="A97" t="inlineStr">
        <is>
          <t>Greeley, CO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/>
      <c r="E98" s="17">
        <f>IFERROR(C98-D98,"")</f>
        <v/>
      </c>
    </row>
    <row r="99">
      <c r="B99" s="42" t="inlineStr">
        <is>
          <t xml:space="preserve">LMICT% </t>
        </is>
      </c>
      <c r="C99" s="16" t="n">
        <v>11.13744075829384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19.19431279620853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20245000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8.530805687203792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36.01895734597156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5.450236966824645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0.7109004739336493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0.9478672985781991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0.2369668246445498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28.67298578199052</v>
      </c>
      <c r="D108" s="31" t="n"/>
      <c r="E108" s="17">
        <f>IFERROR(C108-D108,"")</f>
        <v/>
      </c>
    </row>
    <row r="109">
      <c r="A109" t="inlineStr">
        <is>
          <t>Phoenix-Mesa-Chandler, AZ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/>
      <c r="E110" s="17">
        <f>IFERROR(C110-D110,"")</f>
        <v/>
      </c>
    </row>
    <row r="111">
      <c r="B111" s="42" t="inlineStr">
        <is>
          <t xml:space="preserve">LMICT% </t>
        </is>
      </c>
      <c r="C111" s="16" t="n">
        <v>21.5130023640662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28.36879432624114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32510000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20.33096926713948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32.38770685579196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10.40189125295508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2.364066193853428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0.2364066193853428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0.4728132387706856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18.91252955082742</v>
      </c>
      <c r="D120" s="31" t="n"/>
      <c r="E120" s="17">
        <f>IFERROR(C120-D120,"")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58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58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58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8">
    <mergeCell ref="A585:A595"/>
    <mergeCell ref="A486:A496"/>
    <mergeCell ref="A277:A287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189:A199"/>
    <mergeCell ref="A519:A529"/>
    <mergeCell ref="A145:A155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12:A122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22" t="n"/>
      <c r="B1" s="22" t="n"/>
      <c r="C1" s="55" t="inlineStr">
        <is>
          <t>Home Purchase</t>
        </is>
      </c>
      <c r="D1" s="55" t="inlineStr">
        <is>
          <t>Refinance and Cash-Out Refi</t>
        </is>
      </c>
      <c r="E1" s="55" t="inlineStr">
        <is>
          <t>Home Improvement and Home Equity</t>
        </is>
      </c>
      <c r="F1" s="28" t="inlineStr">
        <is>
          <t>Total</t>
        </is>
      </c>
      <c r="G1" s="28" t="inlineStr">
        <is>
          <t>HP 5 Year Goal</t>
        </is>
      </c>
      <c r="H1" s="28" t="inlineStr">
        <is>
          <t>Refi 5 Year Goal</t>
        </is>
      </c>
      <c r="I1" s="28" t="inlineStr">
        <is>
          <t>HI 5 Year Goal</t>
        </is>
      </c>
      <c r="J1" s="28" t="inlineStr">
        <is>
          <t>NCRC Proposal Over 5 Years</t>
        </is>
      </c>
      <c r="K1" s="28" t="inlineStr">
        <is>
          <t>Baseline Over 5 Years</t>
        </is>
      </c>
      <c r="L1" s="28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55" t="inlineStr">
        <is>
          <t>State</t>
        </is>
      </c>
      <c r="B1" s="23" t="n"/>
      <c r="C1" s="22" t="n"/>
      <c r="D1" s="55" t="inlineStr">
        <is>
          <t>Bank A</t>
        </is>
      </c>
      <c r="E1" s="55" t="inlineStr">
        <is>
          <t>Peers</t>
        </is>
      </c>
      <c r="F1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5"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C1" s="59" t="inlineStr">
        <is>
          <t>Atlantic Union</t>
        </is>
      </c>
      <c r="H1" s="59" t="inlineStr">
        <is>
          <t>Other Banks</t>
        </is>
      </c>
    </row>
    <row r="2">
      <c r="A2" s="60" t="inlineStr">
        <is>
          <t>Atlantic Union Assessment Areas</t>
        </is>
      </c>
      <c r="C2" s="59" t="inlineStr">
        <is>
          <t>2018</t>
        </is>
      </c>
      <c r="D2" s="59" t="inlineStr">
        <is>
          <t>2019</t>
        </is>
      </c>
      <c r="E2" s="59" t="inlineStr">
        <is>
          <t>2020</t>
        </is>
      </c>
      <c r="F2" s="59" t="inlineStr">
        <is>
          <t>2021</t>
        </is>
      </c>
      <c r="G2" s="59" t="inlineStr">
        <is>
          <t>2022</t>
        </is>
      </c>
      <c r="H2" s="59" t="inlineStr">
        <is>
          <t>2018</t>
        </is>
      </c>
      <c r="I2" s="59" t="inlineStr">
        <is>
          <t>2019</t>
        </is>
      </c>
      <c r="J2" s="59" t="inlineStr">
        <is>
          <t>2020</t>
        </is>
      </c>
      <c r="K2" s="59" t="inlineStr">
        <is>
          <t>2021</t>
        </is>
      </c>
      <c r="L2" s="59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55" t="inlineStr">
        <is>
          <t>State</t>
        </is>
      </c>
      <c r="B1" s="23" t="n"/>
      <c r="C1" s="22" t="n"/>
      <c r="D1" s="55" t="inlineStr">
        <is>
          <t>Bank B</t>
        </is>
      </c>
      <c r="E1" s="55" t="inlineStr">
        <is>
          <t>Peers</t>
        </is>
      </c>
      <c r="F1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61" t="n"/>
      <c r="E34" s="61" t="n"/>
      <c r="F34" s="5" t="n"/>
    </row>
    <row r="35">
      <c r="C35" s="46" t="n"/>
      <c r="D35" s="1" t="n"/>
      <c r="E35" s="1" t="n"/>
      <c r="F35" s="5" t="n"/>
    </row>
    <row r="36">
      <c r="C36" s="46" t="n"/>
      <c r="D36" s="61" t="n"/>
      <c r="E36" s="61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61" t="n"/>
      <c r="E39" s="61" t="n"/>
      <c r="F39" s="5" t="n"/>
    </row>
    <row r="40">
      <c r="C40" s="46" t="n"/>
      <c r="D40" s="1" t="n"/>
      <c r="E40" s="1" t="n"/>
      <c r="F40" s="5" t="n"/>
    </row>
    <row r="41">
      <c r="C41" s="46" t="n"/>
      <c r="D41" s="61" t="n"/>
      <c r="E41" s="61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61" t="n"/>
      <c r="E44" s="61" t="n"/>
      <c r="F44" s="5" t="n"/>
    </row>
    <row r="45">
      <c r="C45" s="46" t="n"/>
      <c r="D45" s="1" t="n"/>
      <c r="E45" s="1" t="n"/>
      <c r="F45" s="5" t="n"/>
    </row>
    <row r="46">
      <c r="C46" s="46" t="n"/>
      <c r="D46" s="61" t="n"/>
      <c r="E46" s="61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61" t="n"/>
      <c r="E49" s="61" t="n"/>
      <c r="F49" s="5" t="n"/>
    </row>
    <row r="50">
      <c r="C50" s="46" t="n"/>
      <c r="D50" s="1" t="n"/>
      <c r="E50" s="1" t="n"/>
      <c r="F50" s="5" t="n"/>
    </row>
    <row r="51">
      <c r="C51" s="46" t="n"/>
      <c r="D51" s="61" t="n"/>
      <c r="E51" s="61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61" t="n"/>
      <c r="E54" s="61" t="n"/>
      <c r="F54" s="5" t="n"/>
    </row>
    <row r="55">
      <c r="C55" s="46" t="n"/>
      <c r="D55" s="1" t="n"/>
      <c r="E55" s="1" t="n"/>
      <c r="F55" s="5" t="n"/>
    </row>
    <row r="56">
      <c r="C56" s="46" t="n"/>
      <c r="D56" s="61" t="n"/>
      <c r="E56" s="61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61" t="n"/>
      <c r="E59" s="61" t="n"/>
      <c r="F59" s="5" t="n"/>
    </row>
    <row r="60">
      <c r="C60" s="46" t="n"/>
      <c r="D60" s="1" t="n"/>
      <c r="E60" s="1" t="n"/>
      <c r="F60" s="5" t="n"/>
    </row>
    <row r="61">
      <c r="C61" s="46" t="n"/>
      <c r="D61" s="61" t="n"/>
      <c r="E61" s="61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61" t="n"/>
      <c r="E64" s="61" t="n"/>
      <c r="F64" s="5" t="n"/>
    </row>
    <row r="65">
      <c r="C65" s="46" t="n"/>
      <c r="D65" s="1" t="n"/>
      <c r="E65" s="1" t="n"/>
      <c r="F65" s="5" t="n"/>
    </row>
    <row r="66">
      <c r="C66" s="46" t="n"/>
      <c r="D66" s="61" t="n"/>
      <c r="E66" s="61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61" t="n"/>
      <c r="E69" s="61" t="n"/>
      <c r="F69" s="5" t="n"/>
    </row>
    <row r="70">
      <c r="C70" s="46" t="n"/>
      <c r="D70" s="1" t="n"/>
      <c r="E70" s="1" t="n"/>
      <c r="F70" s="5" t="n"/>
    </row>
    <row r="71">
      <c r="C71" s="46" t="n"/>
      <c r="D71" s="61" t="n"/>
      <c r="E71" s="61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61" t="n"/>
      <c r="E74" s="61" t="n"/>
      <c r="F74" s="5" t="n"/>
    </row>
    <row r="75">
      <c r="C75" s="46" t="n"/>
      <c r="D75" s="1" t="n"/>
      <c r="E75" s="1" t="n"/>
      <c r="F75" s="5" t="n"/>
    </row>
    <row r="76">
      <c r="C76" s="46" t="n"/>
      <c r="D76" s="61" t="n"/>
      <c r="E76" s="61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61" t="n"/>
      <c r="E79" s="61" t="n"/>
      <c r="F79" s="5" t="n"/>
    </row>
    <row r="80">
      <c r="C80" s="46" t="n"/>
      <c r="D80" s="1" t="n"/>
      <c r="E80" s="1" t="n"/>
      <c r="F80" s="5" t="n"/>
    </row>
    <row r="81">
      <c r="C81" s="46" t="n"/>
      <c r="D81" s="61" t="n"/>
      <c r="E81" s="61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61" t="n"/>
      <c r="E84" s="61" t="n"/>
      <c r="F84" s="5" t="n"/>
    </row>
    <row r="85">
      <c r="C85" s="46" t="n"/>
      <c r="D85" s="1" t="n"/>
      <c r="E85" s="1" t="n"/>
      <c r="F85" s="5" t="n"/>
    </row>
    <row r="86">
      <c r="C86" s="46" t="n"/>
      <c r="D86" s="61" t="n"/>
      <c r="E86" s="61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61" t="n"/>
      <c r="E89" s="61" t="n"/>
      <c r="F89" s="5" t="n"/>
    </row>
    <row r="90">
      <c r="C90" s="46" t="n"/>
      <c r="D90" s="1" t="n"/>
      <c r="E90" s="1" t="n"/>
      <c r="F90" s="5" t="n"/>
    </row>
    <row r="91">
      <c r="C91" s="46" t="n"/>
      <c r="D91" s="61" t="n"/>
      <c r="E91" s="61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61" t="n"/>
      <c r="E94" s="61" t="n"/>
      <c r="F94" s="5" t="n"/>
    </row>
    <row r="95">
      <c r="C95" s="46" t="n"/>
      <c r="D95" s="1" t="n"/>
      <c r="E95" s="1" t="n"/>
      <c r="F95" s="5" t="n"/>
    </row>
    <row r="96">
      <c r="C96" s="46" t="n"/>
      <c r="D96" s="61" t="n"/>
      <c r="E96" s="61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61" t="n"/>
      <c r="E99" s="61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61" t="n"/>
      <c r="E101" s="61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61" t="n"/>
      <c r="E104" s="61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61" t="n"/>
      <c r="E106" s="61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61" t="n"/>
      <c r="E109" s="61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61" t="n"/>
      <c r="E111" s="61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61" t="n"/>
      <c r="E114" s="61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61" t="n"/>
      <c r="E116" s="61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61" t="n"/>
      <c r="E119" s="61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61" t="n"/>
      <c r="E121" s="61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61" t="n"/>
      <c r="E124" s="61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61" t="n"/>
      <c r="E126" s="61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61" t="n"/>
      <c r="E129" s="61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61" t="n"/>
      <c r="E131" s="61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61" t="n"/>
      <c r="E134" s="61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61" t="n"/>
      <c r="E136" s="61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61" t="n"/>
      <c r="E139" s="61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61" t="n"/>
      <c r="E141" s="61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61" t="n"/>
      <c r="E144" s="61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61" t="n"/>
      <c r="E146" s="61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61" t="n"/>
      <c r="E149" s="61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61" t="n"/>
      <c r="E151" s="61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61" t="n"/>
      <c r="E154" s="61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61" t="n"/>
      <c r="E156" s="61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61" t="n"/>
      <c r="E159" s="61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61" t="n"/>
      <c r="E161" s="61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61" t="n"/>
      <c r="E164" s="61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61" t="n"/>
      <c r="E166" s="61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61" t="n"/>
      <c r="E169" s="61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61" t="n"/>
      <c r="E171" s="61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61" t="n"/>
      <c r="E174" s="61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61" t="n"/>
      <c r="E176" s="61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61" t="n"/>
      <c r="E179" s="61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61" t="n"/>
      <c r="E181" s="61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61" t="n"/>
      <c r="E184" s="61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61" t="n"/>
      <c r="E186" s="61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61" t="n"/>
      <c r="E189" s="61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61" t="n"/>
      <c r="E191" s="61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61" t="n"/>
      <c r="E194" s="61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61" t="n"/>
      <c r="E196" s="61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61" t="n"/>
      <c r="E199" s="61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61" t="n"/>
      <c r="E201" s="61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61" t="n"/>
      <c r="E204" s="61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61" t="n"/>
      <c r="E206" s="61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61" t="n"/>
      <c r="E209" s="61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61" t="n"/>
      <c r="E211" s="61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61" t="n"/>
      <c r="E214" s="61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61" t="n"/>
      <c r="E216" s="61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61" t="n"/>
      <c r="E219" s="61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61" t="n"/>
      <c r="E221" s="61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61" t="n"/>
      <c r="E224" s="61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61" t="n"/>
      <c r="E226" s="61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61" t="n"/>
      <c r="E229" s="61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61" t="n"/>
      <c r="E231" s="61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61" t="n"/>
      <c r="E234" s="61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61" t="n"/>
      <c r="E236" s="61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61" t="n"/>
      <c r="E239" s="61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61" t="n"/>
      <c r="E241" s="61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61" t="n"/>
      <c r="E244" s="61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61" t="n"/>
      <c r="E246" s="61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61" t="n"/>
      <c r="E249" s="61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61" t="n"/>
      <c r="E251" s="61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61" t="n"/>
      <c r="E254" s="61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61" t="n"/>
      <c r="E256" s="61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61" t="n"/>
      <c r="E259" s="61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61" t="n"/>
      <c r="E261" s="61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61" t="n"/>
      <c r="E264" s="61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61" t="n"/>
      <c r="E266" s="61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61" t="n"/>
      <c r="E269" s="61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61" t="n"/>
      <c r="E271" s="61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61" t="n"/>
      <c r="E274" s="61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61" t="n"/>
      <c r="E276" s="61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61" t="n"/>
      <c r="E279" s="61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61" t="n"/>
      <c r="E281" s="61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21" t="n"/>
      <c r="B1" s="22" t="n"/>
      <c r="C1" s="55" t="inlineStr">
        <is>
          <t>Bank A</t>
        </is>
      </c>
      <c r="D1" s="55" t="inlineStr">
        <is>
          <t>Peers</t>
        </is>
      </c>
      <c r="E1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IFERROR(C5-D5,"")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IFERROR(C8-D8,"")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IFERROR(C11-D11,"")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IFERROR(C14-D14,"")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IFERROR(C17-D17,"")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IFERROR(C20-D20,"")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IFERROR(C23-D23,"")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IFERROR(C26-D26,"")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IFERROR(C29-D29,"")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IFERROR(C32-D32,"")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IFERROR(C35-D35,"")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IFERROR(C38-D38,"")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C1" s="59" t="inlineStr">
        <is>
          <t>Sandy Spring Bank</t>
        </is>
      </c>
      <c r="H1" s="59" t="inlineStr">
        <is>
          <t>Other Banks</t>
        </is>
      </c>
    </row>
    <row r="2">
      <c r="A2" s="60" t="inlineStr">
        <is>
          <t>Sandy Spring Assessment Area</t>
        </is>
      </c>
      <c r="C2" s="59" t="inlineStr">
        <is>
          <t>2018</t>
        </is>
      </c>
      <c r="D2" s="59" t="inlineStr">
        <is>
          <t>2019</t>
        </is>
      </c>
      <c r="E2" s="59" t="inlineStr">
        <is>
          <t>2020</t>
        </is>
      </c>
      <c r="F2" s="59" t="inlineStr">
        <is>
          <t>2021</t>
        </is>
      </c>
      <c r="G2" s="59" t="inlineStr">
        <is>
          <t>2022</t>
        </is>
      </c>
      <c r="H2" s="59" t="inlineStr">
        <is>
          <t>2018</t>
        </is>
      </c>
      <c r="I2" s="59" t="inlineStr">
        <is>
          <t>2019</t>
        </is>
      </c>
      <c r="J2" s="59" t="inlineStr">
        <is>
          <t>2020</t>
        </is>
      </c>
      <c r="K2" s="59" t="inlineStr">
        <is>
          <t>2021</t>
        </is>
      </c>
      <c r="L2" s="59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21" t="n"/>
      <c r="B1" s="22" t="n"/>
      <c r="C1" s="55" t="inlineStr">
        <is>
          <t>Bank B</t>
        </is>
      </c>
      <c r="D1" s="55" t="inlineStr">
        <is>
          <t>Peers</t>
        </is>
      </c>
      <c r="E1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IFERROR(C5-D5,"")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t="inlineStr">
        <is>
          <t>Breckenridge, CO</t>
        </is>
      </c>
      <c r="B8" t="inlineStr">
        <is>
          <t>Branches</t>
        </is>
      </c>
      <c r="C8" t="n">
        <v>2</v>
      </c>
      <c r="E8">
        <f>IFERROR(C8-D8,"")</f>
        <v/>
      </c>
    </row>
    <row r="9" ht="15" customHeight="1" s="52"/>
    <row r="10" ht="15" customHeight="1" s="52"/>
    <row r="11" ht="15" customHeight="1" s="52">
      <c r="A11" t="inlineStr">
        <is>
          <t>Colorado Springs, CO</t>
        </is>
      </c>
      <c r="B11" t="inlineStr">
        <is>
          <t>Branches</t>
        </is>
      </c>
      <c r="C11" t="n">
        <v>6</v>
      </c>
      <c r="E11">
        <f>IFERROR(C11-D11,"")</f>
        <v/>
      </c>
    </row>
    <row r="12" ht="15" customHeight="1" s="52"/>
    <row r="13" ht="15" customHeight="1" s="52"/>
    <row r="14" ht="15" customHeight="1" s="52">
      <c r="A14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IFERROR(C14-D14,"")</f>
        <v/>
      </c>
    </row>
    <row r="15" ht="15" customHeight="1" s="52"/>
    <row r="16" ht="15" customHeight="1" s="52"/>
    <row r="17" ht="15" customHeight="1" s="52">
      <c r="A17" t="inlineStr">
        <is>
          <t>Edwards, CO</t>
        </is>
      </c>
      <c r="B17" t="inlineStr">
        <is>
          <t>Branches</t>
        </is>
      </c>
      <c r="C17" t="n">
        <v>5</v>
      </c>
      <c r="E17">
        <f>IFERROR(C17-D17,"")</f>
        <v/>
      </c>
    </row>
    <row r="18" ht="15" customHeight="1" s="52"/>
    <row r="19" ht="15" customHeight="1" s="52"/>
    <row r="20" ht="15" customHeight="1" s="52">
      <c r="A20" t="inlineStr">
        <is>
          <t>Fort Collins, CO</t>
        </is>
      </c>
      <c r="B20" t="inlineStr">
        <is>
          <t>Branches</t>
        </is>
      </c>
      <c r="C20" t="n">
        <v>4</v>
      </c>
      <c r="E20">
        <f>IFERROR(C20-D20,"")</f>
        <v/>
      </c>
    </row>
    <row r="21" ht="15" customHeight="1" s="52"/>
    <row r="22" ht="15" customHeight="1" s="52"/>
    <row r="23" ht="15" customHeight="1" s="52">
      <c r="A23" t="inlineStr">
        <is>
          <t>Glenwood Springs, CO</t>
        </is>
      </c>
      <c r="B23" t="inlineStr">
        <is>
          <t>Branches</t>
        </is>
      </c>
      <c r="C23" t="n">
        <v>3</v>
      </c>
      <c r="E23">
        <f>IFERROR(C23-D23,"")</f>
        <v/>
      </c>
    </row>
    <row r="24" ht="15" customHeight="1" s="52"/>
    <row r="25" ht="15" customHeight="1" s="52"/>
    <row r="26" ht="15" customHeight="1" s="52">
      <c r="A26" t="inlineStr">
        <is>
          <t>Greeley, CO</t>
        </is>
      </c>
      <c r="B26" t="inlineStr">
        <is>
          <t>Branches</t>
        </is>
      </c>
      <c r="C26" t="n">
        <v>5</v>
      </c>
      <c r="E26">
        <f>IFERROR(C26-D26,"")</f>
        <v/>
      </c>
    </row>
    <row r="27" ht="15" customHeight="1" s="52"/>
    <row r="28" ht="15" customHeight="1" s="52"/>
    <row r="29" ht="15" customHeight="1" s="52">
      <c r="A2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IFERROR(C29-D29,"")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2025-11-20T00:35:16Z</dcterms:modified>
  <cp:lastModifiedBy>Jason Richardson</cp:lastModifiedBy>
</cp:coreProperties>
</file>