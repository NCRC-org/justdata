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30" windowWidth="25830" windowHeight="15420" tabRatio="924" firstSheet="0" activeTab="0" autoFilterDateGrouping="1"/>
  </bookViews>
  <sheets>
    <sheet name="Notes" sheetId="1" state="visible" r:id="rId1"/>
    <sheet name="Assessment Areas" sheetId="2" state="visible" r:id="rId2"/>
    <sheet name="PNC BANK Mortgage Data (%)" sheetId="3" state="visible" r:id="rId3"/>
    <sheet name="FIRSTBANK Mortgage Data (%)" sheetId="4" state="visible" r:id="rId4"/>
    <sheet name="Mortgage Goals" sheetId="5" state="visible" r:id="rId5"/>
    <sheet name="Banks A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 (%)'!$A$1:$E$628</definedName>
    <definedName name="_xlnm._FilterDatabase" localSheetId="3" hidden="1">'FIRSTBANK Mortgage Data (%)'!$A$1:$E$628</definedName>
    <definedName name="_xlnm._FilterDatabase" localSheetId="7" hidden="1">'FIRSTBANK SB Lending'!$B$1:$F$281</definedName>
    <definedName name="_xlnm._FilterDatabase" localSheetId="8" hidden="1">'PNC BANK Branches'!$B$1:$E$1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&quot;$&quot;#,##0_);[Red]\(&quot;$&quot;#,##0\)"/>
    <numFmt numFmtId="168" formatCode="&quot;$&quot;#,##0;\(&quot;$&quot;#,##0\)"/>
    <numFmt numFmtId="169" formatCode="\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family val="2"/>
      <color theme="1"/>
      <sz val="11"/>
      <scheme val="minor"/>
    </font>
    <font>
      <name val="Aptos Narrow"/>
      <b val="1"/>
      <sz val="12"/>
    </font>
    <font>
      <name val="Aptos Narrow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34EA0"/>
        <bgColor rgb="FF034EA0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7" fillId="0" borderId="0"/>
    <xf numFmtId="44" fontId="7" fillId="0" borderId="0"/>
  </cellStyleXfs>
  <cellXfs count="76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0" fontId="1" fillId="0" borderId="0" applyAlignment="1" pivotButton="0" quotePrefix="0" xfId="0">
      <alignment wrapText="1"/>
    </xf>
    <xf numFmtId="10" fontId="1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0" fontId="1" fillId="0" borderId="0" applyAlignment="1" pivotButton="0" quotePrefix="1" xfId="0">
      <alignment wrapText="1"/>
    </xf>
    <xf numFmtId="0" fontId="2" fillId="0" borderId="0" pivotButton="0" quotePrefix="0" xfId="0"/>
    <xf numFmtId="0" fontId="1" fillId="0" borderId="0" pivotButton="0" quotePrefix="1" xfId="0"/>
    <xf numFmtId="9" fontId="0" fillId="0" borderId="0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167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1" xfId="0">
      <alignment horizontal="left" vertical="top"/>
    </xf>
    <xf numFmtId="0" fontId="1" fillId="3" borderId="0" applyAlignment="1" pivotButton="0" quotePrefix="1" xfId="0">
      <alignment horizontal="center"/>
    </xf>
    <xf numFmtId="0" fontId="0" fillId="3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167" fontId="1" fillId="0" borderId="0" pivotButton="0" quotePrefix="0" xfId="0"/>
    <xf numFmtId="167" fontId="1" fillId="0" borderId="0" applyAlignment="1" pivotButton="0" quotePrefix="0" xfId="0">
      <alignment wrapText="1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/>
    </xf>
    <xf numFmtId="168" fontId="1" fillId="0" borderId="0" applyAlignment="1" pivotButton="0" quotePrefix="0" xfId="0">
      <alignment vertical="center"/>
    </xf>
    <xf numFmtId="0" fontId="0" fillId="4" borderId="0" pivotButton="0" quotePrefix="0" xfId="0"/>
    <xf numFmtId="0" fontId="1" fillId="4" borderId="0" applyAlignment="1" pivotButton="0" quotePrefix="1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1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wrapText="1"/>
    </xf>
    <xf numFmtId="0" fontId="1" fillId="4" borderId="0" pivotButton="0" quotePrefix="0" xfId="0"/>
    <xf numFmtId="0" fontId="2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0" pivotButton="0" quotePrefix="1" xfId="0"/>
    <xf numFmtId="0" fontId="1" fillId="4" borderId="0" applyAlignment="1" pivotButton="0" quotePrefix="1" xfId="0">
      <alignment horizontal="center"/>
    </xf>
    <xf numFmtId="0" fontId="1" fillId="4" borderId="0" applyAlignment="1" pivotButton="0" quotePrefix="1" xfId="0">
      <alignment horizontal="left"/>
    </xf>
    <xf numFmtId="0" fontId="1" fillId="4" borderId="0" applyAlignment="1" pivotButton="0" quotePrefix="1" xfId="0">
      <alignment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Data Sources and Timeframes: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</row>
    <row r="2">
      <c r="A2" s="62" t="n"/>
      <c r="B2" s="62" t="n"/>
      <c r="C2" s="62" t="n"/>
      <c r="D2" s="62" t="n"/>
      <c r="E2" s="62" t="n"/>
      <c r="F2" s="62" t="n"/>
      <c r="G2" s="62" t="n"/>
      <c r="H2" s="62" t="n"/>
      <c r="I2" s="62" t="n"/>
    </row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" sqref="D2:E7"/>
    </sheetView>
  </sheetViews>
  <sheetFormatPr baseColWidth="8" defaultRowHeight="15"/>
  <cols>
    <col width="36.5703125" bestFit="1" customWidth="1" style="52" min="1" max="1"/>
    <col width="31.5703125" bestFit="1" customWidth="1" style="52" min="2" max="2"/>
    <col width="30.42578125" bestFit="1" customWidth="1" style="52" min="3" max="3"/>
    <col width="30" bestFit="1" customWidth="1" style="52" min="4" max="4"/>
    <col width="26.85546875" bestFit="1" customWidth="1" style="52" min="5" max="5"/>
  </cols>
  <sheetData>
    <row r="1" customFormat="1" s="41">
      <c r="A1" s="63" t="inlineStr">
        <is>
          <t>@PNC AA</t>
        </is>
      </c>
      <c r="B1" s="64" t="inlineStr">
        <is>
          <t>County State</t>
        </is>
      </c>
      <c r="C1" s="65" t="n"/>
      <c r="D1" s="66" t="inlineStr">
        <is>
          <t>@FirstBank AA</t>
        </is>
      </c>
      <c r="E1" s="64" t="inlineStr">
        <is>
          <t>County State</t>
        </is>
      </c>
      <c r="F1" s="65" t="n"/>
    </row>
    <row r="2">
      <c r="A2" s="67" t="inlineStr">
        <is>
          <t>CBSA Name</t>
        </is>
      </c>
      <c r="B2" s="67" t="inlineStr">
        <is>
          <t>County A</t>
        </is>
      </c>
      <c r="C2" s="62" t="n"/>
      <c r="D2" s="67" t="inlineStr">
        <is>
          <t>CBSA Name</t>
        </is>
      </c>
      <c r="E2" s="67" t="inlineStr">
        <is>
          <t>County A</t>
        </is>
      </c>
      <c r="F2" s="62" t="inlineStr">
        <is>
          <t>County A</t>
        </is>
      </c>
    </row>
    <row r="3">
      <c r="B3" s="41" t="inlineStr">
        <is>
          <t>County B</t>
        </is>
      </c>
      <c r="E3" s="41" t="inlineStr">
        <is>
          <t>County B</t>
        </is>
      </c>
      <c r="F3" t="inlineStr">
        <is>
          <t>County B</t>
        </is>
      </c>
    </row>
    <row r="4">
      <c r="B4" s="41" t="inlineStr">
        <is>
          <t>County C</t>
        </is>
      </c>
      <c r="E4" s="41" t="inlineStr">
        <is>
          <t>County C</t>
        </is>
      </c>
      <c r="F4" t="inlineStr">
        <is>
          <t>County C</t>
        </is>
      </c>
    </row>
    <row r="5">
      <c r="B5" s="41" t="inlineStr">
        <is>
          <t>County D</t>
        </is>
      </c>
      <c r="E5" s="41" t="inlineStr">
        <is>
          <t>County D</t>
        </is>
      </c>
      <c r="F5" t="inlineStr">
        <is>
          <t>County D</t>
        </is>
      </c>
    </row>
    <row r="6">
      <c r="B6" s="41" t="inlineStr">
        <is>
          <t>County E</t>
        </is>
      </c>
      <c r="E6" s="41" t="inlineStr">
        <is>
          <t>County E</t>
        </is>
      </c>
      <c r="F6" t="inlineStr">
        <is>
          <t>County E</t>
        </is>
      </c>
    </row>
    <row r="7">
      <c r="B7" s="41" t="inlineStr">
        <is>
          <t>County F</t>
        </is>
      </c>
      <c r="E7" s="41" t="inlineStr">
        <is>
          <t>County F</t>
        </is>
      </c>
      <c r="F7" t="inlineStr">
        <is>
          <t>County F</t>
        </is>
      </c>
    </row>
    <row r="22" ht="21.75" customHeight="1" s="52"/>
    <row r="24" ht="21.75" customHeight="1" s="52"/>
    <row r="153" ht="21.75" customHeight="1" s="52"/>
    <row r="246" ht="14.45" customHeight="1" s="52"/>
    <row r="256" ht="21.75" customHeight="1" s="52"/>
    <row r="406" ht="21.75" customHeight="1" s="52"/>
  </sheetData>
  <mergeCells count="2">
    <mergeCell ref="A2:A7"/>
    <mergeCell ref="D2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D23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8" t="n"/>
      <c r="B1" s="68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10973</v>
      </c>
      <c r="D2" s="13" t="n">
        <v>333313</v>
      </c>
    </row>
    <row r="3">
      <c r="B3" s="42" t="inlineStr">
        <is>
          <t xml:space="preserve">LMICT% </t>
        </is>
      </c>
      <c r="C3" s="16" t="n">
        <v>21.44354324250433</v>
      </c>
      <c r="D3" s="16" t="n">
        <v>25.41095006795415</v>
      </c>
      <c r="E3" s="17">
        <f>C3-D3</f>
        <v/>
      </c>
    </row>
    <row r="4">
      <c r="B4" s="42" t="inlineStr">
        <is>
          <t>LMIB%</t>
        </is>
      </c>
      <c r="C4" s="16" t="n">
        <v>33.40016403900484</v>
      </c>
      <c r="D4" s="16" t="n">
        <v>32.64319123466532</v>
      </c>
      <c r="E4" s="17">
        <f>C4-D4</f>
        <v/>
      </c>
    </row>
    <row r="5">
      <c r="B5" s="42" t="inlineStr">
        <is>
          <t>LMIB$</t>
        </is>
      </c>
      <c r="C5" s="57" t="n">
        <v>600465000</v>
      </c>
      <c r="D5" s="57" t="n">
        <v>20133010000</v>
      </c>
      <c r="E5" s="17" t="n"/>
    </row>
    <row r="6">
      <c r="B6" s="42" t="inlineStr">
        <is>
          <t>MMCT%</t>
        </is>
      </c>
      <c r="C6" s="16" t="n">
        <v>19.47507518454388</v>
      </c>
      <c r="D6" s="16" t="n">
        <v>32.07675668215761</v>
      </c>
      <c r="E6" s="17">
        <f>C6-D6</f>
        <v/>
      </c>
    </row>
    <row r="7">
      <c r="B7" s="42" t="inlineStr">
        <is>
          <t>MINB%</t>
        </is>
      </c>
      <c r="C7" s="16" t="n">
        <v>21.68960174974939</v>
      </c>
      <c r="D7" s="16" t="n">
        <v>35.77928253623471</v>
      </c>
      <c r="E7" s="17">
        <f>C7-D7</f>
        <v/>
      </c>
    </row>
    <row r="8">
      <c r="B8" s="42" t="inlineStr">
        <is>
          <t>Asian%</t>
        </is>
      </c>
      <c r="C8" s="16" t="n">
        <v>6.078556456757496</v>
      </c>
      <c r="D8" s="16" t="n">
        <v>7.423652842823413</v>
      </c>
      <c r="E8" s="17">
        <f>C8-D8</f>
        <v/>
      </c>
    </row>
    <row r="9">
      <c r="B9" s="42" t="inlineStr">
        <is>
          <t>Black%</t>
        </is>
      </c>
      <c r="C9" s="16" t="n">
        <v>7.965005012302925</v>
      </c>
      <c r="D9" s="16" t="n">
        <v>12.78978017659077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0.1822655609222638</v>
      </c>
      <c r="D10" s="16" t="n">
        <v>0.3582218515329435</v>
      </c>
      <c r="E10" s="17">
        <f>C10-D10</f>
        <v/>
      </c>
    </row>
    <row r="11">
      <c r="B11" s="42" t="inlineStr">
        <is>
          <t>HoPI%</t>
        </is>
      </c>
      <c r="C11" s="16" t="n">
        <v>0.04556639023056594</v>
      </c>
      <c r="D11" s="16" t="n">
        <v>0.1020062223795652</v>
      </c>
      <c r="E11" s="17">
        <f>C11-D11</f>
        <v/>
      </c>
    </row>
    <row r="12">
      <c r="B12" s="42" t="inlineStr">
        <is>
          <t>Hispanic%</t>
        </is>
      </c>
      <c r="C12" s="16" t="n">
        <v>7.418208329536134</v>
      </c>
      <c r="D12" s="16" t="n">
        <v>15.10562144290802</v>
      </c>
      <c r="E12" s="17">
        <f>C12-D12</f>
        <v/>
      </c>
    </row>
    <row r="13">
      <c r="A13" s="43" t="inlineStr">
        <is>
          <t>Chicago-Naperville-Elgin, IL-IN-WI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1635</v>
      </c>
      <c r="D14" s="16" t="n"/>
      <c r="E14" s="17">
        <f>C14-D14</f>
        <v/>
      </c>
    </row>
    <row r="15">
      <c r="B15" s="42" t="inlineStr">
        <is>
          <t xml:space="preserve">LMICT% </t>
        </is>
      </c>
      <c r="C15" s="16" t="n">
        <v>21.52905198776758</v>
      </c>
      <c r="D15" s="16" t="n"/>
      <c r="E15" s="17">
        <f>IFERROR(C15-D15,"")</f>
        <v/>
      </c>
    </row>
    <row r="16">
      <c r="B16" s="42" t="inlineStr">
        <is>
          <t>LMIB%</t>
        </is>
      </c>
      <c r="C16" s="57" t="n">
        <v>34.67889908256881</v>
      </c>
      <c r="D16" s="57" t="n"/>
      <c r="E16" s="17">
        <f>IFERROR(C16-D16,"")</f>
        <v/>
      </c>
    </row>
    <row r="17">
      <c r="B17" s="42" t="inlineStr">
        <is>
          <t>LMIB$</t>
        </is>
      </c>
      <c r="C17" s="16" t="n">
        <v>105705000</v>
      </c>
      <c r="D17" s="16" t="n"/>
      <c r="E17" s="17">
        <f>IFERROR(C17-D17,"")</f>
        <v/>
      </c>
    </row>
    <row r="18">
      <c r="B18" s="42" t="inlineStr">
        <is>
          <t>MMCT%</t>
        </is>
      </c>
      <c r="C18" s="16" t="n">
        <v>29.23547400611621</v>
      </c>
      <c r="D18" s="16" t="n"/>
      <c r="E18" s="17">
        <f>IFERROR(C18-D18,"")</f>
        <v/>
      </c>
    </row>
    <row r="19">
      <c r="B19" s="42" t="inlineStr">
        <is>
          <t>MINB%</t>
        </is>
      </c>
      <c r="C19" s="16" t="n">
        <v>28.56269113149847</v>
      </c>
      <c r="D19" s="16" t="n"/>
      <c r="E19" s="17">
        <f>IFERROR(C19-D19,"")</f>
        <v/>
      </c>
    </row>
    <row r="20">
      <c r="B20" s="42" t="inlineStr">
        <is>
          <t>Asian%</t>
        </is>
      </c>
      <c r="C20" s="16" t="n">
        <v>5.565749235474006</v>
      </c>
      <c r="D20" s="16" t="n"/>
      <c r="E20" s="17">
        <f>IFERROR(C20-D20,"")</f>
        <v/>
      </c>
    </row>
    <row r="21" ht="21.75" customHeight="1" s="52">
      <c r="B21" s="42" t="inlineStr">
        <is>
          <t>Black%</t>
        </is>
      </c>
      <c r="C21" s="16" t="n">
        <v>4.587155963302752</v>
      </c>
      <c r="D21" s="16" t="n"/>
      <c r="E21" s="17">
        <f>IFERROR(C21-D21,"")</f>
        <v/>
      </c>
    </row>
    <row r="22">
      <c r="B22" s="42" t="inlineStr">
        <is>
          <t>Native American%</t>
        </is>
      </c>
      <c r="C22" s="16" t="n">
        <v>0.1834862385321101</v>
      </c>
      <c r="D22" s="16" t="n"/>
      <c r="E22" s="17">
        <f>IFERROR(C22-D22,"")</f>
        <v/>
      </c>
    </row>
    <row r="23">
      <c r="B23" s="42" t="inlineStr">
        <is>
          <t>HoPI%</t>
        </is>
      </c>
      <c r="C23" s="16" t="n">
        <v>0</v>
      </c>
      <c r="D23" s="16" t="n"/>
      <c r="E23" s="17">
        <f>IFERROR(C23-D23,"")</f>
        <v/>
      </c>
    </row>
    <row r="24">
      <c r="A24" s="42" t="inlineStr">
        <is>
          <t>Loans</t>
        </is>
      </c>
      <c r="B24" s="42" t="inlineStr">
        <is>
          <t>Hispanic%</t>
        </is>
      </c>
      <c r="C24" s="55" t="n">
        <v>18.2262996941896</v>
      </c>
      <c r="D24" s="13" t="n"/>
      <c r="E24">
        <f>IFERROR(C24-D24,"")</f>
        <v/>
      </c>
    </row>
    <row r="25">
      <c r="A25" t="inlineStr">
        <is>
          <t>Cincinnati, OH-KY-IN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592</v>
      </c>
      <c r="D26" s="16" t="n"/>
      <c r="E26" s="17">
        <f>D26-E26</f>
        <v/>
      </c>
    </row>
    <row r="27">
      <c r="B27" s="42" t="inlineStr">
        <is>
          <t xml:space="preserve">LMICT% </t>
        </is>
      </c>
      <c r="C27" s="57" t="n">
        <v>29.72972972972973</v>
      </c>
      <c r="D27" s="57" t="n"/>
      <c r="E27" s="17">
        <f>IFERROR(C27-D27,"")</f>
        <v/>
      </c>
    </row>
    <row r="28">
      <c r="B28" s="42" t="inlineStr">
        <is>
          <t>LMIB%</t>
        </is>
      </c>
      <c r="C28" s="16" t="n">
        <v>41.55405405405405</v>
      </c>
      <c r="D28" s="16" t="n"/>
      <c r="E28" s="17">
        <f>IFERROR(C28-D28,"")</f>
        <v/>
      </c>
    </row>
    <row r="29">
      <c r="B29" s="42" t="inlineStr">
        <is>
          <t>LMIB$</t>
        </is>
      </c>
      <c r="C29" s="16" t="n">
        <v>36820000</v>
      </c>
      <c r="D29" s="16" t="n"/>
      <c r="E29" s="17">
        <f>IFERROR(C29-D29,"")</f>
        <v/>
      </c>
    </row>
    <row r="30">
      <c r="B30" s="42" t="inlineStr">
        <is>
          <t>MMCT%</t>
        </is>
      </c>
      <c r="C30" s="16" t="n">
        <v>15.87837837837838</v>
      </c>
      <c r="D30" s="16" t="n"/>
      <c r="E30" s="17">
        <f>IFERROR(C30-D30,"")</f>
        <v/>
      </c>
    </row>
    <row r="31">
      <c r="B31" s="42" t="inlineStr">
        <is>
          <t>MINB%</t>
        </is>
      </c>
      <c r="C31" s="16" t="n">
        <v>16.89189189189189</v>
      </c>
      <c r="D31" s="16" t="n"/>
      <c r="E31" s="17">
        <f>IFERROR(C31-D31,"")</f>
        <v/>
      </c>
    </row>
    <row r="32" ht="21.75" customHeight="1" s="52">
      <c r="B32" s="42" t="inlineStr">
        <is>
          <t>Asian%</t>
        </is>
      </c>
      <c r="C32" s="16" t="n">
        <v>3.547297297297297</v>
      </c>
      <c r="D32" s="16" t="n"/>
      <c r="E32" s="17">
        <f>IFERROR(C32-D32,"")</f>
        <v/>
      </c>
    </row>
    <row r="33">
      <c r="B33" s="42" t="inlineStr">
        <is>
          <t>Black%</t>
        </is>
      </c>
      <c r="C33" s="16" t="n">
        <v>9.797297297297296</v>
      </c>
      <c r="D33" s="16" t="n"/>
      <c r="E33" s="17">
        <f>IFERROR(C33-D33,"")</f>
        <v/>
      </c>
    </row>
    <row r="34">
      <c r="B34" s="42" t="inlineStr">
        <is>
          <t>Native American%</t>
        </is>
      </c>
      <c r="C34" s="16" t="n">
        <v>0.3378378378378378</v>
      </c>
      <c r="D34" s="16" t="n"/>
      <c r="E34" s="17">
        <f>IFERROR(C34-D34,"")</f>
        <v/>
      </c>
    </row>
    <row r="35">
      <c r="A35" s="42" t="inlineStr">
        <is>
          <t>Loans</t>
        </is>
      </c>
      <c r="B35" s="42" t="inlineStr">
        <is>
          <t>HoPI%</t>
        </is>
      </c>
      <c r="C35" s="55" t="n">
        <v>0.1689189189189189</v>
      </c>
      <c r="D35" s="13" t="n"/>
      <c r="E35">
        <f>IFERROR(C35-D35,"")</f>
        <v/>
      </c>
    </row>
    <row r="36">
      <c r="B36" s="42" t="inlineStr">
        <is>
          <t>Hispanic%</t>
        </is>
      </c>
      <c r="C36" s="16" t="n">
        <v>3.040540540540541</v>
      </c>
      <c r="D36" s="16" t="n"/>
      <c r="E36" s="17">
        <f>IFERROR(C36-D36,"")</f>
        <v/>
      </c>
    </row>
    <row r="37">
      <c r="A37" t="inlineStr">
        <is>
          <t>Cleveland-Elyria, OH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1153</v>
      </c>
      <c r="D38" s="57" t="n"/>
      <c r="E38" s="17" t="n"/>
    </row>
    <row r="39">
      <c r="B39" s="42" t="inlineStr">
        <is>
          <t xml:space="preserve">LMICT% </t>
        </is>
      </c>
      <c r="C39" s="16" t="n">
        <v>30.52905464006939</v>
      </c>
      <c r="D39" s="16" t="n"/>
      <c r="E39" s="17">
        <f>IFERROR(C39-D39,"")</f>
        <v/>
      </c>
    </row>
    <row r="40">
      <c r="B40" s="42" t="inlineStr">
        <is>
          <t>LMIB%</t>
        </is>
      </c>
      <c r="C40" s="16" t="n">
        <v>45.09973980919341</v>
      </c>
      <c r="D40" s="16" t="n"/>
      <c r="E40" s="17">
        <f>IFERROR(C40-D40,"")</f>
        <v/>
      </c>
    </row>
    <row r="41">
      <c r="B41" s="42" t="inlineStr">
        <is>
          <t>LMIB$</t>
        </is>
      </c>
      <c r="C41" s="16" t="n">
        <v>67880000</v>
      </c>
      <c r="D41" s="16" t="n"/>
      <c r="E41" s="17">
        <f>IFERROR(C41-D41,"")</f>
        <v/>
      </c>
    </row>
    <row r="42">
      <c r="B42" s="42" t="inlineStr">
        <is>
          <t>MMCT%</t>
        </is>
      </c>
      <c r="C42" s="16" t="n">
        <v>25.32523850823938</v>
      </c>
      <c r="D42" s="16" t="n"/>
      <c r="E42" s="17">
        <f>IFERROR(C42-D42,"")</f>
        <v/>
      </c>
    </row>
    <row r="43" ht="21.75" customHeight="1" s="52">
      <c r="B43" s="42" t="inlineStr">
        <is>
          <t>MINB%</t>
        </is>
      </c>
      <c r="C43" s="16" t="n">
        <v>25.32523850823938</v>
      </c>
      <c r="D43" s="16" t="n"/>
      <c r="E43" s="17">
        <f>IFERROR(C43-D43,"")</f>
        <v/>
      </c>
    </row>
    <row r="44">
      <c r="B44" s="42" t="inlineStr">
        <is>
          <t>Asian%</t>
        </is>
      </c>
      <c r="C44" s="16" t="n">
        <v>4.683434518647007</v>
      </c>
      <c r="D44" s="16" t="n"/>
      <c r="E44" s="17">
        <f>IFERROR(C44-D44,"")</f>
        <v/>
      </c>
    </row>
    <row r="45">
      <c r="B45" s="42" t="inlineStr">
        <is>
          <t>Black%</t>
        </is>
      </c>
      <c r="C45" s="16" t="n">
        <v>14.31049436253253</v>
      </c>
      <c r="D45" s="16" t="n"/>
      <c r="E45" s="17">
        <f>IFERROR(C45-D45,"")</f>
        <v/>
      </c>
    </row>
    <row r="46">
      <c r="A46" s="42" t="inlineStr">
        <is>
          <t>Loans</t>
        </is>
      </c>
      <c r="B46" s="42" t="inlineStr">
        <is>
          <t>Native American%</t>
        </is>
      </c>
      <c r="C46" s="13" t="n">
        <v>0.08673026886383348</v>
      </c>
      <c r="D46" s="13" t="n"/>
      <c r="E46">
        <f>IFERROR(C46-D46,"")</f>
        <v/>
      </c>
    </row>
    <row r="47">
      <c r="B47" s="42" t="inlineStr">
        <is>
          <t>HoPI%</t>
        </is>
      </c>
      <c r="C47" s="16" t="n">
        <v>0.08673026886383348</v>
      </c>
      <c r="D47" s="16" t="n"/>
      <c r="E47" s="17">
        <f>IFERROR(C47-D47,"")</f>
        <v/>
      </c>
    </row>
    <row r="48">
      <c r="B48" s="42" t="inlineStr">
        <is>
          <t>Hispanic%</t>
        </is>
      </c>
      <c r="C48" s="16" t="n">
        <v>6.157849089332177</v>
      </c>
      <c r="D48" s="16" t="n"/>
      <c r="E48" s="17">
        <f>IFERROR(C48-D48,"")</f>
        <v/>
      </c>
    </row>
    <row r="49">
      <c r="A49" t="inlineStr">
        <is>
          <t>Columbus, OH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837</v>
      </c>
      <c r="D50" s="16" t="n"/>
      <c r="E50" s="17">
        <f>D50-E50</f>
        <v/>
      </c>
    </row>
    <row r="51">
      <c r="B51" s="42" t="inlineStr">
        <is>
          <t xml:space="preserve">LMICT% </t>
        </is>
      </c>
      <c r="C51" s="16" t="n">
        <v>28.55436081242533</v>
      </c>
      <c r="D51" s="16" t="n"/>
      <c r="E51" s="17">
        <f>IFERROR(C51-D51,"")</f>
        <v/>
      </c>
    </row>
    <row r="52">
      <c r="B52" s="42" t="inlineStr">
        <is>
          <t>LMIB%</t>
        </is>
      </c>
      <c r="C52" s="16" t="n">
        <v>43.96654719235364</v>
      </c>
      <c r="D52" s="16" t="n"/>
      <c r="E52" s="17">
        <f>IFERROR(C52-D52,"")</f>
        <v/>
      </c>
    </row>
    <row r="53">
      <c r="B53" s="42" t="inlineStr">
        <is>
          <t>LMIB$</t>
        </is>
      </c>
      <c r="C53" s="16" t="n">
        <v>67820000</v>
      </c>
      <c r="D53" s="16" t="n"/>
      <c r="E53" s="17">
        <f>IFERROR(C53-D53,"")</f>
        <v/>
      </c>
    </row>
    <row r="54" ht="21.75" customHeight="1" s="52">
      <c r="B54" s="42" t="inlineStr">
        <is>
          <t>MMCT%</t>
        </is>
      </c>
      <c r="C54" s="16" t="n">
        <v>19.11589008363202</v>
      </c>
      <c r="D54" s="16" t="n"/>
      <c r="E54" s="17">
        <f>IFERROR(C54-D54,"")</f>
        <v/>
      </c>
    </row>
    <row r="55">
      <c r="B55" s="42" t="inlineStr">
        <is>
          <t>MINB%</t>
        </is>
      </c>
      <c r="C55" s="16" t="n">
        <v>22.81959378733572</v>
      </c>
      <c r="D55" s="16" t="n"/>
      <c r="E55" s="17">
        <f>IFERROR(C55-D55,"")</f>
        <v/>
      </c>
    </row>
    <row r="56">
      <c r="B56" s="42" t="inlineStr">
        <is>
          <t>Asian%</t>
        </is>
      </c>
      <c r="C56" s="16" t="n">
        <v>8.124253285543608</v>
      </c>
      <c r="D56" s="16" t="n"/>
      <c r="E56" s="17">
        <f>IFERROR(C56-D56,"")</f>
        <v/>
      </c>
    </row>
    <row r="57">
      <c r="A57" s="42" t="inlineStr">
        <is>
          <t>Loans</t>
        </is>
      </c>
      <c r="B57" s="42" t="inlineStr">
        <is>
          <t>Black%</t>
        </is>
      </c>
      <c r="C57" s="55" t="n">
        <v>10.03584229390681</v>
      </c>
      <c r="D57" s="13" t="n"/>
      <c r="E57">
        <f>IFERROR(C57-D57,"")</f>
        <v/>
      </c>
    </row>
    <row r="58">
      <c r="B58" s="42" t="inlineStr">
        <is>
          <t>Native American%</t>
        </is>
      </c>
      <c r="C58" s="16" t="n">
        <v>0.1194743130227001</v>
      </c>
      <c r="D58" s="16" t="n"/>
      <c r="E58" s="17">
        <f>IFERROR(C58-D58,"")</f>
        <v/>
      </c>
    </row>
    <row r="59">
      <c r="B59" s="42" t="inlineStr">
        <is>
          <t>HoPI%</t>
        </is>
      </c>
      <c r="C59" s="16" t="n">
        <v>0.1194743130227001</v>
      </c>
      <c r="D59" s="16" t="n"/>
      <c r="E59" s="17">
        <f>IFERROR(C59-D59,"")</f>
        <v/>
      </c>
    </row>
    <row r="60">
      <c r="B60" s="42" t="inlineStr">
        <is>
          <t>Hispanic%</t>
        </is>
      </c>
      <c r="C60" s="57" t="n">
        <v>4.420549581839905</v>
      </c>
      <c r="D60" s="57" t="n"/>
      <c r="E60" s="17">
        <f>IFERROR(C60-D60,"")</f>
        <v/>
      </c>
    </row>
    <row r="61">
      <c r="A61" t="inlineStr">
        <is>
          <t>Dallas-Fort Worth-Arlington, TX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321</v>
      </c>
      <c r="D62" s="16" t="n"/>
      <c r="E62" s="17">
        <f>D62-E62</f>
        <v/>
      </c>
    </row>
    <row r="63">
      <c r="B63" s="42" t="inlineStr">
        <is>
          <t xml:space="preserve">LMICT% </t>
        </is>
      </c>
      <c r="C63" s="16" t="n">
        <v>19.00311526479751</v>
      </c>
      <c r="D63" s="16" t="n"/>
      <c r="E63" s="17">
        <f>IFERROR(C63-D63,"")</f>
        <v/>
      </c>
    </row>
    <row r="64">
      <c r="B64" s="42" t="inlineStr">
        <is>
          <t>LMIB%</t>
        </is>
      </c>
      <c r="C64" s="16" t="n">
        <v>16.51090342679128</v>
      </c>
      <c r="D64" s="16" t="n"/>
      <c r="E64" s="17">
        <f>IFERROR(C64-D64,"")</f>
        <v/>
      </c>
    </row>
    <row r="65" ht="21.75" customHeight="1" s="52">
      <c r="B65" s="42" t="inlineStr">
        <is>
          <t>LMIB$</t>
        </is>
      </c>
      <c r="C65" s="16" t="n">
        <v>19935000</v>
      </c>
      <c r="D65" s="16" t="n"/>
      <c r="E65" s="17">
        <f>IFERROR(C65-D65,"")</f>
        <v/>
      </c>
    </row>
    <row r="66">
      <c r="B66" s="42" t="inlineStr">
        <is>
          <t>MMCT%</t>
        </is>
      </c>
      <c r="C66" s="16" t="n">
        <v>47.0404984423676</v>
      </c>
      <c r="D66" s="16" t="n"/>
      <c r="E66" s="17">
        <f>IFERROR(C66-D66,"")</f>
        <v/>
      </c>
    </row>
    <row r="67">
      <c r="B67" s="42" t="inlineStr">
        <is>
          <t>MINB%</t>
        </is>
      </c>
      <c r="C67" s="16" t="n">
        <v>30.8411214953271</v>
      </c>
      <c r="D67" s="16" t="n"/>
      <c r="E67" s="17">
        <f>IFERROR(C67-D67,"")</f>
        <v/>
      </c>
    </row>
    <row r="68">
      <c r="A68" s="42" t="n"/>
      <c r="B68" s="42" t="inlineStr">
        <is>
          <t>Asian%</t>
        </is>
      </c>
      <c r="C68" s="55" t="n">
        <v>11.21495327102804</v>
      </c>
      <c r="D68" s="13" t="n"/>
      <c r="E68">
        <f>IFERROR(C68-D68,"")</f>
        <v/>
      </c>
    </row>
    <row r="69">
      <c r="A69" s="42" t="n"/>
      <c r="B69" s="42" t="inlineStr">
        <is>
          <t>Black%</t>
        </is>
      </c>
      <c r="C69" s="16" t="n">
        <v>6.542056074766355</v>
      </c>
      <c r="D69" s="16" t="n"/>
      <c r="E69" s="17">
        <f>IFERROR(C69-D69,"")</f>
        <v/>
      </c>
    </row>
    <row r="70">
      <c r="A70" s="42" t="n"/>
      <c r="B70" s="42" t="inlineStr">
        <is>
          <t>Native American%</t>
        </is>
      </c>
      <c r="C70" s="16" t="n">
        <v>0.6230529595015576</v>
      </c>
      <c r="D70" s="16" t="n"/>
      <c r="E70" s="17">
        <f>IFERROR(C70-D70,"")</f>
        <v/>
      </c>
    </row>
    <row r="71">
      <c r="A71" s="42" t="n"/>
      <c r="B71" s="42" t="inlineStr">
        <is>
          <t>HoPI%</t>
        </is>
      </c>
      <c r="C71" s="57" t="n">
        <v>0</v>
      </c>
      <c r="D71" s="57" t="n"/>
      <c r="E71" s="17">
        <f>IFERROR(C71-D71,"")</f>
        <v/>
      </c>
    </row>
    <row r="72">
      <c r="A72" s="42" t="n"/>
      <c r="B72" s="42" t="inlineStr">
        <is>
          <t>Hispanic%</t>
        </is>
      </c>
      <c r="C72" s="16" t="n">
        <v>12.46105919003115</v>
      </c>
      <c r="D72" s="16" t="n"/>
      <c r="E72" s="17">
        <f>IFERROR(C72-D72,"")</f>
        <v/>
      </c>
    </row>
    <row r="73">
      <c r="A73" s="42" t="inlineStr">
        <is>
          <t>Detroit-Warren-Dearborn, MI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410</v>
      </c>
      <c r="D74" s="16" t="n"/>
      <c r="E74" s="17">
        <f>D74-E74</f>
        <v/>
      </c>
    </row>
    <row r="75">
      <c r="A75" s="42" t="n"/>
      <c r="B75" s="42" t="inlineStr">
        <is>
          <t xml:space="preserve">LMICT% </t>
        </is>
      </c>
      <c r="C75" s="16" t="n">
        <v>22.4390243902439</v>
      </c>
      <c r="D75" s="16" t="n"/>
      <c r="E75" s="17">
        <f>IFERROR(C75-D75,"")</f>
        <v/>
      </c>
    </row>
    <row r="76" ht="21.75" customHeight="1" s="52">
      <c r="A76" s="42" t="n"/>
      <c r="B76" s="42" t="inlineStr">
        <is>
          <t>LMIB%</t>
        </is>
      </c>
      <c r="C76" s="16" t="n">
        <v>35.12195121951219</v>
      </c>
      <c r="D76" s="16" t="n"/>
      <c r="E76" s="17">
        <f>IFERROR(C76-D76,"")</f>
        <v/>
      </c>
    </row>
    <row r="77">
      <c r="A77" s="42" t="n"/>
      <c r="B77" s="42" t="inlineStr">
        <is>
          <t>LMIB$</t>
        </is>
      </c>
      <c r="C77" s="16" t="n">
        <v>16420000</v>
      </c>
      <c r="D77" s="16" t="n"/>
      <c r="E77" s="17">
        <f>IFERROR(C77-D77,"")</f>
        <v/>
      </c>
    </row>
    <row r="78">
      <c r="A78" s="42" t="n"/>
      <c r="B78" s="42" t="inlineStr">
        <is>
          <t>MMCT%</t>
        </is>
      </c>
      <c r="C78" s="16" t="n">
        <v>25.36585365853659</v>
      </c>
      <c r="D78" s="16" t="n"/>
      <c r="E78" s="17">
        <f>IFERROR(C78-D78,"")</f>
        <v/>
      </c>
    </row>
    <row r="79">
      <c r="A79" s="42" t="n"/>
      <c r="B79" s="42" t="inlineStr">
        <is>
          <t>MINB%</t>
        </is>
      </c>
      <c r="C79" s="55" t="n">
        <v>24.87804878048781</v>
      </c>
      <c r="D79" s="30" t="n"/>
      <c r="E79">
        <f>IFERROR(C79-D79,"")</f>
        <v/>
      </c>
    </row>
    <row r="80">
      <c r="B80" s="42" t="inlineStr">
        <is>
          <t>Asian%</t>
        </is>
      </c>
      <c r="C80" s="16" t="n">
        <v>4.878048780487805</v>
      </c>
      <c r="D80" s="31" t="n"/>
      <c r="E80" s="17">
        <f>IFERROR(C80-D80,"")</f>
        <v/>
      </c>
    </row>
    <row r="81">
      <c r="B81" s="42" t="inlineStr">
        <is>
          <t>Black%</t>
        </is>
      </c>
      <c r="C81" s="16" t="n">
        <v>13.90243902439025</v>
      </c>
      <c r="D81" s="31" t="n"/>
      <c r="E81" s="17">
        <f>IFERROR(C81-D81,"")</f>
        <v/>
      </c>
    </row>
    <row r="82">
      <c r="B82" s="42" t="inlineStr">
        <is>
          <t>Native American%</t>
        </is>
      </c>
      <c r="C82" s="57" t="n">
        <v>0.7317073170731708</v>
      </c>
      <c r="D82" s="58" t="n"/>
      <c r="E82" s="17">
        <f>IFERROR(C82-D82,"")</f>
        <v/>
      </c>
    </row>
    <row r="83">
      <c r="B83" s="42" t="inlineStr">
        <is>
          <t>HoPI%</t>
        </is>
      </c>
      <c r="C83" s="16" t="n">
        <v>0.2439024390243902</v>
      </c>
      <c r="D83" s="31" t="n"/>
      <c r="E83" s="17">
        <f>IFERROR(C83-D83,"")</f>
        <v/>
      </c>
    </row>
    <row r="84">
      <c r="B84" s="42" t="inlineStr">
        <is>
          <t>Hispanic%</t>
        </is>
      </c>
      <c r="C84" s="16" t="n">
        <v>5.121951219512195</v>
      </c>
      <c r="D84" s="31" t="n"/>
      <c r="E84" s="17">
        <f>IFERROR(C84-D84,"")</f>
        <v/>
      </c>
    </row>
    <row r="85">
      <c r="A85" t="inlineStr">
        <is>
          <t>Houston-The Woodlands-Sugar Land, TX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442</v>
      </c>
      <c r="D86" s="31" t="n"/>
      <c r="E86" s="17">
        <f>D86-E86</f>
        <v/>
      </c>
    </row>
    <row r="87">
      <c r="B87" s="42" t="inlineStr">
        <is>
          <t xml:space="preserve">LMICT% </t>
        </is>
      </c>
      <c r="C87" s="16" t="n">
        <v>14.70588235294118</v>
      </c>
      <c r="D87" s="31" t="n"/>
      <c r="E87" s="17">
        <f>IFERROR(C87-D87,"")</f>
        <v/>
      </c>
    </row>
    <row r="88">
      <c r="B88" s="42" t="inlineStr">
        <is>
          <t>LMIB%</t>
        </is>
      </c>
      <c r="C88" s="16" t="n">
        <v>7.918552036199094</v>
      </c>
      <c r="D88" s="31" t="n"/>
      <c r="E88" s="17">
        <f>IFERROR(C88-D88,"")</f>
        <v/>
      </c>
    </row>
    <row r="89">
      <c r="B89" s="42" t="inlineStr">
        <is>
          <t>LMIB$</t>
        </is>
      </c>
      <c r="C89" s="16" t="n">
        <v>6245000</v>
      </c>
      <c r="D89" s="31" t="n"/>
      <c r="E89" s="17">
        <f>IFERROR(C89-D89,"")</f>
        <v/>
      </c>
    </row>
    <row r="90">
      <c r="A90" s="42" t="n"/>
      <c r="B90" s="42" t="inlineStr">
        <is>
          <t>MMCT%</t>
        </is>
      </c>
      <c r="C90" s="55" t="n">
        <v>42.76018099547511</v>
      </c>
      <c r="D90" s="30" t="n"/>
      <c r="E90">
        <f>IFERROR(C90-D90,"")</f>
        <v/>
      </c>
    </row>
    <row r="91">
      <c r="B91" s="42" t="inlineStr">
        <is>
          <t>MINB%</t>
        </is>
      </c>
      <c r="C91" s="16" t="n">
        <v>34.38914027149321</v>
      </c>
      <c r="D91" s="31" t="n"/>
      <c r="E91" s="17">
        <f>IFERROR(C91-D91,"")</f>
        <v/>
      </c>
    </row>
    <row r="92">
      <c r="B92" s="42" t="inlineStr">
        <is>
          <t>Asian%</t>
        </is>
      </c>
      <c r="C92" s="16" t="n">
        <v>9.049773755656108</v>
      </c>
      <c r="D92" s="31" t="n"/>
      <c r="E92" s="17">
        <f>IFERROR(C92-D92,"")</f>
        <v/>
      </c>
    </row>
    <row r="93">
      <c r="B93" s="42" t="inlineStr">
        <is>
          <t>Black%</t>
        </is>
      </c>
      <c r="C93" s="57" t="n">
        <v>5.203619909502263</v>
      </c>
      <c r="D93" s="58" t="n"/>
      <c r="E93" s="17">
        <f>IFERROR(C93-D93,"")</f>
        <v/>
      </c>
    </row>
    <row r="94">
      <c r="B94" s="42" t="inlineStr">
        <is>
          <t>Native American%</t>
        </is>
      </c>
      <c r="C94" s="16" t="n">
        <v>0</v>
      </c>
      <c r="D94" s="31" t="n"/>
      <c r="E94" s="17">
        <f>IFERROR(C94-D94,"")</f>
        <v/>
      </c>
    </row>
    <row r="95">
      <c r="B95" s="42" t="inlineStr">
        <is>
          <t>HoPI%</t>
        </is>
      </c>
      <c r="C95" s="16" t="n">
        <v>0</v>
      </c>
      <c r="D95" s="31" t="n"/>
      <c r="E95" s="17">
        <f>IFERROR(C95-D95,"")</f>
        <v/>
      </c>
    </row>
    <row r="96">
      <c r="B96" s="42" t="inlineStr">
        <is>
          <t>Hispanic%</t>
        </is>
      </c>
      <c r="C96" s="16" t="n">
        <v>20.13574660633484</v>
      </c>
      <c r="D96" s="31" t="n"/>
      <c r="E96" s="17">
        <f>IFERROR(C96-D96,"")</f>
        <v/>
      </c>
    </row>
    <row r="97">
      <c r="A97" t="inlineStr">
        <is>
          <t>Louisville/Jefferson County, KY-IN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902</v>
      </c>
      <c r="D98" s="31" t="n"/>
      <c r="E98" s="17">
        <f>D98-E98</f>
        <v/>
      </c>
    </row>
    <row r="99">
      <c r="B99" s="42" t="inlineStr">
        <is>
          <t xml:space="preserve">LMICT% </t>
        </is>
      </c>
      <c r="C99" s="16" t="n">
        <v>16.85144124168514</v>
      </c>
      <c r="D99" s="31" t="n"/>
      <c r="E99" s="17">
        <f>IFERROR(C99-D99,"")</f>
        <v/>
      </c>
    </row>
    <row r="100">
      <c r="B100" s="42" t="inlineStr">
        <is>
          <t>LMIB%</t>
        </is>
      </c>
      <c r="C100" s="16" t="n">
        <v>41.7960088691796</v>
      </c>
      <c r="D100" s="31" t="n"/>
      <c r="E100" s="17">
        <f>IFERROR(C100-D100,"")</f>
        <v/>
      </c>
    </row>
    <row r="101">
      <c r="A101" s="42" t="n"/>
      <c r="B101" s="42" t="inlineStr">
        <is>
          <t>LMIB$</t>
        </is>
      </c>
      <c r="C101" s="55" t="n">
        <v>58855000</v>
      </c>
      <c r="D101" s="30" t="n"/>
      <c r="E101">
        <f>IFERROR(C101-D101,"")</f>
        <v/>
      </c>
    </row>
    <row r="102">
      <c r="B102" s="42" t="inlineStr">
        <is>
          <t>MMCT%</t>
        </is>
      </c>
      <c r="C102" s="16" t="n">
        <v>8.093126385809313</v>
      </c>
      <c r="D102" s="31" t="n"/>
      <c r="E102" s="17">
        <f>IFERROR(C102-D102,"")</f>
        <v/>
      </c>
    </row>
    <row r="103">
      <c r="B103" s="42" t="inlineStr">
        <is>
          <t>MINB%</t>
        </is>
      </c>
      <c r="C103" s="16" t="n">
        <v>21.84035476718404</v>
      </c>
      <c r="D103" s="31" t="n"/>
      <c r="E103" s="17">
        <f>IFERROR(C103-D103,"")</f>
        <v/>
      </c>
    </row>
    <row r="104">
      <c r="B104" s="42" t="inlineStr">
        <is>
          <t>Asian%</t>
        </is>
      </c>
      <c r="C104" s="57" t="n">
        <v>7.87139689578714</v>
      </c>
      <c r="D104" s="58" t="n"/>
      <c r="E104" s="17">
        <f>IFERROR(C104-D104,"")</f>
        <v/>
      </c>
    </row>
    <row r="105">
      <c r="B105" s="42" t="inlineStr">
        <is>
          <t>Black%</t>
        </is>
      </c>
      <c r="C105" s="16" t="n">
        <v>11.08647450110865</v>
      </c>
      <c r="D105" s="31" t="n"/>
      <c r="E105" s="17">
        <f>IFERROR(C105-D105,"")</f>
        <v/>
      </c>
    </row>
    <row r="106">
      <c r="B106" s="42" t="inlineStr">
        <is>
          <t>Native American%</t>
        </is>
      </c>
      <c r="C106" s="16" t="n">
        <v>0</v>
      </c>
      <c r="D106" s="31" t="n"/>
      <c r="E106" s="17">
        <f>IFERROR(C106-D106,"")</f>
        <v/>
      </c>
    </row>
    <row r="107">
      <c r="B107" s="42" t="inlineStr">
        <is>
          <t>HoPI%</t>
        </is>
      </c>
      <c r="C107" s="16" t="n">
        <v>0</v>
      </c>
      <c r="D107" s="31" t="n"/>
      <c r="E107" s="17">
        <f>IFERROR(C107-D107,"")</f>
        <v/>
      </c>
    </row>
    <row r="108">
      <c r="B108" s="42" t="inlineStr">
        <is>
          <t>Hispanic%</t>
        </is>
      </c>
      <c r="C108" s="16" t="n">
        <v>2.882483370288248</v>
      </c>
      <c r="D108" s="31" t="n"/>
      <c r="E108" s="17">
        <f>IFERROR(C108-D108,"")</f>
        <v/>
      </c>
    </row>
    <row r="109">
      <c r="A109" t="inlineStr">
        <is>
          <t>Miami-Fort Lauderdale-Pompano Beach, FL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478</v>
      </c>
      <c r="D110" s="31" t="n"/>
      <c r="E110" s="17">
        <f>D110-E110</f>
        <v/>
      </c>
    </row>
    <row r="111">
      <c r="B111" s="42" t="inlineStr">
        <is>
          <t xml:space="preserve">LMICT% </t>
        </is>
      </c>
      <c r="C111" s="16" t="n">
        <v>21.54811715481172</v>
      </c>
      <c r="D111" s="31" t="n"/>
      <c r="E111" s="17">
        <f>IFERROR(C111-D111,"")</f>
        <v/>
      </c>
    </row>
    <row r="112">
      <c r="A112" s="42" t="n"/>
      <c r="B112" s="42" t="inlineStr">
        <is>
          <t>LMIB%</t>
        </is>
      </c>
      <c r="C112" s="55" t="n">
        <v>18.82845188284519</v>
      </c>
      <c r="D112" s="30" t="n"/>
      <c r="E112">
        <f>IFERROR(C112-D112,"")</f>
        <v/>
      </c>
    </row>
    <row r="113">
      <c r="B113" s="42" t="inlineStr">
        <is>
          <t>LMIB$</t>
        </is>
      </c>
      <c r="C113" s="16" t="n">
        <v>21940000</v>
      </c>
      <c r="D113" s="31" t="n"/>
      <c r="E113" s="17">
        <f>IFERROR(C113-D113,"")</f>
        <v/>
      </c>
    </row>
    <row r="114">
      <c r="B114" s="42" t="inlineStr">
        <is>
          <t>MMCT%</t>
        </is>
      </c>
      <c r="C114" s="16" t="n">
        <v>23.22175732217573</v>
      </c>
      <c r="D114" s="31" t="n"/>
      <c r="E114" s="17">
        <f>IFERROR(C114-D114,"")</f>
        <v/>
      </c>
    </row>
    <row r="115">
      <c r="B115" s="42" t="inlineStr">
        <is>
          <t>MINB%</t>
        </is>
      </c>
      <c r="C115" s="57" t="n">
        <v>25.10460251046025</v>
      </c>
      <c r="D115" s="58" t="n"/>
      <c r="E115" s="17">
        <f>IFERROR(C115-D115,"")</f>
        <v/>
      </c>
    </row>
    <row r="116">
      <c r="B116" s="42" t="inlineStr">
        <is>
          <t>Asian%</t>
        </is>
      </c>
      <c r="C116" s="16" t="n">
        <v>2.510460251046025</v>
      </c>
      <c r="D116" s="31" t="n"/>
      <c r="E116" s="17">
        <f>IFERROR(C116-D116,"")</f>
        <v/>
      </c>
    </row>
    <row r="117">
      <c r="B117" s="42" t="inlineStr">
        <is>
          <t>Black%</t>
        </is>
      </c>
      <c r="C117" s="16" t="n">
        <v>5.857740585774058</v>
      </c>
      <c r="D117" s="31" t="n"/>
      <c r="E117" s="17">
        <f>IFERROR(C117-D117,"")</f>
        <v/>
      </c>
    </row>
    <row r="118">
      <c r="B118" s="42" t="inlineStr">
        <is>
          <t>Native American%</t>
        </is>
      </c>
      <c r="C118" s="16" t="n">
        <v>0</v>
      </c>
      <c r="D118" s="31" t="n"/>
      <c r="E118" s="17">
        <f>IFERROR(C118-D118,"")</f>
        <v/>
      </c>
    </row>
    <row r="119">
      <c r="B119" s="42" t="inlineStr">
        <is>
          <t>HoPI%</t>
        </is>
      </c>
      <c r="C119" s="16" t="n">
        <v>0</v>
      </c>
      <c r="D119" s="31" t="n"/>
      <c r="E119" s="17">
        <f>IFERROR(C119-D119,"")</f>
        <v/>
      </c>
    </row>
    <row r="120">
      <c r="B120" s="42" t="inlineStr">
        <is>
          <t>Hispanic%</t>
        </is>
      </c>
      <c r="C120" s="16" t="n">
        <v>16.73640167364017</v>
      </c>
      <c r="D120" s="31" t="n"/>
      <c r="E120" s="17">
        <f>IFERROR(C120-D120,"")</f>
        <v/>
      </c>
    </row>
    <row r="121">
      <c r="A121" t="inlineStr">
        <is>
          <t>Philadelphia-Camden-Wilmington, PA-NJ-DE-MD</t>
        </is>
      </c>
      <c r="B121" s="42" t="n"/>
      <c r="C121" s="16" t="n"/>
      <c r="D121" s="31" t="n"/>
      <c r="E121" s="17">
        <f>D121-E121</f>
        <v/>
      </c>
    </row>
    <row r="122">
      <c r="B122" s="42" t="inlineStr">
        <is>
          <t>Loans</t>
        </is>
      </c>
      <c r="C122" s="16" t="n">
        <v>801</v>
      </c>
      <c r="D122" s="31" t="n"/>
      <c r="E122" s="17">
        <f>D122-E122</f>
        <v/>
      </c>
    </row>
    <row r="123">
      <c r="A123" s="42" t="n"/>
      <c r="B123" s="42" t="inlineStr">
        <is>
          <t xml:space="preserve">LMICT% </t>
        </is>
      </c>
      <c r="C123" s="55" t="n">
        <v>25.0936329588015</v>
      </c>
      <c r="D123" s="30" t="n"/>
      <c r="E123">
        <f>IFERROR(C123-D123,"")</f>
        <v/>
      </c>
    </row>
    <row r="124">
      <c r="B124" s="42" t="inlineStr">
        <is>
          <t>LMIB%</t>
        </is>
      </c>
      <c r="C124" s="16" t="n">
        <v>27.84019975031211</v>
      </c>
      <c r="D124" s="31" t="n"/>
      <c r="E124" s="17">
        <f>IFERROR(C124-D124,"")</f>
        <v/>
      </c>
    </row>
    <row r="125">
      <c r="B125" s="42" t="inlineStr">
        <is>
          <t>LMIB$</t>
        </is>
      </c>
      <c r="C125" s="16" t="n">
        <v>40935000</v>
      </c>
      <c r="D125" s="31" t="n"/>
      <c r="E125" s="17">
        <f>IFERROR(C125-D125,"")</f>
        <v/>
      </c>
    </row>
    <row r="126">
      <c r="B126" s="42" t="inlineStr">
        <is>
          <t>MMCT%</t>
        </is>
      </c>
      <c r="C126" s="57" t="n">
        <v>34.95630461922597</v>
      </c>
      <c r="D126" s="58" t="n"/>
      <c r="E126" s="17">
        <f>IFERROR(C126-D126,"")</f>
        <v/>
      </c>
    </row>
    <row r="127">
      <c r="B127" s="42" t="inlineStr">
        <is>
          <t>MINB%</t>
        </is>
      </c>
      <c r="C127" s="16" t="n">
        <v>28.46441947565543</v>
      </c>
      <c r="D127" s="31" t="n"/>
      <c r="E127" s="17">
        <f>IFERROR(C127-D127,"")</f>
        <v/>
      </c>
    </row>
    <row r="128">
      <c r="B128" s="42" t="inlineStr">
        <is>
          <t>Asian%</t>
        </is>
      </c>
      <c r="C128" s="16" t="n">
        <v>8.364544319600499</v>
      </c>
      <c r="D128" s="31" t="n"/>
      <c r="E128" s="17">
        <f>IFERROR(C128-D128,"")</f>
        <v/>
      </c>
    </row>
    <row r="129">
      <c r="B129" s="42" t="inlineStr">
        <is>
          <t>Black%</t>
        </is>
      </c>
      <c r="C129" s="16" t="n">
        <v>14.60674157303371</v>
      </c>
      <c r="D129" s="31" t="n"/>
      <c r="E129" s="17">
        <f>IFERROR(C129-D129,"")</f>
        <v/>
      </c>
    </row>
    <row r="130">
      <c r="B130" s="42" t="inlineStr">
        <is>
          <t>Native American%</t>
        </is>
      </c>
      <c r="C130" s="16" t="n">
        <v>0</v>
      </c>
      <c r="D130" s="31" t="n"/>
      <c r="E130" s="17">
        <f>IFERROR(C130-D130,"")</f>
        <v/>
      </c>
    </row>
    <row r="131">
      <c r="B131" s="42" t="inlineStr">
        <is>
          <t>HoPI%</t>
        </is>
      </c>
      <c r="C131" s="16" t="n">
        <v>0</v>
      </c>
      <c r="D131" s="31" t="n"/>
      <c r="E131" s="17">
        <f>IFERROR(C131-D131,"")</f>
        <v/>
      </c>
    </row>
    <row r="132">
      <c r="B132" s="42" t="inlineStr">
        <is>
          <t>Hispanic%</t>
        </is>
      </c>
      <c r="C132" s="16" t="n">
        <v>5.493133583021224</v>
      </c>
      <c r="D132" s="31" t="n"/>
      <c r="E132" s="17">
        <f>IFERROR(C132-D132,"")</f>
        <v/>
      </c>
    </row>
    <row r="133">
      <c r="A133" t="inlineStr">
        <is>
          <t>Phoenix-Mesa-Chandler, AZ</t>
        </is>
      </c>
      <c r="B133" s="42" t="n"/>
      <c r="C133" s="16" t="n"/>
      <c r="D133" s="31" t="n"/>
      <c r="E133" s="17">
        <f>D133-E133</f>
        <v/>
      </c>
    </row>
    <row r="134">
      <c r="A134" s="42" t="n"/>
      <c r="B134" s="42" t="inlineStr">
        <is>
          <t>Loans</t>
        </is>
      </c>
      <c r="C134" s="55" t="n">
        <v>446</v>
      </c>
      <c r="D134" s="30" t="n"/>
    </row>
    <row r="135">
      <c r="B135" s="42" t="inlineStr">
        <is>
          <t xml:space="preserve">LMICT% </t>
        </is>
      </c>
      <c r="C135" s="16" t="n">
        <v>10.08968609865471</v>
      </c>
      <c r="D135" s="31" t="n"/>
      <c r="E135" s="17">
        <f>IFERROR(C135-D135,"")</f>
        <v/>
      </c>
    </row>
    <row r="136">
      <c r="B136" s="42" t="inlineStr">
        <is>
          <t>LMIB%</t>
        </is>
      </c>
      <c r="C136" s="16" t="n">
        <v>7.847533632286996</v>
      </c>
      <c r="D136" s="31" t="n"/>
      <c r="E136" s="17">
        <f>IFERROR(C136-D136,"")</f>
        <v/>
      </c>
    </row>
    <row r="137">
      <c r="B137" s="42" t="inlineStr">
        <is>
          <t>LMIB$</t>
        </is>
      </c>
      <c r="C137" s="57" t="n">
        <v>11185000</v>
      </c>
      <c r="D137" s="58" t="n"/>
      <c r="E137" s="17">
        <f>IFERROR(C137-D137,"")</f>
        <v/>
      </c>
    </row>
    <row r="138">
      <c r="B138" s="42" t="inlineStr">
        <is>
          <t>MMCT%</t>
        </is>
      </c>
      <c r="C138" s="16" t="n">
        <v>10.31390134529148</v>
      </c>
      <c r="D138" s="31" t="n"/>
      <c r="E138" s="17">
        <f>IFERROR(C138-D138,"")</f>
        <v/>
      </c>
    </row>
    <row r="139">
      <c r="B139" s="42" t="inlineStr">
        <is>
          <t>MINB%</t>
        </is>
      </c>
      <c r="C139" s="16" t="n">
        <v>20.40358744394619</v>
      </c>
      <c r="D139" s="31" t="n"/>
      <c r="E139" s="17">
        <f>IFERROR(C139-D139,"")</f>
        <v/>
      </c>
    </row>
    <row r="140">
      <c r="B140" s="42" t="inlineStr">
        <is>
          <t>Asian%</t>
        </is>
      </c>
      <c r="C140" s="16" t="n">
        <v>8.968609865470851</v>
      </c>
      <c r="D140" s="31" t="n"/>
      <c r="E140" s="17">
        <f>IFERROR(C140-D140,"")</f>
        <v/>
      </c>
    </row>
    <row r="141">
      <c r="B141" s="42" t="inlineStr">
        <is>
          <t>Black%</t>
        </is>
      </c>
      <c r="C141" s="16" t="n">
        <v>2.017937219730942</v>
      </c>
      <c r="D141" s="31" t="n"/>
      <c r="E141" s="17">
        <f>IFERROR(C141-D141,"")</f>
        <v/>
      </c>
    </row>
    <row r="142">
      <c r="B142" s="42" t="inlineStr">
        <is>
          <t>Native American%</t>
        </is>
      </c>
      <c r="C142" s="16" t="n">
        <v>0.4484304932735426</v>
      </c>
      <c r="D142" s="31" t="n"/>
      <c r="E142" s="17">
        <f>IFERROR(C142-D142,"")</f>
        <v/>
      </c>
    </row>
    <row r="143">
      <c r="B143" s="42" t="inlineStr">
        <is>
          <t>HoPI%</t>
        </is>
      </c>
      <c r="C143" s="16" t="n">
        <v>0</v>
      </c>
      <c r="D143" s="31" t="n"/>
      <c r="E143" s="17">
        <f>IFERROR(C143-D143,"")</f>
        <v/>
      </c>
    </row>
    <row r="144">
      <c r="B144" s="42" t="inlineStr">
        <is>
          <t>Hispanic%</t>
        </is>
      </c>
      <c r="C144" s="16" t="n">
        <v>8.968609865470851</v>
      </c>
      <c r="D144" s="31" t="n"/>
      <c r="E144" s="17">
        <f>IFERROR(C144-D144,"")</f>
        <v/>
      </c>
    </row>
    <row r="145">
      <c r="A145" s="42" t="inlineStr">
        <is>
          <t>Pittsburgh, PA</t>
        </is>
      </c>
      <c r="B145" s="42" t="n"/>
      <c r="C145" s="13" t="n"/>
      <c r="D145" s="30" t="n"/>
    </row>
    <row r="146">
      <c r="B146" s="42" t="inlineStr">
        <is>
          <t>Loans</t>
        </is>
      </c>
      <c r="C146" s="16" t="n">
        <v>2956</v>
      </c>
      <c r="D146" s="31" t="n"/>
      <c r="E146" s="17">
        <f>D146-E146</f>
        <v/>
      </c>
    </row>
    <row r="147">
      <c r="B147" s="42" t="inlineStr">
        <is>
          <t xml:space="preserve">LMICT% </t>
        </is>
      </c>
      <c r="C147" s="16" t="n">
        <v>17.42219215155616</v>
      </c>
      <c r="D147" s="31" t="n"/>
      <c r="E147" s="17">
        <f>IFERROR(C147-D147,"")</f>
        <v/>
      </c>
    </row>
    <row r="148">
      <c r="B148" s="42" t="inlineStr">
        <is>
          <t>LMIB%</t>
        </is>
      </c>
      <c r="C148" s="57" t="n">
        <v>34.06630581867388</v>
      </c>
      <c r="D148" s="58" t="n"/>
      <c r="E148" s="17">
        <f>IFERROR(C148-D148,"")</f>
        <v/>
      </c>
    </row>
    <row r="149">
      <c r="B149" s="42" t="inlineStr">
        <is>
          <t>LMIB$</t>
        </is>
      </c>
      <c r="C149" s="16" t="n">
        <v>146725000</v>
      </c>
      <c r="D149" s="31" t="n"/>
      <c r="E149" s="17">
        <f>IFERROR(C149-D149,"")</f>
        <v/>
      </c>
    </row>
    <row r="150">
      <c r="B150" s="42" t="inlineStr">
        <is>
          <t>MMCT%</t>
        </is>
      </c>
      <c r="C150" s="16" t="n">
        <v>5.378890392422192</v>
      </c>
      <c r="D150" s="31" t="n"/>
      <c r="E150" s="17">
        <f>IFERROR(C150-D150,"")</f>
        <v/>
      </c>
    </row>
    <row r="151">
      <c r="B151" s="42" t="inlineStr">
        <is>
          <t>MINB%</t>
        </is>
      </c>
      <c r="C151" s="16" t="n">
        <v>11.53585926928282</v>
      </c>
      <c r="D151" s="31" t="n"/>
      <c r="E151" s="17">
        <f>IFERROR(C151-D151,"")</f>
        <v/>
      </c>
    </row>
    <row r="152">
      <c r="B152" s="42" t="inlineStr">
        <is>
          <t>Asian%</t>
        </is>
      </c>
      <c r="C152" s="16" t="n">
        <v>4.972936400541272</v>
      </c>
      <c r="D152" s="31" t="n"/>
      <c r="E152" s="17">
        <f>IFERROR(C152-D152,"")</f>
        <v/>
      </c>
    </row>
    <row r="153">
      <c r="B153" s="42" t="inlineStr">
        <is>
          <t>Black%</t>
        </is>
      </c>
      <c r="C153" s="16" t="n">
        <v>4.634641407307171</v>
      </c>
      <c r="D153" s="31" t="n"/>
      <c r="E153" s="17">
        <f>IFERROR(C153-D153,"")</f>
        <v/>
      </c>
    </row>
    <row r="154">
      <c r="B154" s="42" t="inlineStr">
        <is>
          <t>Native American%</t>
        </is>
      </c>
      <c r="C154" s="16" t="n">
        <v>0.2029769959404601</v>
      </c>
      <c r="D154" s="31" t="n"/>
      <c r="E154" s="17">
        <f>IFERROR(C154-D154,"")</f>
        <v/>
      </c>
    </row>
    <row r="155">
      <c r="B155" s="42" t="inlineStr">
        <is>
          <t>HoPI%</t>
        </is>
      </c>
      <c r="C155" s="16" t="n">
        <v>0.03382949932341001</v>
      </c>
      <c r="D155" s="31" t="n"/>
      <c r="E155" s="17">
        <f>IFERROR(C155-D155,"")</f>
        <v/>
      </c>
    </row>
    <row r="156">
      <c r="A156" s="42" t="n"/>
      <c r="B156" s="42" t="inlineStr">
        <is>
          <t>Hispanic%</t>
        </is>
      </c>
      <c r="C156" s="55" t="n">
        <v>1.691474966170501</v>
      </c>
      <c r="D156" s="30" t="n"/>
      <c r="E156">
        <f>IFERROR(C156-D156,"")</f>
        <v/>
      </c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5">
    <mergeCell ref="A585:A595"/>
    <mergeCell ref="A277:A287"/>
    <mergeCell ref="A486:A496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519:A529"/>
    <mergeCell ref="A189:A199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56:A166"/>
    <mergeCell ref="A321:A331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C2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8" t="n"/>
      <c r="B1" s="68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6276</v>
      </c>
      <c r="D2" s="13" t="n">
        <v>172783</v>
      </c>
    </row>
    <row r="3">
      <c r="B3" s="42" t="inlineStr">
        <is>
          <t xml:space="preserve">LMICT% </t>
        </is>
      </c>
      <c r="C3" s="16" t="n">
        <v>18.13256851497769</v>
      </c>
      <c r="D3" s="16" t="n">
        <v>21.8800460693471</v>
      </c>
      <c r="E3" s="17">
        <f>C3-D3</f>
        <v/>
      </c>
    </row>
    <row r="4">
      <c r="B4" s="42" t="inlineStr">
        <is>
          <t>LMIB%</t>
        </is>
      </c>
      <c r="C4" s="16" t="n">
        <v>23.96430847673678</v>
      </c>
      <c r="D4" s="16" t="n">
        <v>26.99686890492699</v>
      </c>
      <c r="E4" s="17">
        <f>C4-D4</f>
        <v/>
      </c>
    </row>
    <row r="5">
      <c r="B5" s="42" t="inlineStr">
        <is>
          <t>LMIB$</t>
        </is>
      </c>
      <c r="C5" s="57" t="n">
        <v>443310000</v>
      </c>
      <c r="D5" s="57" t="n">
        <v>13869070000</v>
      </c>
      <c r="E5" s="17" t="n"/>
    </row>
    <row r="6">
      <c r="B6" s="42" t="inlineStr">
        <is>
          <t>MMCT%</t>
        </is>
      </c>
      <c r="C6" s="16" t="n">
        <v>12.95411089866157</v>
      </c>
      <c r="D6" s="16" t="n">
        <v>17.89007020366587</v>
      </c>
      <c r="E6" s="17">
        <f>C6-D6</f>
        <v/>
      </c>
    </row>
    <row r="7">
      <c r="B7" s="42" t="inlineStr">
        <is>
          <t>MINB%</t>
        </is>
      </c>
      <c r="C7" s="16" t="n">
        <v>29.90758444869343</v>
      </c>
      <c r="D7" s="16" t="n">
        <v>25.21428612768618</v>
      </c>
      <c r="E7" s="17">
        <f>C7-D7</f>
        <v/>
      </c>
    </row>
    <row r="8">
      <c r="B8" s="42" t="inlineStr">
        <is>
          <t>Asian%</t>
        </is>
      </c>
      <c r="C8" s="16" t="n">
        <v>7.966857871255577</v>
      </c>
      <c r="D8" s="16" t="n">
        <v>5.649282626184289</v>
      </c>
      <c r="E8" s="17">
        <f>C8-D8</f>
        <v/>
      </c>
    </row>
    <row r="9">
      <c r="B9" s="42" t="inlineStr">
        <is>
          <t>Black%</t>
        </is>
      </c>
      <c r="C9" s="16" t="n">
        <v>4.461440407903123</v>
      </c>
      <c r="D9" s="16" t="n">
        <v>3.19533750426836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0.3186743148502231</v>
      </c>
      <c r="D10" s="16" t="n">
        <v>0.5961234612201433</v>
      </c>
      <c r="E10" s="17">
        <f>C10-D10</f>
        <v/>
      </c>
    </row>
    <row r="11">
      <c r="B11" s="42" t="inlineStr">
        <is>
          <t>HoPI%</t>
        </is>
      </c>
      <c r="C11" s="16" t="n">
        <v>0.1115360101975781</v>
      </c>
      <c r="D11" s="16" t="n">
        <v>0.1898334905633078</v>
      </c>
      <c r="E11" s="17">
        <f>C11-D11</f>
        <v/>
      </c>
    </row>
    <row r="12">
      <c r="B12" s="42" t="inlineStr">
        <is>
          <t>Hispanic%</t>
        </is>
      </c>
      <c r="C12" s="16" t="n">
        <v>17.04907584448694</v>
      </c>
      <c r="D12" s="16" t="n">
        <v>15.58370904545007</v>
      </c>
      <c r="E12" s="17">
        <f>C12-D12</f>
        <v/>
      </c>
    </row>
    <row r="13">
      <c r="A13" s="43" t="inlineStr">
        <is>
          <t>Boulder, CO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420</v>
      </c>
      <c r="D14" s="16" t="n"/>
      <c r="E14" s="17">
        <f>C14-D14</f>
        <v/>
      </c>
    </row>
    <row r="15">
      <c r="B15" s="42" t="inlineStr">
        <is>
          <t xml:space="preserve">LMICT% </t>
        </is>
      </c>
      <c r="C15" s="16" t="n">
        <v>19.52380952380953</v>
      </c>
      <c r="D15" s="16" t="n"/>
      <c r="E15" s="17">
        <f>IFERROR(C15-D15,"")</f>
        <v/>
      </c>
    </row>
    <row r="16">
      <c r="B16" s="42" t="inlineStr">
        <is>
          <t>LMIB%</t>
        </is>
      </c>
      <c r="C16" s="57" t="n">
        <v>30.47619047619048</v>
      </c>
      <c r="D16" s="57" t="n"/>
      <c r="E16" s="17">
        <f>IFERROR(C16-D16,"")</f>
        <v/>
      </c>
    </row>
    <row r="17">
      <c r="B17" s="42" t="inlineStr">
        <is>
          <t>LMIB$</t>
        </is>
      </c>
      <c r="C17" s="16" t="n">
        <v>45020000</v>
      </c>
      <c r="D17" s="16" t="n"/>
      <c r="E17" s="17">
        <f>IFERROR(C17-D17,"")</f>
        <v/>
      </c>
    </row>
    <row r="18">
      <c r="B18" s="42" t="inlineStr">
        <is>
          <t>MMCT%</t>
        </is>
      </c>
      <c r="C18" s="16" t="n">
        <v>1.19047619047619</v>
      </c>
      <c r="D18" s="16" t="n"/>
      <c r="E18" s="17">
        <f>IFERROR(C18-D18,"")</f>
        <v/>
      </c>
    </row>
    <row r="19">
      <c r="B19" s="42" t="inlineStr">
        <is>
          <t>MINB%</t>
        </is>
      </c>
      <c r="C19" s="16" t="n">
        <v>18.09523809523809</v>
      </c>
      <c r="D19" s="16" t="n"/>
      <c r="E19" s="17">
        <f>IFERROR(C19-D19,"")</f>
        <v/>
      </c>
    </row>
    <row r="20">
      <c r="B20" s="42" t="inlineStr">
        <is>
          <t>Asian%</t>
        </is>
      </c>
      <c r="C20" s="16" t="n">
        <v>6.190476190476191</v>
      </c>
      <c r="D20" s="16" t="n"/>
      <c r="E20" s="17">
        <f>IFERROR(C20-D20,"")</f>
        <v/>
      </c>
    </row>
    <row r="21" ht="21.75" customHeight="1" s="52">
      <c r="B21" s="42" t="inlineStr">
        <is>
          <t>Black%</t>
        </is>
      </c>
      <c r="C21" s="16" t="n">
        <v>0.9523809523809524</v>
      </c>
      <c r="D21" s="16" t="n"/>
      <c r="E21" s="17">
        <f>IFERROR(C21-D21,"")</f>
        <v/>
      </c>
    </row>
    <row r="22">
      <c r="B22" s="42" t="inlineStr">
        <is>
          <t>Native American%</t>
        </is>
      </c>
      <c r="C22" s="16" t="n">
        <v>0.2380952380952381</v>
      </c>
      <c r="D22" s="16" t="n"/>
      <c r="E22" s="17">
        <f>IFERROR(C22-D22,"")</f>
        <v/>
      </c>
    </row>
    <row r="23">
      <c r="B23" s="42" t="inlineStr">
        <is>
          <t>HoPI%</t>
        </is>
      </c>
      <c r="C23" s="16" t="n">
        <v>0.2380952380952381</v>
      </c>
      <c r="D23" s="16" t="n"/>
      <c r="E23" s="17">
        <f>IFERROR(C23-D23,"")</f>
        <v/>
      </c>
    </row>
    <row r="24">
      <c r="A24" s="42" t="inlineStr">
        <is>
          <t>Loans</t>
        </is>
      </c>
      <c r="B24" s="42" t="inlineStr">
        <is>
          <t>Hispanic%</t>
        </is>
      </c>
      <c r="C24" s="55" t="n">
        <v>10.47619047619048</v>
      </c>
      <c r="D24" s="13" t="n"/>
      <c r="E24">
        <f>IFERROR(C24-D24,"")</f>
        <v/>
      </c>
    </row>
    <row r="25">
      <c r="A25" t="inlineStr">
        <is>
          <t>Breckenridge, CO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193</v>
      </c>
      <c r="D26" s="16" t="n"/>
      <c r="E26" s="17">
        <f>D26-E26</f>
        <v/>
      </c>
    </row>
    <row r="27">
      <c r="B27" s="42" t="inlineStr">
        <is>
          <t xml:space="preserve">LMICT% </t>
        </is>
      </c>
      <c r="C27" s="57" t="n">
        <v>0</v>
      </c>
      <c r="D27" s="57" t="n"/>
      <c r="E27" s="17">
        <f>IFERROR(C27-D27,"")</f>
        <v/>
      </c>
    </row>
    <row r="28">
      <c r="B28" s="42" t="inlineStr">
        <is>
          <t>LMIB%</t>
        </is>
      </c>
      <c r="C28" s="16" t="n">
        <v>10.88082901554404</v>
      </c>
      <c r="D28" s="16" t="n"/>
      <c r="E28" s="17">
        <f>IFERROR(C28-D28,"")</f>
        <v/>
      </c>
    </row>
    <row r="29">
      <c r="B29" s="42" t="inlineStr">
        <is>
          <t>LMIB$</t>
        </is>
      </c>
      <c r="C29" s="16" t="n">
        <v>9405000</v>
      </c>
      <c r="D29" s="16" t="n"/>
      <c r="E29" s="17">
        <f>IFERROR(C29-D29,"")</f>
        <v/>
      </c>
    </row>
    <row r="30">
      <c r="B30" s="42" t="inlineStr">
        <is>
          <t>MMCT%</t>
        </is>
      </c>
      <c r="C30" s="16" t="n">
        <v>0</v>
      </c>
      <c r="D30" s="16" t="n"/>
      <c r="E30" s="17">
        <f>IFERROR(C30-D30,"")</f>
        <v/>
      </c>
    </row>
    <row r="31">
      <c r="B31" s="42" t="inlineStr">
        <is>
          <t>MINB%</t>
        </is>
      </c>
      <c r="C31" s="16" t="n">
        <v>10.36269430051813</v>
      </c>
      <c r="D31" s="16" t="n"/>
      <c r="E31" s="17">
        <f>IFERROR(C31-D31,"")</f>
        <v/>
      </c>
    </row>
    <row r="32" ht="21.75" customHeight="1" s="52">
      <c r="B32" s="42" t="inlineStr">
        <is>
          <t>Asian%</t>
        </is>
      </c>
      <c r="C32" s="16" t="n">
        <v>2.072538860103627</v>
      </c>
      <c r="D32" s="16" t="n"/>
      <c r="E32" s="17">
        <f>IFERROR(C32-D32,"")</f>
        <v/>
      </c>
    </row>
    <row r="33">
      <c r="B33" s="42" t="inlineStr">
        <is>
          <t>Black%</t>
        </is>
      </c>
      <c r="C33" s="16" t="n">
        <v>0.5181347150259068</v>
      </c>
      <c r="D33" s="16" t="n"/>
      <c r="E33" s="17">
        <f>IFERROR(C33-D33,"")</f>
        <v/>
      </c>
    </row>
    <row r="34">
      <c r="B34" s="42" t="inlineStr">
        <is>
          <t>Native American%</t>
        </is>
      </c>
      <c r="C34" s="16" t="n">
        <v>1.036269430051814</v>
      </c>
      <c r="D34" s="16" t="n"/>
      <c r="E34" s="17">
        <f>IFERROR(C34-D34,"")</f>
        <v/>
      </c>
    </row>
    <row r="35">
      <c r="A35" s="42" t="inlineStr">
        <is>
          <t>Loans</t>
        </is>
      </c>
      <c r="B35" s="42" t="inlineStr">
        <is>
          <t>HoPI%</t>
        </is>
      </c>
      <c r="C35" s="55" t="n">
        <v>0</v>
      </c>
      <c r="D35" s="13" t="n"/>
      <c r="E35">
        <f>IFERROR(C35-D35,"")</f>
        <v/>
      </c>
    </row>
    <row r="36">
      <c r="B36" s="42" t="inlineStr">
        <is>
          <t>Hispanic%</t>
        </is>
      </c>
      <c r="C36" s="16" t="n">
        <v>6.735751295336788</v>
      </c>
      <c r="D36" s="16" t="n"/>
      <c r="E36" s="17">
        <f>IFERROR(C36-D36,"")</f>
        <v/>
      </c>
    </row>
    <row r="37">
      <c r="A37" t="inlineStr">
        <is>
          <t>Colorado Springs, CO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339</v>
      </c>
      <c r="D38" s="57" t="n"/>
      <c r="E38" s="17" t="n"/>
    </row>
    <row r="39">
      <c r="B39" s="42" t="inlineStr">
        <is>
          <t xml:space="preserve">LMICT% </t>
        </is>
      </c>
      <c r="C39" s="16" t="n">
        <v>18.58407079646018</v>
      </c>
      <c r="D39" s="16" t="n"/>
      <c r="E39" s="17">
        <f>IFERROR(C39-D39,"")</f>
        <v/>
      </c>
    </row>
    <row r="40">
      <c r="B40" s="42" t="inlineStr">
        <is>
          <t>LMIB%</t>
        </is>
      </c>
      <c r="C40" s="16" t="n">
        <v>23.30383480825959</v>
      </c>
      <c r="D40" s="16" t="n"/>
      <c r="E40" s="17">
        <f>IFERROR(C40-D40,"")</f>
        <v/>
      </c>
    </row>
    <row r="41">
      <c r="B41" s="42" t="inlineStr">
        <is>
          <t>LMIB$</t>
        </is>
      </c>
      <c r="C41" s="16" t="n">
        <v>21925000</v>
      </c>
      <c r="D41" s="16" t="n"/>
      <c r="E41" s="17">
        <f>IFERROR(C41-D41,"")</f>
        <v/>
      </c>
    </row>
    <row r="42">
      <c r="B42" s="42" t="inlineStr">
        <is>
          <t>MMCT%</t>
        </is>
      </c>
      <c r="C42" s="16" t="n">
        <v>7.374631268436578</v>
      </c>
      <c r="D42" s="16" t="n"/>
      <c r="E42" s="17">
        <f>IFERROR(C42-D42,"")</f>
        <v/>
      </c>
    </row>
    <row r="43" ht="21.75" customHeight="1" s="52">
      <c r="B43" s="42" t="inlineStr">
        <is>
          <t>MINB%</t>
        </is>
      </c>
      <c r="C43" s="16" t="n">
        <v>33.03834808259587</v>
      </c>
      <c r="D43" s="16" t="n"/>
      <c r="E43" s="17">
        <f>IFERROR(C43-D43,"")</f>
        <v/>
      </c>
    </row>
    <row r="44">
      <c r="B44" s="42" t="inlineStr">
        <is>
          <t>Asian%</t>
        </is>
      </c>
      <c r="C44" s="16" t="n">
        <v>7.964601769911504</v>
      </c>
      <c r="D44" s="16" t="n"/>
      <c r="E44" s="17">
        <f>IFERROR(C44-D44,"")</f>
        <v/>
      </c>
    </row>
    <row r="45">
      <c r="B45" s="42" t="inlineStr">
        <is>
          <t>Black%</t>
        </is>
      </c>
      <c r="C45" s="16" t="n">
        <v>5.309734513274337</v>
      </c>
      <c r="D45" s="16" t="n"/>
      <c r="E45" s="17">
        <f>IFERROR(C45-D45,"")</f>
        <v/>
      </c>
    </row>
    <row r="46">
      <c r="A46" s="42" t="inlineStr">
        <is>
          <t>Loans</t>
        </is>
      </c>
      <c r="B46" s="42" t="inlineStr">
        <is>
          <t>Native American%</t>
        </is>
      </c>
      <c r="C46" s="13" t="n">
        <v>0</v>
      </c>
      <c r="D46" s="13" t="n"/>
      <c r="E46">
        <f>IFERROR(C46-D46,"")</f>
        <v/>
      </c>
    </row>
    <row r="47">
      <c r="B47" s="42" t="inlineStr">
        <is>
          <t>HoPI%</t>
        </is>
      </c>
      <c r="C47" s="16" t="n">
        <v>0</v>
      </c>
      <c r="D47" s="16" t="n"/>
      <c r="E47" s="17">
        <f>IFERROR(C47-D47,"")</f>
        <v/>
      </c>
    </row>
    <row r="48">
      <c r="B48" s="42" t="inlineStr">
        <is>
          <t>Hispanic%</t>
        </is>
      </c>
      <c r="C48" s="16" t="n">
        <v>19.76401179941003</v>
      </c>
      <c r="D48" s="16" t="n"/>
      <c r="E48" s="17">
        <f>IFERROR(C48-D48,"")</f>
        <v/>
      </c>
    </row>
    <row r="49">
      <c r="A49" t="inlineStr">
        <is>
          <t>Denver-Aurora-Lakewood, CO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3485</v>
      </c>
      <c r="D50" s="16" t="n"/>
      <c r="E50" s="17">
        <f>D50-E50</f>
        <v/>
      </c>
    </row>
    <row r="51">
      <c r="B51" s="42" t="inlineStr">
        <is>
          <t xml:space="preserve">LMICT% </t>
        </is>
      </c>
      <c r="C51" s="16" t="n">
        <v>22.72596843615495</v>
      </c>
      <c r="D51" s="16" t="n"/>
      <c r="E51" s="17">
        <f>IFERROR(C51-D51,"")</f>
        <v/>
      </c>
    </row>
    <row r="52">
      <c r="B52" s="42" t="inlineStr">
        <is>
          <t>LMIB%</t>
        </is>
      </c>
      <c r="C52" s="16" t="n">
        <v>26.37015781922525</v>
      </c>
      <c r="D52" s="16" t="n"/>
      <c r="E52" s="17">
        <f>IFERROR(C52-D52,"")</f>
        <v/>
      </c>
    </row>
    <row r="53">
      <c r="B53" s="42" t="inlineStr">
        <is>
          <t>LMIB$</t>
        </is>
      </c>
      <c r="C53" s="16" t="n">
        <v>266325000</v>
      </c>
      <c r="D53" s="16" t="n"/>
      <c r="E53" s="17">
        <f>IFERROR(C53-D53,"")</f>
        <v/>
      </c>
    </row>
    <row r="54" ht="21.75" customHeight="1" s="52">
      <c r="B54" s="42" t="inlineStr">
        <is>
          <t>MMCT%</t>
        </is>
      </c>
      <c r="C54" s="16" t="n">
        <v>17.33142037302726</v>
      </c>
      <c r="D54" s="16" t="n"/>
      <c r="E54" s="17">
        <f>IFERROR(C54-D54,"")</f>
        <v/>
      </c>
    </row>
    <row r="55">
      <c r="B55" s="42" t="inlineStr">
        <is>
          <t>MINB%</t>
        </is>
      </c>
      <c r="C55" s="16" t="n">
        <v>35.7819225251076</v>
      </c>
      <c r="D55" s="16" t="n"/>
      <c r="E55" s="17">
        <f>IFERROR(C55-D55,"")</f>
        <v/>
      </c>
    </row>
    <row r="56">
      <c r="B56" s="42" t="inlineStr">
        <is>
          <t>Asian%</t>
        </is>
      </c>
      <c r="C56" s="16" t="n">
        <v>10.10043041606887</v>
      </c>
      <c r="D56" s="16" t="n"/>
      <c r="E56" s="17">
        <f>IFERROR(C56-D56,"")</f>
        <v/>
      </c>
    </row>
    <row r="57">
      <c r="A57" s="42" t="inlineStr">
        <is>
          <t>Loans</t>
        </is>
      </c>
      <c r="B57" s="42" t="inlineStr">
        <is>
          <t>Black%</t>
        </is>
      </c>
      <c r="C57" s="55" t="n">
        <v>6.915351506456241</v>
      </c>
      <c r="D57" s="13" t="n"/>
      <c r="E57">
        <f>IFERROR(C57-D57,"")</f>
        <v/>
      </c>
    </row>
    <row r="58">
      <c r="B58" s="42" t="inlineStr">
        <is>
          <t>Native American%</t>
        </is>
      </c>
      <c r="C58" s="16" t="n">
        <v>0.2295552367288379</v>
      </c>
      <c r="D58" s="16" t="n"/>
      <c r="E58" s="17">
        <f>IFERROR(C58-D58,"")</f>
        <v/>
      </c>
    </row>
    <row r="59">
      <c r="B59" s="42" t="inlineStr">
        <is>
          <t>HoPI%</t>
        </is>
      </c>
      <c r="C59" s="16" t="n">
        <v>0.05738880918220947</v>
      </c>
      <c r="D59" s="16" t="n"/>
      <c r="E59" s="17">
        <f>IFERROR(C59-D59,"")</f>
        <v/>
      </c>
    </row>
    <row r="60">
      <c r="B60" s="42" t="inlineStr">
        <is>
          <t>Hispanic%</t>
        </is>
      </c>
      <c r="C60" s="57" t="n">
        <v>18.47919655667145</v>
      </c>
      <c r="D60" s="57" t="n"/>
      <c r="E60" s="17">
        <f>IFERROR(C60-D60,"")</f>
        <v/>
      </c>
    </row>
    <row r="61">
      <c r="A61" t="inlineStr">
        <is>
          <t>Edwards, CO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394</v>
      </c>
      <c r="D62" s="16" t="n"/>
      <c r="E62" s="17">
        <f>D62-E62</f>
        <v/>
      </c>
    </row>
    <row r="63">
      <c r="B63" s="42" t="inlineStr">
        <is>
          <t xml:space="preserve">LMICT% </t>
        </is>
      </c>
      <c r="C63" s="16" t="n">
        <v>3.299492385786802</v>
      </c>
      <c r="D63" s="16" t="n"/>
      <c r="E63" s="17">
        <f>IFERROR(C63-D63,"")</f>
        <v/>
      </c>
    </row>
    <row r="64">
      <c r="B64" s="42" t="inlineStr">
        <is>
          <t>LMIB%</t>
        </is>
      </c>
      <c r="C64" s="16" t="n">
        <v>9.390862944162437</v>
      </c>
      <c r="D64" s="16" t="n"/>
      <c r="E64" s="17">
        <f>IFERROR(C64-D64,"")</f>
        <v/>
      </c>
    </row>
    <row r="65" ht="21.75" customHeight="1" s="52">
      <c r="B65" s="42" t="inlineStr">
        <is>
          <t>LMIB$</t>
        </is>
      </c>
      <c r="C65" s="16" t="n">
        <v>12465000</v>
      </c>
      <c r="D65" s="16" t="n"/>
      <c r="E65" s="17">
        <f>IFERROR(C65-D65,"")</f>
        <v/>
      </c>
    </row>
    <row r="66">
      <c r="B66" s="42" t="inlineStr">
        <is>
          <t>MMCT%</t>
        </is>
      </c>
      <c r="C66" s="16" t="n">
        <v>14.46700507614213</v>
      </c>
      <c r="D66" s="16" t="n"/>
      <c r="E66" s="17">
        <f>IFERROR(C66-D66,"")</f>
        <v/>
      </c>
    </row>
    <row r="67">
      <c r="B67" s="42" t="inlineStr">
        <is>
          <t>MINB%</t>
        </is>
      </c>
      <c r="C67" s="16" t="n">
        <v>15.73604060913706</v>
      </c>
      <c r="D67" s="16" t="n"/>
      <c r="E67" s="17">
        <f>IFERROR(C67-D67,"")</f>
        <v/>
      </c>
    </row>
    <row r="68">
      <c r="A68" s="42" t="n"/>
      <c r="B68" s="42" t="inlineStr">
        <is>
          <t>Asian%</t>
        </is>
      </c>
      <c r="C68" s="55" t="n">
        <v>1.015228426395939</v>
      </c>
      <c r="D68" s="13" t="n"/>
      <c r="E68">
        <f>IFERROR(C68-D68,"")</f>
        <v/>
      </c>
    </row>
    <row r="69">
      <c r="A69" s="42" t="n"/>
      <c r="B69" s="42" t="inlineStr">
        <is>
          <t>Black%</t>
        </is>
      </c>
      <c r="C69" s="16" t="n">
        <v>0.5076142131979695</v>
      </c>
      <c r="D69" s="16" t="n"/>
      <c r="E69" s="17">
        <f>IFERROR(C69-D69,"")</f>
        <v/>
      </c>
    </row>
    <row r="70">
      <c r="A70" s="42" t="n"/>
      <c r="B70" s="42" t="inlineStr">
        <is>
          <t>Native American%</t>
        </is>
      </c>
      <c r="C70" s="16" t="n">
        <v>0.5076142131979695</v>
      </c>
      <c r="D70" s="16" t="n"/>
      <c r="E70" s="17">
        <f>IFERROR(C70-D70,"")</f>
        <v/>
      </c>
    </row>
    <row r="71">
      <c r="A71" s="42" t="n"/>
      <c r="B71" s="42" t="inlineStr">
        <is>
          <t>HoPI%</t>
        </is>
      </c>
      <c r="C71" s="57" t="n">
        <v>0.2538071065989848</v>
      </c>
      <c r="D71" s="57" t="n"/>
      <c r="E71" s="17">
        <f>IFERROR(C71-D71,"")</f>
        <v/>
      </c>
    </row>
    <row r="72">
      <c r="A72" s="42" t="n"/>
      <c r="B72" s="42" t="inlineStr">
        <is>
          <t>Hispanic%</t>
        </is>
      </c>
      <c r="C72" s="16" t="n">
        <v>13.45177664974619</v>
      </c>
      <c r="D72" s="16" t="n"/>
      <c r="E72" s="17">
        <f>IFERROR(C72-D72,"")</f>
        <v/>
      </c>
    </row>
    <row r="73">
      <c r="A73" s="42" t="inlineStr">
        <is>
          <t>Fort Collins, CO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461</v>
      </c>
      <c r="D74" s="16" t="n"/>
      <c r="E74" s="17">
        <f>D74-E74</f>
        <v/>
      </c>
    </row>
    <row r="75">
      <c r="A75" s="42" t="n"/>
      <c r="B75" s="42" t="inlineStr">
        <is>
          <t xml:space="preserve">LMICT% </t>
        </is>
      </c>
      <c r="C75" s="16" t="n">
        <v>10.84598698481562</v>
      </c>
      <c r="D75" s="16" t="n"/>
      <c r="E75" s="17">
        <f>IFERROR(C75-D75,"")</f>
        <v/>
      </c>
    </row>
    <row r="76" ht="21.75" customHeight="1" s="52">
      <c r="A76" s="42" t="n"/>
      <c r="B76" s="42" t="inlineStr">
        <is>
          <t>LMIB%</t>
        </is>
      </c>
      <c r="C76" s="16" t="n">
        <v>23.42733188720173</v>
      </c>
      <c r="D76" s="16" t="n"/>
      <c r="E76" s="17">
        <f>IFERROR(C76-D76,"")</f>
        <v/>
      </c>
    </row>
    <row r="77">
      <c r="A77" s="42" t="n"/>
      <c r="B77" s="42" t="inlineStr">
        <is>
          <t>LMIB$</t>
        </is>
      </c>
      <c r="C77" s="16" t="n">
        <v>32900000</v>
      </c>
      <c r="D77" s="16" t="n"/>
      <c r="E77" s="17">
        <f>IFERROR(C77-D77,"")</f>
        <v/>
      </c>
    </row>
    <row r="78">
      <c r="A78" s="42" t="n"/>
      <c r="B78" s="42" t="inlineStr">
        <is>
          <t>MMCT%</t>
        </is>
      </c>
      <c r="C78" s="16" t="n">
        <v>0</v>
      </c>
      <c r="D78" s="16" t="n"/>
      <c r="E78" s="17">
        <f>IFERROR(C78-D78,"")</f>
        <v/>
      </c>
    </row>
    <row r="79">
      <c r="A79" s="42" t="n"/>
      <c r="B79" s="42" t="inlineStr">
        <is>
          <t>MINB%</t>
        </is>
      </c>
      <c r="C79" s="55" t="n">
        <v>8.242950108459871</v>
      </c>
      <c r="D79" s="30" t="n"/>
      <c r="E79">
        <f>IFERROR(C79-D79,"")</f>
        <v/>
      </c>
    </row>
    <row r="80">
      <c r="B80" s="42" t="inlineStr">
        <is>
          <t>Asian%</t>
        </is>
      </c>
      <c r="C80" s="16" t="n">
        <v>3.904555314533622</v>
      </c>
      <c r="D80" s="31" t="n"/>
      <c r="E80" s="17">
        <f>IFERROR(C80-D80,"")</f>
        <v/>
      </c>
    </row>
    <row r="81">
      <c r="B81" s="42" t="inlineStr">
        <is>
          <t>Black%</t>
        </is>
      </c>
      <c r="C81" s="16" t="n">
        <v>0</v>
      </c>
      <c r="D81" s="31" t="n"/>
      <c r="E81" s="17">
        <f>IFERROR(C81-D81,"")</f>
        <v/>
      </c>
    </row>
    <row r="82">
      <c r="B82" s="42" t="inlineStr">
        <is>
          <t>Native American%</t>
        </is>
      </c>
      <c r="C82" s="57" t="n">
        <v>0.2169197396963124</v>
      </c>
      <c r="D82" s="58" t="n"/>
      <c r="E82" s="17">
        <f>IFERROR(C82-D82,"")</f>
        <v/>
      </c>
    </row>
    <row r="83">
      <c r="B83" s="42" t="inlineStr">
        <is>
          <t>HoPI%</t>
        </is>
      </c>
      <c r="C83" s="16" t="n">
        <v>0</v>
      </c>
      <c r="D83" s="31" t="n"/>
      <c r="E83" s="17">
        <f>IFERROR(C83-D83,"")</f>
        <v/>
      </c>
    </row>
    <row r="84">
      <c r="B84" s="42" t="inlineStr">
        <is>
          <t>Hispanic%</t>
        </is>
      </c>
      <c r="C84" s="16" t="n">
        <v>4.121475054229935</v>
      </c>
      <c r="D84" s="31" t="n"/>
      <c r="E84" s="17">
        <f>IFERROR(C84-D84,"")</f>
        <v/>
      </c>
    </row>
    <row r="85">
      <c r="A85" t="inlineStr">
        <is>
          <t>Glenwood Springs, CO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139</v>
      </c>
      <c r="D86" s="31" t="n"/>
      <c r="E86" s="17">
        <f>D86-E86</f>
        <v/>
      </c>
    </row>
    <row r="87">
      <c r="B87" s="42" t="inlineStr">
        <is>
          <t xml:space="preserve">LMICT% </t>
        </is>
      </c>
      <c r="C87" s="16" t="n">
        <v>0</v>
      </c>
      <c r="D87" s="31" t="n"/>
      <c r="E87" s="17">
        <f>IFERROR(C87-D87,"")</f>
        <v/>
      </c>
    </row>
    <row r="88">
      <c r="B88" s="42" t="inlineStr">
        <is>
          <t>LMIB%</t>
        </is>
      </c>
      <c r="C88" s="16" t="n">
        <v>7.913669064748201</v>
      </c>
      <c r="D88" s="31" t="n"/>
      <c r="E88" s="17">
        <f>IFERROR(C88-D88,"")</f>
        <v/>
      </c>
    </row>
    <row r="89">
      <c r="B89" s="42" t="inlineStr">
        <is>
          <t>LMIB$</t>
        </is>
      </c>
      <c r="C89" s="16" t="n">
        <v>2515000</v>
      </c>
      <c r="D89" s="31" t="n"/>
      <c r="E89" s="17">
        <f>IFERROR(C89-D89,"")</f>
        <v/>
      </c>
    </row>
    <row r="90">
      <c r="A90" s="42" t="n"/>
      <c r="B90" s="42" t="inlineStr">
        <is>
          <t>MMCT%</t>
        </is>
      </c>
      <c r="C90" s="55" t="n">
        <v>0</v>
      </c>
      <c r="D90" s="30" t="n"/>
      <c r="E90">
        <f>IFERROR(C90-D90,"")</f>
        <v/>
      </c>
    </row>
    <row r="91">
      <c r="B91" s="42" t="inlineStr">
        <is>
          <t>MINB%</t>
        </is>
      </c>
      <c r="C91" s="16" t="n">
        <v>23.7410071942446</v>
      </c>
      <c r="D91" s="31" t="n"/>
      <c r="E91" s="17">
        <f>IFERROR(C91-D91,"")</f>
        <v/>
      </c>
    </row>
    <row r="92">
      <c r="B92" s="42" t="inlineStr">
        <is>
          <t>Asian%</t>
        </is>
      </c>
      <c r="C92" s="16" t="n">
        <v>1.43884892086331</v>
      </c>
      <c r="D92" s="31" t="n"/>
      <c r="E92" s="17">
        <f>IFERROR(C92-D92,"")</f>
        <v/>
      </c>
    </row>
    <row r="93">
      <c r="B93" s="42" t="inlineStr">
        <is>
          <t>Black%</t>
        </is>
      </c>
      <c r="C93" s="57" t="n">
        <v>0.7194244604316548</v>
      </c>
      <c r="D93" s="58" t="n"/>
      <c r="E93" s="17">
        <f>IFERROR(C93-D93,"")</f>
        <v/>
      </c>
    </row>
    <row r="94">
      <c r="B94" s="42" t="inlineStr">
        <is>
          <t>Native American%</t>
        </is>
      </c>
      <c r="C94" s="16" t="n">
        <v>0.7194244604316548</v>
      </c>
      <c r="D94" s="31" t="n"/>
      <c r="E94" s="17">
        <f>IFERROR(C94-D94,"")</f>
        <v/>
      </c>
    </row>
    <row r="95">
      <c r="B95" s="42" t="inlineStr">
        <is>
          <t>HoPI%</t>
        </is>
      </c>
      <c r="C95" s="16" t="n">
        <v>0</v>
      </c>
      <c r="D95" s="31" t="n"/>
      <c r="E95" s="17">
        <f>IFERROR(C95-D95,"")</f>
        <v/>
      </c>
    </row>
    <row r="96">
      <c r="B96" s="42" t="inlineStr">
        <is>
          <t>Hispanic%</t>
        </is>
      </c>
      <c r="C96" s="16" t="n">
        <v>20.86330935251799</v>
      </c>
      <c r="D96" s="31" t="n"/>
      <c r="E96" s="17">
        <f>IFERROR(C96-D96,"")</f>
        <v/>
      </c>
    </row>
    <row r="97">
      <c r="A97" t="inlineStr">
        <is>
          <t>Greeley, CO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422</v>
      </c>
      <c r="D98" s="31" t="n"/>
      <c r="E98" s="17">
        <f>D98-E98</f>
        <v/>
      </c>
    </row>
    <row r="99">
      <c r="B99" s="42" t="inlineStr">
        <is>
          <t xml:space="preserve">LMICT% </t>
        </is>
      </c>
      <c r="C99" s="16" t="n">
        <v>11.13744075829384</v>
      </c>
      <c r="D99" s="31" t="n"/>
      <c r="E99" s="17">
        <f>IFERROR(C99-D99,"")</f>
        <v/>
      </c>
    </row>
    <row r="100">
      <c r="B100" s="42" t="inlineStr">
        <is>
          <t>LMIB%</t>
        </is>
      </c>
      <c r="C100" s="16" t="n">
        <v>19.19431279620853</v>
      </c>
      <c r="D100" s="31" t="n"/>
      <c r="E100" s="17">
        <f>IFERROR(C100-D100,"")</f>
        <v/>
      </c>
    </row>
    <row r="101">
      <c r="A101" s="42" t="n"/>
      <c r="B101" s="42" t="inlineStr">
        <is>
          <t>LMIB$</t>
        </is>
      </c>
      <c r="C101" s="55" t="n">
        <v>20245000</v>
      </c>
      <c r="D101" s="30" t="n"/>
      <c r="E101">
        <f>IFERROR(C101-D101,"")</f>
        <v/>
      </c>
    </row>
    <row r="102">
      <c r="B102" s="42" t="inlineStr">
        <is>
          <t>MMCT%</t>
        </is>
      </c>
      <c r="C102" s="16" t="n">
        <v>8.530805687203792</v>
      </c>
      <c r="D102" s="31" t="n"/>
      <c r="E102" s="17">
        <f>IFERROR(C102-D102,"")</f>
        <v/>
      </c>
    </row>
    <row r="103">
      <c r="B103" s="42" t="inlineStr">
        <is>
          <t>MINB%</t>
        </is>
      </c>
      <c r="C103" s="16" t="n">
        <v>36.01895734597156</v>
      </c>
      <c r="D103" s="31" t="n"/>
      <c r="E103" s="17">
        <f>IFERROR(C103-D103,"")</f>
        <v/>
      </c>
    </row>
    <row r="104">
      <c r="B104" s="42" t="inlineStr">
        <is>
          <t>Asian%</t>
        </is>
      </c>
      <c r="C104" s="57" t="n">
        <v>5.450236966824645</v>
      </c>
      <c r="D104" s="58" t="n"/>
      <c r="E104" s="17">
        <f>IFERROR(C104-D104,"")</f>
        <v/>
      </c>
    </row>
    <row r="105">
      <c r="B105" s="42" t="inlineStr">
        <is>
          <t>Black%</t>
        </is>
      </c>
      <c r="C105" s="16" t="n">
        <v>0.7109004739336493</v>
      </c>
      <c r="D105" s="31" t="n"/>
      <c r="E105" s="17">
        <f>IFERROR(C105-D105,"")</f>
        <v/>
      </c>
    </row>
    <row r="106">
      <c r="B106" s="42" t="inlineStr">
        <is>
          <t>Native American%</t>
        </is>
      </c>
      <c r="C106" s="16" t="n">
        <v>0.9478672985781991</v>
      </c>
      <c r="D106" s="31" t="n"/>
      <c r="E106" s="17">
        <f>IFERROR(C106-D106,"")</f>
        <v/>
      </c>
    </row>
    <row r="107">
      <c r="B107" s="42" t="inlineStr">
        <is>
          <t>HoPI%</t>
        </is>
      </c>
      <c r="C107" s="16" t="n">
        <v>0.2369668246445498</v>
      </c>
      <c r="D107" s="31" t="n"/>
      <c r="E107" s="17">
        <f>IFERROR(C107-D107,"")</f>
        <v/>
      </c>
    </row>
    <row r="108">
      <c r="B108" s="42" t="inlineStr">
        <is>
          <t>Hispanic%</t>
        </is>
      </c>
      <c r="C108" s="16" t="n">
        <v>28.67298578199052</v>
      </c>
      <c r="D108" s="31" t="n"/>
      <c r="E108" s="17">
        <f>IFERROR(C108-D108,"")</f>
        <v/>
      </c>
    </row>
    <row r="109">
      <c r="A109" t="inlineStr">
        <is>
          <t>Phoenix-Mesa-Chandler, AZ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423</v>
      </c>
      <c r="D110" s="31" t="n"/>
      <c r="E110" s="17">
        <f>D110-E110</f>
        <v/>
      </c>
    </row>
    <row r="111">
      <c r="B111" s="42" t="inlineStr">
        <is>
          <t xml:space="preserve">LMICT% </t>
        </is>
      </c>
      <c r="C111" s="16" t="n">
        <v>21.5130023640662</v>
      </c>
      <c r="D111" s="31" t="n"/>
      <c r="E111" s="17">
        <f>IFERROR(C111-D111,"")</f>
        <v/>
      </c>
    </row>
    <row r="112">
      <c r="A112" s="42" t="n"/>
      <c r="B112" s="42" t="inlineStr">
        <is>
          <t>LMIB%</t>
        </is>
      </c>
      <c r="C112" s="55" t="n">
        <v>28.36879432624114</v>
      </c>
      <c r="D112" s="30" t="n"/>
      <c r="E112">
        <f>IFERROR(C112-D112,"")</f>
        <v/>
      </c>
    </row>
    <row r="113">
      <c r="B113" s="42" t="inlineStr">
        <is>
          <t>LMIB$</t>
        </is>
      </c>
      <c r="C113" s="16" t="n">
        <v>32510000</v>
      </c>
      <c r="D113" s="31" t="n"/>
      <c r="E113" s="17">
        <f>IFERROR(C113-D113,"")</f>
        <v/>
      </c>
    </row>
    <row r="114">
      <c r="B114" s="42" t="inlineStr">
        <is>
          <t>MMCT%</t>
        </is>
      </c>
      <c r="C114" s="16" t="n">
        <v>20.33096926713948</v>
      </c>
      <c r="D114" s="31" t="n"/>
      <c r="E114" s="17">
        <f>IFERROR(C114-D114,"")</f>
        <v/>
      </c>
    </row>
    <row r="115">
      <c r="B115" s="42" t="inlineStr">
        <is>
          <t>MINB%</t>
        </is>
      </c>
      <c r="C115" s="57" t="n">
        <v>32.38770685579196</v>
      </c>
      <c r="D115" s="58" t="n"/>
      <c r="E115" s="17">
        <f>IFERROR(C115-D115,"")</f>
        <v/>
      </c>
    </row>
    <row r="116">
      <c r="B116" s="42" t="inlineStr">
        <is>
          <t>Asian%</t>
        </is>
      </c>
      <c r="C116" s="16" t="n">
        <v>10.40189125295508</v>
      </c>
      <c r="D116" s="31" t="n"/>
      <c r="E116" s="17">
        <f>IFERROR(C116-D116,"")</f>
        <v/>
      </c>
    </row>
    <row r="117">
      <c r="B117" s="42" t="inlineStr">
        <is>
          <t>Black%</t>
        </is>
      </c>
      <c r="C117" s="16" t="n">
        <v>2.364066193853428</v>
      </c>
      <c r="D117" s="31" t="n"/>
      <c r="E117" s="17">
        <f>IFERROR(C117-D117,"")</f>
        <v/>
      </c>
    </row>
    <row r="118">
      <c r="B118" s="42" t="inlineStr">
        <is>
          <t>Native American%</t>
        </is>
      </c>
      <c r="C118" s="16" t="n">
        <v>0.2364066193853428</v>
      </c>
      <c r="D118" s="31" t="n"/>
      <c r="E118" s="17">
        <f>IFERROR(C118-D118,"")</f>
        <v/>
      </c>
    </row>
    <row r="119">
      <c r="B119" s="42" t="inlineStr">
        <is>
          <t>HoPI%</t>
        </is>
      </c>
      <c r="C119" s="16" t="n">
        <v>0.4728132387706856</v>
      </c>
      <c r="D119" s="31" t="n"/>
      <c r="E119" s="17">
        <f>IFERROR(C119-D119,"")</f>
        <v/>
      </c>
    </row>
    <row r="120">
      <c r="B120" s="42" t="inlineStr">
        <is>
          <t>Hispanic%</t>
        </is>
      </c>
      <c r="C120" s="16" t="n">
        <v>18.91252955082742</v>
      </c>
      <c r="D120" s="31" t="n"/>
      <c r="E120" s="17">
        <f>IFERROR(C120-D120,"")</f>
        <v/>
      </c>
    </row>
    <row r="121">
      <c r="B121" s="42" t="n"/>
      <c r="C121" s="16" t="n"/>
      <c r="D121" s="31" t="n"/>
      <c r="E121" s="17">
        <f>D121-E121</f>
        <v/>
      </c>
    </row>
    <row r="122">
      <c r="B122" s="42" t="n"/>
      <c r="C122" s="16" t="n"/>
      <c r="D122" s="31" t="n"/>
      <c r="E122" s="17">
        <f>D122-E122</f>
        <v/>
      </c>
    </row>
    <row r="123">
      <c r="A123" s="42" t="n"/>
      <c r="B123" s="42" t="n"/>
      <c r="C123" s="55" t="n"/>
      <c r="D123" s="30" t="n"/>
    </row>
    <row r="124">
      <c r="B124" s="42" t="n"/>
      <c r="C124" s="16" t="n"/>
      <c r="D124" s="31" t="n"/>
      <c r="E124" s="17">
        <f>D124-E124</f>
        <v/>
      </c>
    </row>
    <row r="125">
      <c r="B125" s="42" t="n"/>
      <c r="C125" s="16" t="n"/>
      <c r="D125" s="31" t="n"/>
      <c r="E125" s="17">
        <f>D125-E125</f>
        <v/>
      </c>
    </row>
    <row r="126">
      <c r="B126" s="42" t="n"/>
      <c r="C126" s="57" t="n"/>
      <c r="D126" s="58" t="n"/>
      <c r="E126" s="17">
        <f>D126-E126</f>
        <v/>
      </c>
    </row>
    <row r="127">
      <c r="B127" s="42" t="n"/>
      <c r="C127" s="16" t="n"/>
      <c r="D127" s="31" t="n"/>
      <c r="E127" s="17">
        <f>D127-E127</f>
        <v/>
      </c>
    </row>
    <row r="128">
      <c r="B128" s="42" t="n"/>
      <c r="C128" s="16" t="n"/>
      <c r="D128" s="31" t="n"/>
      <c r="E128" s="17">
        <f>D128-E128</f>
        <v/>
      </c>
    </row>
    <row r="129">
      <c r="B129" s="42" t="n"/>
      <c r="C129" s="16" t="n"/>
      <c r="D129" s="31" t="n"/>
      <c r="E129" s="17">
        <f>D129-E129</f>
        <v/>
      </c>
    </row>
    <row r="130">
      <c r="B130" s="42" t="n"/>
      <c r="C130" s="16" t="n"/>
      <c r="D130" s="31" t="n"/>
      <c r="E130" s="17">
        <f>D130-E130</f>
        <v/>
      </c>
    </row>
    <row r="131">
      <c r="B131" s="42" t="n"/>
      <c r="C131" s="16" t="n"/>
      <c r="D131" s="31" t="n"/>
      <c r="E131" s="17">
        <f>D131-E131</f>
        <v/>
      </c>
    </row>
    <row r="132">
      <c r="B132" s="42" t="n"/>
      <c r="C132" s="16" t="n"/>
      <c r="D132" s="31" t="n"/>
      <c r="E132" s="17">
        <f>D132-E132</f>
        <v/>
      </c>
    </row>
    <row r="133">
      <c r="B133" s="42" t="n"/>
      <c r="C133" s="16" t="n"/>
      <c r="D133" s="31" t="n"/>
      <c r="E133" s="17">
        <f>D133-E133</f>
        <v/>
      </c>
    </row>
    <row r="134">
      <c r="A134" s="42" t="n"/>
      <c r="B134" s="42" t="n"/>
      <c r="C134" s="55" t="n"/>
      <c r="D134" s="30" t="n"/>
    </row>
    <row r="135">
      <c r="B135" s="42" t="n"/>
      <c r="C135" s="16" t="n"/>
      <c r="D135" s="31" t="n"/>
      <c r="E135" s="17">
        <f>D135-E135</f>
        <v/>
      </c>
    </row>
    <row r="136">
      <c r="B136" s="42" t="n"/>
      <c r="C136" s="16" t="n"/>
      <c r="D136" s="31" t="n"/>
      <c r="E136" s="17">
        <f>D136-E136</f>
        <v/>
      </c>
    </row>
    <row r="137">
      <c r="B137" s="42" t="n"/>
      <c r="C137" s="57" t="n"/>
      <c r="D137" s="58" t="n"/>
      <c r="E137" s="17">
        <f>D137-E137</f>
        <v/>
      </c>
    </row>
    <row r="138">
      <c r="B138" s="42" t="n"/>
      <c r="C138" s="16" t="n"/>
      <c r="D138" s="31" t="n"/>
      <c r="E138" s="17">
        <f>D138-E138</f>
        <v/>
      </c>
    </row>
    <row r="139">
      <c r="B139" s="42" t="n"/>
      <c r="C139" s="16" t="n"/>
      <c r="D139" s="31" t="n"/>
      <c r="E139" s="17">
        <f>D139-E139</f>
        <v/>
      </c>
    </row>
    <row r="140">
      <c r="B140" s="42" t="n"/>
      <c r="C140" s="16" t="n"/>
      <c r="D140" s="31" t="n"/>
      <c r="E140" s="17">
        <f>D140-E140</f>
        <v/>
      </c>
    </row>
    <row r="141">
      <c r="B141" s="42" t="n"/>
      <c r="C141" s="16" t="n"/>
      <c r="D141" s="31" t="n"/>
      <c r="E141" s="17">
        <f>D141-E141</f>
        <v/>
      </c>
    </row>
    <row r="142">
      <c r="B142" s="42" t="n"/>
      <c r="C142" s="16" t="n"/>
      <c r="D142" s="31" t="n"/>
      <c r="E142" s="17">
        <f>D142-E142</f>
        <v/>
      </c>
    </row>
    <row r="143">
      <c r="B143" s="42" t="n"/>
      <c r="C143" s="16" t="n"/>
      <c r="D143" s="31" t="n"/>
      <c r="E143" s="17">
        <f>D143-E143</f>
        <v/>
      </c>
    </row>
    <row r="144">
      <c r="B144" s="42" t="n"/>
      <c r="C144" s="16" t="n"/>
      <c r="D144" s="31" t="n"/>
      <c r="E144" s="17">
        <f>D144-E144</f>
        <v/>
      </c>
    </row>
    <row r="145">
      <c r="A145" s="42" t="n"/>
      <c r="B145" s="42" t="n"/>
      <c r="C145" s="13" t="n"/>
      <c r="D145" s="30" t="n"/>
    </row>
    <row r="146">
      <c r="B146" s="42" t="n"/>
      <c r="C146" s="16" t="n"/>
      <c r="D146" s="31" t="n"/>
      <c r="E146" s="17">
        <f>D146-E146</f>
        <v/>
      </c>
    </row>
    <row r="147">
      <c r="B147" s="42" t="n"/>
      <c r="C147" s="16" t="n"/>
      <c r="D147" s="31" t="n"/>
      <c r="E147" s="17">
        <f>D147-E147</f>
        <v/>
      </c>
    </row>
    <row r="148">
      <c r="B148" s="42" t="n"/>
      <c r="C148" s="57" t="n"/>
      <c r="D148" s="58" t="n"/>
      <c r="E148" s="17">
        <f>D148-E148</f>
        <v/>
      </c>
    </row>
    <row r="149">
      <c r="B149" s="42" t="n"/>
      <c r="C149" s="16" t="n"/>
      <c r="D149" s="31" t="n"/>
      <c r="E149" s="17">
        <f>D149-E149</f>
        <v/>
      </c>
    </row>
    <row r="150">
      <c r="B150" s="42" t="n"/>
      <c r="C150" s="16" t="n"/>
      <c r="D150" s="31" t="n"/>
      <c r="E150" s="17">
        <f>D150-E150</f>
        <v/>
      </c>
    </row>
    <row r="151">
      <c r="B151" s="42" t="n"/>
      <c r="C151" s="16" t="n"/>
      <c r="D151" s="31" t="n"/>
      <c r="E151" s="17">
        <f>D151-E151</f>
        <v/>
      </c>
    </row>
    <row r="152">
      <c r="B152" s="42" t="n"/>
      <c r="C152" s="16" t="n"/>
      <c r="D152" s="31" t="n"/>
      <c r="E152" s="17">
        <f>D152-E152</f>
        <v/>
      </c>
    </row>
    <row r="153">
      <c r="B153" s="42" t="n"/>
      <c r="C153" s="16" t="n"/>
      <c r="D153" s="31" t="n"/>
      <c r="E153" s="17">
        <f>D153-E153</f>
        <v/>
      </c>
    </row>
    <row r="154">
      <c r="B154" s="42" t="n"/>
      <c r="C154" s="16" t="n"/>
      <c r="D154" s="31" t="n"/>
      <c r="E154" s="17">
        <f>D154-E154</f>
        <v/>
      </c>
    </row>
    <row r="155">
      <c r="B155" s="42" t="n"/>
      <c r="C155" s="16" t="n"/>
      <c r="D155" s="31" t="n"/>
      <c r="E155" s="17">
        <f>D155-E155</f>
        <v/>
      </c>
    </row>
    <row r="156">
      <c r="A156" s="42" t="n"/>
      <c r="B156" s="42" t="n"/>
      <c r="C156" s="55" t="n"/>
      <c r="D156" s="30" t="n"/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8">
    <mergeCell ref="A585:A595"/>
    <mergeCell ref="A486:A496"/>
    <mergeCell ref="A277:A287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189:A199"/>
    <mergeCell ref="A519:A529"/>
    <mergeCell ref="A145:A155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12:A122"/>
    <mergeCell ref="A321:A331"/>
    <mergeCell ref="A156:A166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123:A133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C2" sqref="C2:E23"/>
    </sheetView>
  </sheetViews>
  <sheetFormatPr baseColWidth="8" defaultRowHeight="15"/>
  <cols>
    <col width="25" customWidth="1" style="52" min="1" max="2"/>
    <col width="14.42578125" bestFit="1" customWidth="1" style="52" min="3" max="3"/>
    <col width="13.28515625" bestFit="1" customWidth="1" style="52" min="4" max="4"/>
    <col width="23.28515625" bestFit="1" customWidth="1" style="52" min="5" max="5"/>
    <col width="29.5703125" bestFit="1" customWidth="1" style="52" min="6" max="6"/>
  </cols>
  <sheetData>
    <row r="1" ht="43.5" customHeight="1" s="52">
      <c r="A1" s="70" t="n"/>
      <c r="B1" s="70" t="n"/>
      <c r="C1" s="69" t="inlineStr">
        <is>
          <t>Home Purchase</t>
        </is>
      </c>
      <c r="D1" s="69" t="inlineStr">
        <is>
          <t>Refinance and Cash-Out Refi</t>
        </is>
      </c>
      <c r="E1" s="69" t="inlineStr">
        <is>
          <t>Home Improvement and Home Equity</t>
        </is>
      </c>
      <c r="F1" s="71" t="inlineStr">
        <is>
          <t>Total</t>
        </is>
      </c>
      <c r="G1" s="71" t="inlineStr">
        <is>
          <t>HP 5 Year Goal</t>
        </is>
      </c>
      <c r="H1" s="71" t="inlineStr">
        <is>
          <t>Refi 5 Year Goal</t>
        </is>
      </c>
      <c r="I1" s="71" t="inlineStr">
        <is>
          <t>HI 5 Year Goal</t>
        </is>
      </c>
      <c r="J1" s="71" t="inlineStr">
        <is>
          <t>NCRC Proposal Over 5 Years</t>
        </is>
      </c>
      <c r="K1" s="71" t="inlineStr">
        <is>
          <t>Baseline Over 5 Years</t>
        </is>
      </c>
      <c r="L1" s="71" t="inlineStr">
        <is>
          <t>Total Increase in LMIB Lending</t>
        </is>
      </c>
    </row>
    <row r="2" ht="15" customHeight="1" s="52">
      <c r="A2" s="43" t="inlineStr">
        <is>
          <t>Grand Total</t>
        </is>
      </c>
      <c r="B2" s="55" t="inlineStr">
        <is>
          <t>Loans</t>
        </is>
      </c>
      <c r="C2" s="13" t="n"/>
      <c r="D2" s="13" t="n"/>
      <c r="E2" s="13" t="n"/>
      <c r="F2" s="6">
        <f>SUM(C2:E2)</f>
        <v/>
      </c>
      <c r="G2" t="n">
        <v>1.1</v>
      </c>
      <c r="H2" t="n">
        <v>1.5</v>
      </c>
      <c r="I2" t="n">
        <v>1</v>
      </c>
    </row>
    <row r="3" ht="15" customHeight="1" s="52">
      <c r="B3" s="55" t="inlineStr">
        <is>
          <t>~LMICT</t>
        </is>
      </c>
      <c r="C3" s="13" t="n"/>
      <c r="D3" s="13" t="n"/>
      <c r="E3" s="13" t="n"/>
      <c r="F3" s="6">
        <f>SUM(C3:E3)</f>
        <v/>
      </c>
      <c r="G3" s="8">
        <f>IFERROR(((C3/2)*G$2)*5,0)</f>
        <v/>
      </c>
      <c r="H3" s="8">
        <f>IFERROR(((D3/2)*H$2)*5,0)</f>
        <v/>
      </c>
      <c r="I3" s="8">
        <f>IFERROR(((E3/2)*I$2)*5,0)</f>
        <v/>
      </c>
      <c r="J3" s="8">
        <f>SUM(G3:I3)</f>
        <v/>
      </c>
      <c r="K3" s="5" t="n"/>
      <c r="L3" s="5" t="n"/>
    </row>
    <row r="4" ht="15" customHeight="1" s="52">
      <c r="B4" s="55" t="inlineStr">
        <is>
          <t>~LMIB</t>
        </is>
      </c>
      <c r="C4" s="13" t="n"/>
      <c r="D4" s="13" t="n"/>
      <c r="E4" s="13" t="n"/>
      <c r="F4" s="6">
        <f>SUM(C4:E4)</f>
        <v/>
      </c>
      <c r="G4" s="8">
        <f>IFERROR(((C4/2)*G$2)*5,0)</f>
        <v/>
      </c>
      <c r="H4" s="8">
        <f>IFERROR(((D4/2)*H$2)*5,0)</f>
        <v/>
      </c>
      <c r="I4" s="8">
        <f>IFERROR(((E4/2)*I$2)*5,0)</f>
        <v/>
      </c>
      <c r="J4" s="8">
        <f>SUM(G4:I4)</f>
        <v/>
      </c>
      <c r="K4" s="5" t="n"/>
      <c r="L4" s="5" t="n"/>
    </row>
    <row r="5" ht="15" customHeight="1" s="52">
      <c r="B5" s="55" t="inlineStr">
        <is>
          <t>LMIB$</t>
        </is>
      </c>
      <c r="C5" s="57" t="n"/>
      <c r="D5" s="57" t="n"/>
      <c r="E5" s="57" t="n"/>
      <c r="F5" s="6">
        <f>SUM(C5:E5)</f>
        <v/>
      </c>
      <c r="G5" s="10">
        <f>IFERROR(((C5/2)*G$2)*5,0)</f>
        <v/>
      </c>
      <c r="H5" s="10">
        <f>IFERROR(((D5/2)*H$2)*5,0)</f>
        <v/>
      </c>
      <c r="I5" s="10">
        <f>IFERROR(((E5/2)*I$2)*5,0)</f>
        <v/>
      </c>
      <c r="J5" s="11">
        <f>SUM(G5:I5)</f>
        <v/>
      </c>
      <c r="K5" s="9">
        <f>IFERROR((F5/6)*5,0)</f>
        <v/>
      </c>
      <c r="L5" s="10">
        <f>J5-K5</f>
        <v/>
      </c>
    </row>
    <row r="6" ht="15" customHeight="1" s="52">
      <c r="B6" s="55" t="inlineStr">
        <is>
          <t>~MMCT</t>
        </is>
      </c>
      <c r="C6" s="13" t="n"/>
      <c r="D6" s="13" t="n"/>
      <c r="E6" s="13" t="n"/>
      <c r="F6" s="6">
        <f>SUM(C6:E6)</f>
        <v/>
      </c>
      <c r="G6" s="8">
        <f>IFERROR(((C6/2)*G$2)*5,0)</f>
        <v/>
      </c>
      <c r="H6" s="8">
        <f>IFERROR(((D6/2)*H$2)*5,0)</f>
        <v/>
      </c>
      <c r="I6" s="8">
        <f>IFERROR(((E6/2)*I$2)*5,0)</f>
        <v/>
      </c>
      <c r="J6" s="8">
        <f>SUM(G6:I6)</f>
        <v/>
      </c>
      <c r="K6" s="5" t="n"/>
    </row>
    <row r="7" ht="15" customHeight="1" s="52">
      <c r="B7" s="55" t="inlineStr">
        <is>
          <t>~MINB</t>
        </is>
      </c>
      <c r="C7" s="13" t="n"/>
      <c r="D7" s="13" t="n"/>
      <c r="E7" s="13" t="n"/>
      <c r="F7" s="6">
        <f>SUM(C7:E7)</f>
        <v/>
      </c>
      <c r="G7" s="8">
        <f>IFERROR(((C7/2)*G$2)*5,0)</f>
        <v/>
      </c>
      <c r="H7" s="8">
        <f>IFERROR(((D7/2)*H$2)*5,0)</f>
        <v/>
      </c>
      <c r="I7" s="8">
        <f>IFERROR(((E7/2)*I$2)*5,0)</f>
        <v/>
      </c>
      <c r="J7" s="8">
        <f>SUM(G7:I7)</f>
        <v/>
      </c>
      <c r="K7" s="5" t="n"/>
    </row>
    <row r="8" ht="15" customHeight="1" s="52">
      <c r="B8" s="55" t="inlineStr">
        <is>
          <t>~Asian</t>
        </is>
      </c>
      <c r="C8" s="13" t="n"/>
      <c r="D8" s="13" t="n"/>
      <c r="E8" s="13" t="n"/>
      <c r="F8" s="6">
        <f>SUM(C8:E8)</f>
        <v/>
      </c>
      <c r="G8" s="8">
        <f>IFERROR(((C8/2)*G$2)*5,0)</f>
        <v/>
      </c>
      <c r="H8" s="8">
        <f>IFERROR(((D8/2)*H$2)*5,0)</f>
        <v/>
      </c>
      <c r="I8" s="8">
        <f>IFERROR(((E8/2)*I$2)*5,0)</f>
        <v/>
      </c>
      <c r="J8" s="8">
        <f>SUM(G8:I8)</f>
        <v/>
      </c>
      <c r="K8" s="5" t="n"/>
    </row>
    <row r="9" ht="15" customHeight="1" s="52">
      <c r="B9" s="55" t="inlineStr">
        <is>
          <t>~Black</t>
        </is>
      </c>
      <c r="C9" s="13" t="n"/>
      <c r="D9" s="13" t="n"/>
      <c r="E9" s="13" t="n"/>
      <c r="F9" s="6">
        <f>SUM(C9:E9)</f>
        <v/>
      </c>
      <c r="G9" s="8">
        <f>IFERROR(((C9/2)*G$2)*5,0)</f>
        <v/>
      </c>
      <c r="H9" s="8">
        <f>IFERROR(((D9/2)*H$2)*5,0)</f>
        <v/>
      </c>
      <c r="I9" s="8">
        <f>IFERROR(((E9/2)*I$2)*5,0)</f>
        <v/>
      </c>
      <c r="J9" s="8">
        <f>SUM(G9:I9)</f>
        <v/>
      </c>
      <c r="K9" s="5" t="n"/>
    </row>
    <row r="10" ht="15" customHeight="1" s="52">
      <c r="B10" s="55" t="inlineStr">
        <is>
          <t>~Native American</t>
        </is>
      </c>
      <c r="C10" s="55" t="n"/>
      <c r="D10" s="55" t="n"/>
      <c r="E10" s="55" t="n"/>
      <c r="F10" s="6">
        <f>SUM(C10:E10)</f>
        <v/>
      </c>
      <c r="G10" s="8">
        <f>IFERROR(((C10/2)*G$2)*5,0)</f>
        <v/>
      </c>
      <c r="H10" s="8">
        <f>IFERROR(((D10/2)*H$2)*5,0)</f>
        <v/>
      </c>
      <c r="I10" s="8">
        <f>IFERROR(((E10/2)*I$2)*5,0)</f>
        <v/>
      </c>
      <c r="J10" s="8">
        <f>SUM(G10:I10)</f>
        <v/>
      </c>
      <c r="K10" s="5" t="n"/>
    </row>
    <row r="11" ht="15" customHeight="1" s="52">
      <c r="B11" s="55" t="inlineStr">
        <is>
          <t>~HoPI</t>
        </is>
      </c>
      <c r="C11" s="55" t="n"/>
      <c r="D11" s="55" t="n"/>
      <c r="E11" s="55" t="n"/>
      <c r="F11" s="6">
        <f>SUM(C11:E11)</f>
        <v/>
      </c>
      <c r="G11" s="8">
        <f>IFERROR(((C11/2)*G$2)*5,0)</f>
        <v/>
      </c>
      <c r="H11" s="8">
        <f>IFERROR(((D11/2)*H$2)*5,0)</f>
        <v/>
      </c>
      <c r="I11" s="8">
        <f>IFERROR(((E11/2)*I$2)*5,0)</f>
        <v/>
      </c>
      <c r="J11" s="8">
        <f>SUM(G11:I11)</f>
        <v/>
      </c>
      <c r="K11" s="5" t="n"/>
    </row>
    <row r="12" ht="15" customHeight="1" s="52">
      <c r="B12" s="55" t="inlineStr">
        <is>
          <t>~Hispanic</t>
        </is>
      </c>
      <c r="C12" s="13" t="n"/>
      <c r="D12" s="13" t="n"/>
      <c r="E12" s="13" t="n"/>
      <c r="F12" s="6">
        <f>SUM(C12:E12)</f>
        <v/>
      </c>
      <c r="G12" s="8">
        <f>IFERROR(((C12/2)*G$2)*5,0)</f>
        <v/>
      </c>
      <c r="H12" s="8">
        <f>IFERROR(((D12/2)*H$2)*5,0)</f>
        <v/>
      </c>
      <c r="I12" s="8">
        <f>IFERROR(((E12/2)*I$2)*5,0)</f>
        <v/>
      </c>
      <c r="J12" s="8">
        <f>SUM(G12:I12)</f>
        <v/>
      </c>
      <c r="K12" s="5" t="n"/>
    </row>
    <row r="13" ht="15" customHeight="1" s="52">
      <c r="A13" s="43" t="inlineStr">
        <is>
          <t>State 2</t>
        </is>
      </c>
      <c r="B13" s="55" t="inlineStr">
        <is>
          <t>Loans</t>
        </is>
      </c>
      <c r="C13" s="13" t="n"/>
      <c r="D13" s="13" t="n"/>
      <c r="E13" s="13" t="n"/>
      <c r="F13" s="6">
        <f>SUM(C13:E13)</f>
        <v/>
      </c>
    </row>
    <row r="14" ht="15" customHeight="1" s="52">
      <c r="B14" s="55" t="inlineStr">
        <is>
          <t>~LMICT</t>
        </is>
      </c>
      <c r="C14" s="55" t="n"/>
      <c r="D14" s="55" t="n"/>
      <c r="E14" s="55" t="n"/>
      <c r="F14" s="6">
        <f>SUM(C14:E14)</f>
        <v/>
      </c>
      <c r="G14" s="8">
        <f>IFERROR(((C14/2)*G$2)*5,0)</f>
        <v/>
      </c>
      <c r="H14" s="8">
        <f>IFERROR(((D14/2)*H$2)*5,0)</f>
        <v/>
      </c>
      <c r="I14" s="8">
        <f>IFERROR(((E14/2)*I$2)*5,0)</f>
        <v/>
      </c>
      <c r="J14" s="8">
        <f>SUM(G14:I14)</f>
        <v/>
      </c>
      <c r="K14" s="5" t="n"/>
      <c r="L14" s="5" t="n"/>
    </row>
    <row r="15" ht="15" customHeight="1" s="52">
      <c r="B15" s="55" t="inlineStr">
        <is>
          <t>~LMIB</t>
        </is>
      </c>
      <c r="C15" s="55" t="n"/>
      <c r="D15" s="55" t="n"/>
      <c r="E15" s="55" t="n"/>
      <c r="F15" s="6">
        <f>SUM(C15:E15)</f>
        <v/>
      </c>
      <c r="G15" s="8">
        <f>IFERROR(((C15/2)*G$2)*5,0)</f>
        <v/>
      </c>
      <c r="H15" s="8">
        <f>IFERROR(((D15/2)*H$2)*5,0)</f>
        <v/>
      </c>
      <c r="I15" s="8">
        <f>IFERROR(((E15/2)*I$2)*5,0)</f>
        <v/>
      </c>
      <c r="J15" s="8">
        <f>SUM(G15:I15)</f>
        <v/>
      </c>
      <c r="K15" s="5" t="n"/>
      <c r="L15" s="5" t="n"/>
    </row>
    <row r="16" ht="15" customHeight="1" s="52">
      <c r="B16" s="55" t="inlineStr">
        <is>
          <t>LMIB$</t>
        </is>
      </c>
      <c r="C16" s="57" t="n"/>
      <c r="D16" s="57" t="n"/>
      <c r="E16" s="57" t="n"/>
      <c r="F16" s="6">
        <f>SUM(C16:E16)</f>
        <v/>
      </c>
      <c r="G16" s="10">
        <f>IFERROR(((C16/2)*G$2)*5,0)</f>
        <v/>
      </c>
      <c r="H16" s="10">
        <f>IFERROR(((D16/2)*H$2)*5,0)</f>
        <v/>
      </c>
      <c r="I16" s="10">
        <f>IFERROR(((E16/2)*I$2)*5,0)</f>
        <v/>
      </c>
      <c r="J16" s="11">
        <f>SUM(G16:I16)</f>
        <v/>
      </c>
      <c r="K16" s="9">
        <f>IFERROR((F16/6)*5,0)</f>
        <v/>
      </c>
      <c r="L16" s="10">
        <f>J16-K16</f>
        <v/>
      </c>
    </row>
    <row r="17" ht="15" customHeight="1" s="52">
      <c r="B17" s="55" t="inlineStr">
        <is>
          <t>~MMCT</t>
        </is>
      </c>
      <c r="C17" s="55" t="n"/>
      <c r="D17" s="55" t="n"/>
      <c r="E17" s="55" t="n"/>
      <c r="F17" s="6">
        <f>SUM(C17:E17)</f>
        <v/>
      </c>
      <c r="G17" s="8">
        <f>IFERROR(((C17/2)*G$2)*5,0)</f>
        <v/>
      </c>
      <c r="H17" s="8">
        <f>IFERROR(((D17/2)*H$2)*5,0)</f>
        <v/>
      </c>
      <c r="I17" s="8">
        <f>IFERROR(((E17/2)*I$2)*5,0)</f>
        <v/>
      </c>
      <c r="J17" s="8">
        <f>SUM(G17:I17)</f>
        <v/>
      </c>
      <c r="K17" s="5" t="n"/>
    </row>
    <row r="18" ht="15" customHeight="1" s="52">
      <c r="B18" s="55" t="inlineStr">
        <is>
          <t>~MINB</t>
        </is>
      </c>
      <c r="C18" s="55" t="n"/>
      <c r="D18" s="55" t="n"/>
      <c r="E18" s="55" t="n"/>
      <c r="F18" s="6">
        <f>SUM(C18:E18)</f>
        <v/>
      </c>
      <c r="G18" s="8">
        <f>IFERROR(((C18/2)*G$2)*5,0)</f>
        <v/>
      </c>
      <c r="H18" s="8">
        <f>IFERROR(((D18/2)*H$2)*5,0)</f>
        <v/>
      </c>
      <c r="I18" s="8">
        <f>IFERROR(((E18/2)*I$2)*5,0)</f>
        <v/>
      </c>
      <c r="J18" s="8">
        <f>SUM(G18:I18)</f>
        <v/>
      </c>
      <c r="K18" s="5" t="n"/>
    </row>
    <row r="19" ht="15" customHeight="1" s="52">
      <c r="B19" s="55" t="inlineStr">
        <is>
          <t>~Asian</t>
        </is>
      </c>
      <c r="C19" s="55" t="n"/>
      <c r="D19" s="55" t="n"/>
      <c r="E19" s="55" t="n"/>
      <c r="F19" s="6">
        <f>SUM(C19:E19)</f>
        <v/>
      </c>
      <c r="G19" s="8">
        <f>IFERROR(((C19/2)*G$2)*5,0)</f>
        <v/>
      </c>
      <c r="H19" s="8">
        <f>IFERROR(((D19/2)*H$2)*5,0)</f>
        <v/>
      </c>
      <c r="I19" s="8">
        <f>IFERROR(((E19/2)*I$2)*5,0)</f>
        <v/>
      </c>
      <c r="J19" s="8">
        <f>SUM(G19:I19)</f>
        <v/>
      </c>
      <c r="K19" s="5" t="n"/>
    </row>
    <row r="20" ht="15" customHeight="1" s="52">
      <c r="B20" s="55" t="inlineStr">
        <is>
          <t>~Black</t>
        </is>
      </c>
      <c r="C20" s="55" t="n"/>
      <c r="D20" s="55" t="n"/>
      <c r="E20" s="55" t="n"/>
      <c r="F20" s="6">
        <f>SUM(C20:E20)</f>
        <v/>
      </c>
      <c r="G20" s="8">
        <f>IFERROR(((C20/2)*G$2)*5,0)</f>
        <v/>
      </c>
      <c r="H20" s="8">
        <f>IFERROR(((D20/2)*H$2)*5,0)</f>
        <v/>
      </c>
      <c r="I20" s="8">
        <f>IFERROR(((E20/2)*I$2)*5,0)</f>
        <v/>
      </c>
      <c r="J20" s="8">
        <f>SUM(G20:I20)</f>
        <v/>
      </c>
      <c r="K20" s="5" t="n"/>
    </row>
    <row r="21" ht="15" customHeight="1" s="52">
      <c r="B21" s="55" t="inlineStr">
        <is>
          <t>~Native American</t>
        </is>
      </c>
      <c r="C21" s="55" t="n"/>
      <c r="D21" s="55" t="n"/>
      <c r="E21" s="55" t="n"/>
      <c r="F21" s="6">
        <f>SUM(C21:E21)</f>
        <v/>
      </c>
      <c r="G21" s="8">
        <f>IFERROR(((C21/2)*G$2)*5,0)</f>
        <v/>
      </c>
      <c r="H21" s="8">
        <f>IFERROR(((D21/2)*H$2)*5,0)</f>
        <v/>
      </c>
      <c r="I21" s="8">
        <f>IFERROR(((E21/2)*I$2)*5,0)</f>
        <v/>
      </c>
      <c r="J21" s="8">
        <f>SUM(G21:I21)</f>
        <v/>
      </c>
      <c r="K21" s="5" t="n"/>
    </row>
    <row r="22" ht="15" customHeight="1" s="52">
      <c r="B22" s="55" t="inlineStr">
        <is>
          <t>~HoPI</t>
        </is>
      </c>
      <c r="C22" s="55" t="n"/>
      <c r="D22" s="55" t="n"/>
      <c r="E22" s="55" t="n"/>
      <c r="F22" s="6">
        <f>SUM(C22:E22)</f>
        <v/>
      </c>
      <c r="G22" s="8">
        <f>IFERROR(((C22/2)*G$2)*5,0)</f>
        <v/>
      </c>
      <c r="H22" s="8">
        <f>IFERROR(((D22/2)*H$2)*5,0)</f>
        <v/>
      </c>
      <c r="I22" s="8">
        <f>IFERROR(((E22/2)*I$2)*5,0)</f>
        <v/>
      </c>
      <c r="J22" s="8">
        <f>SUM(G22:I22)</f>
        <v/>
      </c>
      <c r="K22" s="5" t="n"/>
    </row>
    <row r="23" ht="15" customHeight="1" s="52">
      <c r="B23" s="55" t="inlineStr">
        <is>
          <t>~Hispanic</t>
        </is>
      </c>
      <c r="C23" s="55" t="n"/>
      <c r="D23" s="55" t="n"/>
      <c r="E23" s="55" t="n"/>
      <c r="F23" s="6">
        <f>SUM(C23:E23)</f>
        <v/>
      </c>
      <c r="G23" s="8">
        <f>IFERROR(((C23/2)*G$2)*5,0)</f>
        <v/>
      </c>
      <c r="H23" s="8">
        <f>IFERROR(((D23/2)*H$2)*5,0)</f>
        <v/>
      </c>
      <c r="I23" s="8">
        <f>IFERROR(((E23/2)*I$2)*5,0)</f>
        <v/>
      </c>
      <c r="J23" s="8">
        <f>SUM(G23:I23)</f>
        <v/>
      </c>
      <c r="K23" s="5" t="n"/>
    </row>
  </sheetData>
  <mergeCells count="2">
    <mergeCell ref="A2:A12"/>
    <mergeCell ref="A13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2" sqref="D2:E26"/>
    </sheetView>
  </sheetViews>
  <sheetFormatPr baseColWidth="8" defaultRowHeight="15" customHeight="1"/>
  <cols>
    <col width="24.85546875" customWidth="1" style="52" min="1" max="6"/>
  </cols>
  <sheetData>
    <row r="1">
      <c r="A1" s="69" t="inlineStr">
        <is>
          <t>State</t>
        </is>
      </c>
      <c r="B1" s="72" t="n"/>
      <c r="C1" s="70" t="n"/>
      <c r="D1" s="69" t="inlineStr">
        <is>
          <t>Bank A</t>
        </is>
      </c>
      <c r="E1" s="69" t="inlineStr">
        <is>
          <t>Peers</t>
        </is>
      </c>
      <c r="F1" s="62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>
        <v>0</v>
      </c>
      <c r="E2" s="13" t="n">
        <v>0</v>
      </c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</sheetData>
  <mergeCells count="5">
    <mergeCell ref="A7:A26"/>
    <mergeCell ref="B17:B21"/>
    <mergeCell ref="B12:B16"/>
    <mergeCell ref="B22:B26"/>
    <mergeCell ref="B7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5"/>
  <sheetData>
    <row r="1">
      <c r="A1" s="62" t="n"/>
      <c r="B1" s="62" t="n"/>
      <c r="C1" s="73" t="inlineStr">
        <is>
          <t>Atlantic Union</t>
        </is>
      </c>
      <c r="D1" s="62" t="n"/>
      <c r="E1" s="62" t="n"/>
      <c r="F1" s="62" t="n"/>
      <c r="G1" s="62" t="n"/>
      <c r="H1" s="73" t="inlineStr">
        <is>
          <t>Other Banks</t>
        </is>
      </c>
      <c r="I1" s="62" t="n"/>
      <c r="J1" s="62" t="n"/>
      <c r="K1" s="62" t="n"/>
      <c r="L1" s="62" t="n"/>
    </row>
    <row r="2">
      <c r="A2" s="74" t="inlineStr">
        <is>
          <t>Atlantic Union Assessment Areas</t>
        </is>
      </c>
      <c r="B2" s="62" t="n"/>
      <c r="C2" s="73" t="inlineStr">
        <is>
          <t>2018</t>
        </is>
      </c>
      <c r="D2" s="73" t="inlineStr">
        <is>
          <t>2019</t>
        </is>
      </c>
      <c r="E2" s="73" t="inlineStr">
        <is>
          <t>2020</t>
        </is>
      </c>
      <c r="F2" s="73" t="inlineStr">
        <is>
          <t>2021</t>
        </is>
      </c>
      <c r="G2" s="73" t="inlineStr">
        <is>
          <t>2022</t>
        </is>
      </c>
      <c r="H2" s="73" t="inlineStr">
        <is>
          <t>2018</t>
        </is>
      </c>
      <c r="I2" s="73" t="inlineStr">
        <is>
          <t>2019</t>
        </is>
      </c>
      <c r="J2" s="73" t="inlineStr">
        <is>
          <t>2020</t>
        </is>
      </c>
      <c r="K2" s="73" t="inlineStr">
        <is>
          <t>2021</t>
        </is>
      </c>
      <c r="L2" s="73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6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6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6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6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6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6" t="inlineStr">
        <is>
          <t>Arlington-Alexandria-Reston, VA AA</t>
        </is>
      </c>
      <c r="B9" s="46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6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6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6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6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6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6" t="inlineStr">
        <is>
          <t>Richmond, VA AA</t>
        </is>
      </c>
      <c r="B15" s="46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6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6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6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6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6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6" t="inlineStr">
        <is>
          <t>Virginia Beach VA-NC AA</t>
        </is>
      </c>
      <c r="B21" s="46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6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6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6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6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6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6" t="inlineStr">
        <is>
          <t>Northeastern VA non-MSA AA</t>
        </is>
      </c>
      <c r="B27" s="46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6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6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6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6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6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6" t="inlineStr">
        <is>
          <t>Charlottesville, VA MSA</t>
        </is>
      </c>
      <c r="B33" s="46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6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6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6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6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6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6" t="inlineStr">
        <is>
          <t>Roanoke, VA MSA</t>
        </is>
      </c>
      <c r="B39" s="46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6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6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6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6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6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6" t="inlineStr">
        <is>
          <t>Blacksburg-Christiansburg-Radford, VA MSA</t>
        </is>
      </c>
      <c r="B45" s="46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6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6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6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6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6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6" t="inlineStr">
        <is>
          <t>Staunton-Stuarts Draft, VA MSA</t>
        </is>
      </c>
      <c r="B51" s="46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6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6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6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6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6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6" t="inlineStr">
        <is>
          <t>Northeast NC non-MSA AA</t>
        </is>
      </c>
      <c r="B57" s="46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6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6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6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6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6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6" t="inlineStr">
        <is>
          <t>Lynchburg, VA MSA</t>
        </is>
      </c>
      <c r="B63" s="46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6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6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6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6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6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6" t="inlineStr">
        <is>
          <t>Central VA non-MSA AA</t>
        </is>
      </c>
      <c r="B69" s="46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6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6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6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6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6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6" t="inlineStr">
        <is>
          <t>Harrisonburg, VA MSA</t>
        </is>
      </c>
      <c r="B75" s="46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6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6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6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6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6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6" t="inlineStr">
        <is>
          <t>Raleigh-Cary, NC AA</t>
        </is>
      </c>
      <c r="B81" s="46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6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6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6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6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6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6" t="inlineStr">
        <is>
          <t>Eastern Shore VA non-MSA AA</t>
        </is>
      </c>
      <c r="B87" s="46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6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6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6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6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6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6" t="inlineStr">
        <is>
          <t>Southside VA non-MSA AA</t>
        </is>
      </c>
      <c r="B93" s="46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6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6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6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6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6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6" t="inlineStr">
        <is>
          <t>Northwestern VA non-MSA AA</t>
        </is>
      </c>
      <c r="B99" s="46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6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6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6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6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6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6" t="inlineStr">
        <is>
          <t>Eastern Shore MD AA</t>
        </is>
      </c>
      <c r="B105" s="46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6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6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6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6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6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6" t="inlineStr">
        <is>
          <t>Southeastern VA non-MSA AA</t>
        </is>
      </c>
      <c r="B111" s="46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6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6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6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6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6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6" t="inlineStr">
        <is>
          <t>Winston-Salem, NC AA</t>
        </is>
      </c>
      <c r="B117" s="46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6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6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6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6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6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6" t="inlineStr">
        <is>
          <t>Greensboro-High Point, NC AA</t>
        </is>
      </c>
      <c r="B123" s="46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6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6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6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6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6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6" t="inlineStr">
        <is>
          <t>Yanceyville, NC non-MSA AA</t>
        </is>
      </c>
      <c r="B129" s="46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6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6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6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6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6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A45:A50"/>
    <mergeCell ref="C1:G1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0"/>
  <sheetViews>
    <sheetView workbookViewId="0">
      <selection activeCell="D2" sqref="D2:E26"/>
    </sheetView>
  </sheetViews>
  <sheetFormatPr baseColWidth="8" defaultRowHeight="15" customHeight="1"/>
  <cols>
    <col width="51" bestFit="1" customWidth="1" style="52" min="2" max="2"/>
    <col width="30.7109375" bestFit="1" customWidth="1" style="52" min="3" max="3"/>
    <col width="16" bestFit="1" customWidth="1" style="52" min="4" max="4"/>
    <col width="26.5703125" customWidth="1" style="52" min="5" max="5"/>
    <col width="15" customWidth="1" style="52" min="6" max="6"/>
  </cols>
  <sheetData>
    <row r="1">
      <c r="A1" s="69" t="inlineStr">
        <is>
          <t>State</t>
        </is>
      </c>
      <c r="B1" s="72" t="n"/>
      <c r="C1" s="70" t="n"/>
      <c r="D1" s="69" t="inlineStr">
        <is>
          <t>Bank B</t>
        </is>
      </c>
      <c r="E1" s="69" t="inlineStr">
        <is>
          <t>Peers</t>
        </is>
      </c>
      <c r="F1" s="62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/>
      <c r="E2" s="13" t="n"/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  <row r="27">
      <c r="A27" s="55" t="n"/>
      <c r="B27" s="55" t="n"/>
      <c r="C27" s="55" t="n"/>
      <c r="D27" s="13" t="n"/>
      <c r="E27" s="13" t="n"/>
      <c r="F27" s="5" t="n"/>
    </row>
    <row r="28">
      <c r="A28" s="55" t="n"/>
      <c r="B28" s="55" t="n"/>
      <c r="C28" s="55" t="n"/>
      <c r="D28" s="55" t="n"/>
      <c r="E28" s="55" t="n"/>
      <c r="F28" s="5" t="n"/>
    </row>
    <row r="29">
      <c r="A29" s="55" t="n"/>
      <c r="B29" s="55" t="n"/>
      <c r="C29" s="55" t="n"/>
      <c r="D29" s="57" t="n"/>
      <c r="E29" s="57" t="n"/>
      <c r="F29" s="5" t="n"/>
    </row>
    <row r="30">
      <c r="A30" s="55" t="n"/>
      <c r="B30" s="55" t="n"/>
      <c r="C30" s="55" t="n"/>
      <c r="D30" s="55" t="n"/>
      <c r="E30" s="13" t="n"/>
      <c r="F30" s="5" t="n"/>
    </row>
    <row r="31">
      <c r="A31" s="55" t="n"/>
      <c r="B31" s="55" t="n"/>
      <c r="C31" s="55" t="n"/>
      <c r="D31" s="57" t="n"/>
      <c r="E31" s="57" t="n"/>
      <c r="F31" s="5" t="n"/>
    </row>
    <row r="32">
      <c r="B32" s="46" t="n"/>
      <c r="C32" s="46" t="n"/>
      <c r="D32" s="1" t="n"/>
      <c r="E32" s="1" t="n"/>
      <c r="F32" s="5" t="n"/>
    </row>
    <row r="33">
      <c r="C33" s="46" t="n"/>
      <c r="D33" s="1" t="n"/>
      <c r="E33" s="1" t="n"/>
      <c r="F33" s="5" t="n"/>
    </row>
    <row r="34">
      <c r="C34" s="46" t="n"/>
      <c r="D34" s="61" t="n"/>
      <c r="E34" s="61" t="n"/>
      <c r="F34" s="5" t="n"/>
    </row>
    <row r="35">
      <c r="C35" s="46" t="n"/>
      <c r="D35" s="1" t="n"/>
      <c r="E35" s="1" t="n"/>
      <c r="F35" s="5" t="n"/>
    </row>
    <row r="36">
      <c r="C36" s="46" t="n"/>
      <c r="D36" s="61" t="n"/>
      <c r="E36" s="61" t="n"/>
      <c r="F36" s="5" t="n"/>
    </row>
    <row r="37">
      <c r="B37" s="46" t="n"/>
      <c r="C37" s="46" t="n"/>
      <c r="D37" s="1" t="n"/>
      <c r="E37" s="1" t="n"/>
      <c r="F37" s="5" t="n"/>
    </row>
    <row r="38">
      <c r="C38" s="46" t="n"/>
      <c r="D38" s="1" t="n"/>
      <c r="E38" s="1" t="n"/>
      <c r="F38" s="5" t="n"/>
    </row>
    <row r="39">
      <c r="C39" s="46" t="n"/>
      <c r="D39" s="61" t="n"/>
      <c r="E39" s="61" t="n"/>
      <c r="F39" s="5" t="n"/>
    </row>
    <row r="40">
      <c r="C40" s="46" t="n"/>
      <c r="D40" s="1" t="n"/>
      <c r="E40" s="1" t="n"/>
      <c r="F40" s="5" t="n"/>
    </row>
    <row r="41">
      <c r="C41" s="46" t="n"/>
      <c r="D41" s="61" t="n"/>
      <c r="E41" s="61" t="n"/>
      <c r="F41" s="5" t="n"/>
    </row>
    <row r="42">
      <c r="B42" s="46" t="n"/>
      <c r="C42" s="46" t="n"/>
      <c r="D42" s="1" t="n"/>
      <c r="E42" s="1" t="n"/>
      <c r="F42" s="5" t="n"/>
    </row>
    <row r="43">
      <c r="C43" s="46" t="n"/>
      <c r="D43" s="1" t="n"/>
      <c r="E43" s="1" t="n"/>
      <c r="F43" s="5" t="n"/>
    </row>
    <row r="44">
      <c r="C44" s="46" t="n"/>
      <c r="D44" s="61" t="n"/>
      <c r="E44" s="61" t="n"/>
      <c r="F44" s="5" t="n"/>
    </row>
    <row r="45">
      <c r="C45" s="46" t="n"/>
      <c r="D45" s="1" t="n"/>
      <c r="E45" s="1" t="n"/>
      <c r="F45" s="5" t="n"/>
    </row>
    <row r="46">
      <c r="C46" s="46" t="n"/>
      <c r="D46" s="61" t="n"/>
      <c r="E46" s="61" t="n"/>
      <c r="F46" s="5" t="n"/>
    </row>
    <row r="47">
      <c r="B47" s="46" t="n"/>
      <c r="C47" s="46" t="n"/>
      <c r="D47" s="1" t="n"/>
      <c r="E47" s="1" t="n"/>
      <c r="F47" s="5" t="n"/>
    </row>
    <row r="48">
      <c r="C48" s="46" t="n"/>
      <c r="D48" s="1" t="n"/>
      <c r="E48" s="1" t="n"/>
      <c r="F48" s="5" t="n"/>
    </row>
    <row r="49">
      <c r="C49" s="46" t="n"/>
      <c r="D49" s="61" t="n"/>
      <c r="E49" s="61" t="n"/>
      <c r="F49" s="5" t="n"/>
    </row>
    <row r="50">
      <c r="C50" s="46" t="n"/>
      <c r="D50" s="1" t="n"/>
      <c r="E50" s="1" t="n"/>
      <c r="F50" s="5" t="n"/>
    </row>
    <row r="51">
      <c r="C51" s="46" t="n"/>
      <c r="D51" s="61" t="n"/>
      <c r="E51" s="61" t="n"/>
      <c r="F51" s="5" t="n"/>
    </row>
    <row r="52">
      <c r="B52" s="46" t="n"/>
      <c r="C52" s="46" t="n"/>
      <c r="D52" s="1" t="n"/>
      <c r="E52" s="1" t="n"/>
      <c r="F52" s="5" t="n"/>
    </row>
    <row r="53">
      <c r="C53" s="46" t="n"/>
      <c r="D53" s="1" t="n"/>
      <c r="E53" s="1" t="n"/>
      <c r="F53" s="5" t="n"/>
    </row>
    <row r="54">
      <c r="C54" s="46" t="n"/>
      <c r="D54" s="61" t="n"/>
      <c r="E54" s="61" t="n"/>
      <c r="F54" s="5" t="n"/>
    </row>
    <row r="55">
      <c r="C55" s="46" t="n"/>
      <c r="D55" s="1" t="n"/>
      <c r="E55" s="1" t="n"/>
      <c r="F55" s="5" t="n"/>
    </row>
    <row r="56">
      <c r="C56" s="46" t="n"/>
      <c r="D56" s="61" t="n"/>
      <c r="E56" s="61" t="n"/>
      <c r="F56" s="5" t="n"/>
    </row>
    <row r="57">
      <c r="B57" s="46" t="n"/>
      <c r="C57" s="46" t="n"/>
      <c r="D57" s="1" t="n"/>
      <c r="E57" s="1" t="n"/>
      <c r="F57" s="5" t="n"/>
    </row>
    <row r="58">
      <c r="C58" s="46" t="n"/>
      <c r="D58" s="1" t="n"/>
      <c r="E58" s="1" t="n"/>
      <c r="F58" s="5" t="n"/>
    </row>
    <row r="59">
      <c r="C59" s="46" t="n"/>
      <c r="D59" s="61" t="n"/>
      <c r="E59" s="61" t="n"/>
      <c r="F59" s="5" t="n"/>
    </row>
    <row r="60">
      <c r="C60" s="46" t="n"/>
      <c r="D60" s="1" t="n"/>
      <c r="E60" s="1" t="n"/>
      <c r="F60" s="5" t="n"/>
    </row>
    <row r="61">
      <c r="C61" s="46" t="n"/>
      <c r="D61" s="61" t="n"/>
      <c r="E61" s="61" t="n"/>
      <c r="F61" s="5" t="n"/>
    </row>
    <row r="62">
      <c r="B62" s="46" t="n"/>
      <c r="C62" s="46" t="n"/>
      <c r="D62" s="1" t="n"/>
      <c r="E62" s="1" t="n"/>
      <c r="F62" s="5" t="n"/>
    </row>
    <row r="63">
      <c r="C63" s="46" t="n"/>
      <c r="D63" s="1" t="n"/>
      <c r="E63" s="1" t="n"/>
      <c r="F63" s="5" t="n"/>
    </row>
    <row r="64">
      <c r="C64" s="46" t="n"/>
      <c r="D64" s="61" t="n"/>
      <c r="E64" s="61" t="n"/>
      <c r="F64" s="5" t="n"/>
    </row>
    <row r="65">
      <c r="C65" s="46" t="n"/>
      <c r="D65" s="1" t="n"/>
      <c r="E65" s="1" t="n"/>
      <c r="F65" s="5" t="n"/>
    </row>
    <row r="66">
      <c r="C66" s="46" t="n"/>
      <c r="D66" s="61" t="n"/>
      <c r="E66" s="61" t="n"/>
      <c r="F66" s="5" t="n"/>
    </row>
    <row r="67">
      <c r="B67" s="46" t="n"/>
      <c r="C67" s="46" t="n"/>
      <c r="D67" s="1" t="n"/>
      <c r="E67" s="1" t="n"/>
      <c r="F67" s="5" t="n"/>
    </row>
    <row r="68">
      <c r="C68" s="46" t="n"/>
      <c r="D68" s="1" t="n"/>
      <c r="E68" s="1" t="n"/>
      <c r="F68" s="5" t="n"/>
    </row>
    <row r="69">
      <c r="C69" s="46" t="n"/>
      <c r="D69" s="61" t="n"/>
      <c r="E69" s="61" t="n"/>
      <c r="F69" s="5" t="n"/>
    </row>
    <row r="70">
      <c r="C70" s="46" t="n"/>
      <c r="D70" s="1" t="n"/>
      <c r="E70" s="1" t="n"/>
      <c r="F70" s="5" t="n"/>
    </row>
    <row r="71">
      <c r="C71" s="46" t="n"/>
      <c r="D71" s="61" t="n"/>
      <c r="E71" s="61" t="n"/>
      <c r="F71" s="5" t="n"/>
    </row>
    <row r="72">
      <c r="B72" s="46" t="n"/>
      <c r="C72" s="46" t="n"/>
      <c r="D72" s="1" t="n"/>
      <c r="E72" s="1" t="n"/>
      <c r="F72" s="5" t="n"/>
    </row>
    <row r="73">
      <c r="C73" s="46" t="n"/>
      <c r="D73" s="1" t="n"/>
      <c r="E73" s="1" t="n"/>
      <c r="F73" s="5" t="n"/>
    </row>
    <row r="74">
      <c r="C74" s="46" t="n"/>
      <c r="D74" s="61" t="n"/>
      <c r="E74" s="61" t="n"/>
      <c r="F74" s="5" t="n"/>
    </row>
    <row r="75">
      <c r="C75" s="46" t="n"/>
      <c r="D75" s="1" t="n"/>
      <c r="E75" s="1" t="n"/>
      <c r="F75" s="5" t="n"/>
    </row>
    <row r="76">
      <c r="C76" s="46" t="n"/>
      <c r="D76" s="61" t="n"/>
      <c r="E76" s="61" t="n"/>
      <c r="F76" s="5" t="n"/>
    </row>
    <row r="77">
      <c r="B77" s="46" t="n"/>
      <c r="C77" s="46" t="n"/>
      <c r="D77" s="1" t="n"/>
      <c r="E77" s="1" t="n"/>
      <c r="F77" s="5" t="n"/>
    </row>
    <row r="78">
      <c r="C78" s="46" t="n"/>
      <c r="D78" s="1" t="n"/>
      <c r="E78" s="1" t="n"/>
      <c r="F78" s="5" t="n"/>
    </row>
    <row r="79">
      <c r="C79" s="46" t="n"/>
      <c r="D79" s="61" t="n"/>
      <c r="E79" s="61" t="n"/>
      <c r="F79" s="5" t="n"/>
    </row>
    <row r="80">
      <c r="C80" s="46" t="n"/>
      <c r="D80" s="1" t="n"/>
      <c r="E80" s="1" t="n"/>
      <c r="F80" s="5" t="n"/>
    </row>
    <row r="81">
      <c r="C81" s="46" t="n"/>
      <c r="D81" s="61" t="n"/>
      <c r="E81" s="61" t="n"/>
      <c r="F81" s="5" t="n"/>
    </row>
    <row r="82">
      <c r="B82" s="46" t="n"/>
      <c r="C82" s="46" t="n"/>
      <c r="D82" s="1" t="n"/>
      <c r="E82" s="1" t="n"/>
      <c r="F82" s="5" t="n"/>
    </row>
    <row r="83">
      <c r="C83" s="46" t="n"/>
      <c r="D83" s="1" t="n"/>
      <c r="E83" s="1" t="n"/>
      <c r="F83" s="5" t="n"/>
    </row>
    <row r="84">
      <c r="C84" s="46" t="n"/>
      <c r="D84" s="61" t="n"/>
      <c r="E84" s="61" t="n"/>
      <c r="F84" s="5" t="n"/>
    </row>
    <row r="85">
      <c r="C85" s="46" t="n"/>
      <c r="D85" s="1" t="n"/>
      <c r="E85" s="1" t="n"/>
      <c r="F85" s="5" t="n"/>
    </row>
    <row r="86">
      <c r="C86" s="46" t="n"/>
      <c r="D86" s="61" t="n"/>
      <c r="E86" s="61" t="n"/>
      <c r="F86" s="5" t="n"/>
    </row>
    <row r="87">
      <c r="B87" s="46" t="n"/>
      <c r="C87" s="46" t="n"/>
      <c r="D87" s="1" t="n"/>
      <c r="E87" s="1" t="n"/>
      <c r="F87" s="5" t="n"/>
    </row>
    <row r="88">
      <c r="C88" s="46" t="n"/>
      <c r="D88" s="1" t="n"/>
      <c r="E88" s="1" t="n"/>
      <c r="F88" s="5" t="n"/>
    </row>
    <row r="89">
      <c r="C89" s="46" t="n"/>
      <c r="D89" s="61" t="n"/>
      <c r="E89" s="61" t="n"/>
      <c r="F89" s="5" t="n"/>
    </row>
    <row r="90">
      <c r="C90" s="46" t="n"/>
      <c r="D90" s="1" t="n"/>
      <c r="E90" s="1" t="n"/>
      <c r="F90" s="5" t="n"/>
    </row>
    <row r="91">
      <c r="C91" s="46" t="n"/>
      <c r="D91" s="61" t="n"/>
      <c r="E91" s="61" t="n"/>
      <c r="F91" s="5" t="n"/>
    </row>
    <row r="92">
      <c r="B92" s="46" t="n"/>
      <c r="C92" s="46" t="n"/>
      <c r="D92" s="1" t="n"/>
      <c r="E92" s="1" t="n"/>
      <c r="F92" s="5" t="n"/>
    </row>
    <row r="93">
      <c r="C93" s="46" t="n"/>
      <c r="D93" s="1" t="n"/>
      <c r="E93" s="1" t="n"/>
      <c r="F93" s="5" t="n"/>
    </row>
    <row r="94">
      <c r="C94" s="46" t="n"/>
      <c r="D94" s="61" t="n"/>
      <c r="E94" s="61" t="n"/>
      <c r="F94" s="5" t="n"/>
    </row>
    <row r="95">
      <c r="C95" s="46" t="n"/>
      <c r="D95" s="1" t="n"/>
      <c r="E95" s="1" t="n"/>
      <c r="F95" s="5" t="n"/>
    </row>
    <row r="96">
      <c r="C96" s="46" t="n"/>
      <c r="D96" s="61" t="n"/>
      <c r="E96" s="61" t="n"/>
      <c r="F96" s="5" t="n"/>
    </row>
    <row r="97">
      <c r="B97" s="46" t="n"/>
      <c r="C97" s="46" t="n"/>
      <c r="D97" s="1" t="n"/>
      <c r="E97" s="1" t="n"/>
      <c r="F97" s="5" t="n"/>
    </row>
    <row r="98">
      <c r="C98" s="46" t="n"/>
      <c r="D98" s="1" t="n"/>
      <c r="E98" s="1" t="n"/>
      <c r="F98" s="5" t="n"/>
    </row>
    <row r="99">
      <c r="C99" s="46" t="n"/>
      <c r="D99" s="61" t="n"/>
      <c r="E99" s="61" t="n"/>
      <c r="F99" s="5" t="n"/>
    </row>
    <row r="100">
      <c r="C100" s="46" t="n"/>
      <c r="D100" s="1" t="n"/>
      <c r="E100" s="1" t="n"/>
      <c r="F100" s="5" t="n"/>
    </row>
    <row r="101">
      <c r="C101" s="46" t="n"/>
      <c r="D101" s="61" t="n"/>
      <c r="E101" s="61" t="n"/>
      <c r="F101" s="5" t="n"/>
    </row>
    <row r="102">
      <c r="B102" s="46" t="n"/>
      <c r="C102" s="46" t="n"/>
      <c r="D102" s="1" t="n"/>
      <c r="E102" s="1" t="n"/>
      <c r="F102" s="5" t="n"/>
    </row>
    <row r="103">
      <c r="C103" s="46" t="n"/>
      <c r="D103" s="1" t="n"/>
      <c r="E103" s="1" t="n"/>
      <c r="F103" s="5" t="n"/>
    </row>
    <row r="104">
      <c r="C104" s="46" t="n"/>
      <c r="D104" s="61" t="n"/>
      <c r="E104" s="61" t="n"/>
      <c r="F104" s="5" t="n"/>
    </row>
    <row r="105">
      <c r="C105" s="46" t="n"/>
      <c r="D105" s="1" t="n"/>
      <c r="E105" s="1" t="n"/>
      <c r="F105" s="5" t="n"/>
    </row>
    <row r="106">
      <c r="C106" s="46" t="n"/>
      <c r="D106" s="61" t="n"/>
      <c r="E106" s="61" t="n"/>
      <c r="F106" s="5" t="n"/>
    </row>
    <row r="107">
      <c r="B107" s="46" t="n"/>
      <c r="C107" s="46" t="n"/>
      <c r="D107" s="1" t="n"/>
      <c r="E107" s="1" t="n"/>
      <c r="F107" s="5" t="n"/>
    </row>
    <row r="108">
      <c r="C108" s="46" t="n"/>
      <c r="D108" s="1" t="n"/>
      <c r="E108" s="1" t="n"/>
      <c r="F108" s="5" t="n"/>
    </row>
    <row r="109">
      <c r="C109" s="46" t="n"/>
      <c r="D109" s="61" t="n"/>
      <c r="E109" s="61" t="n"/>
      <c r="F109" s="5" t="n"/>
    </row>
    <row r="110">
      <c r="C110" s="46" t="n"/>
      <c r="D110" s="1" t="n"/>
      <c r="E110" s="1" t="n"/>
      <c r="F110" s="5" t="n"/>
    </row>
    <row r="111">
      <c r="C111" s="46" t="n"/>
      <c r="D111" s="61" t="n"/>
      <c r="E111" s="61" t="n"/>
      <c r="F111" s="5" t="n"/>
    </row>
    <row r="112">
      <c r="B112" s="46" t="n"/>
      <c r="C112" s="46" t="n"/>
      <c r="D112" s="1" t="n"/>
      <c r="E112" s="1" t="n"/>
      <c r="F112" s="5" t="n"/>
    </row>
    <row r="113">
      <c r="C113" s="46" t="n"/>
      <c r="D113" s="1" t="n"/>
      <c r="E113" s="1" t="n"/>
      <c r="F113" s="5" t="n"/>
    </row>
    <row r="114">
      <c r="C114" s="46" t="n"/>
      <c r="D114" s="61" t="n"/>
      <c r="E114" s="61" t="n"/>
      <c r="F114" s="5" t="n"/>
    </row>
    <row r="115">
      <c r="C115" s="46" t="n"/>
      <c r="D115" s="1" t="n"/>
      <c r="E115" s="1" t="n"/>
      <c r="F115" s="5" t="n"/>
    </row>
    <row r="116">
      <c r="C116" s="46" t="n"/>
      <c r="D116" s="61" t="n"/>
      <c r="E116" s="61" t="n"/>
      <c r="F116" s="5" t="n"/>
    </row>
    <row r="117">
      <c r="B117" s="46" t="n"/>
      <c r="C117" s="46" t="n"/>
      <c r="D117" s="1" t="n"/>
      <c r="E117" s="1" t="n"/>
      <c r="F117" s="5" t="n"/>
    </row>
    <row r="118">
      <c r="C118" s="46" t="n"/>
      <c r="D118" s="1" t="n"/>
      <c r="E118" s="1" t="n"/>
      <c r="F118" s="5" t="n"/>
    </row>
    <row r="119">
      <c r="C119" s="46" t="n"/>
      <c r="D119" s="61" t="n"/>
      <c r="E119" s="61" t="n"/>
      <c r="F119" s="5" t="n"/>
    </row>
    <row r="120">
      <c r="C120" s="46" t="n"/>
      <c r="D120" s="1" t="n"/>
      <c r="E120" s="1" t="n"/>
      <c r="F120" s="5" t="n"/>
    </row>
    <row r="121">
      <c r="C121" s="46" t="n"/>
      <c r="D121" s="61" t="n"/>
      <c r="E121" s="61" t="n"/>
      <c r="F121" s="5" t="n"/>
    </row>
    <row r="122">
      <c r="B122" s="46" t="n"/>
      <c r="C122" s="46" t="n"/>
      <c r="D122" s="1" t="n"/>
      <c r="E122" s="1" t="n"/>
      <c r="F122" s="5" t="n"/>
    </row>
    <row r="123">
      <c r="C123" s="46" t="n"/>
      <c r="D123" s="1" t="n"/>
      <c r="E123" s="1" t="n"/>
      <c r="F123" s="5" t="n"/>
    </row>
    <row r="124">
      <c r="C124" s="46" t="n"/>
      <c r="D124" s="61" t="n"/>
      <c r="E124" s="61" t="n"/>
      <c r="F124" s="5" t="n"/>
    </row>
    <row r="125">
      <c r="C125" s="46" t="n"/>
      <c r="D125" s="1" t="n"/>
      <c r="E125" s="1" t="n"/>
      <c r="F125" s="5" t="n"/>
    </row>
    <row r="126">
      <c r="C126" s="46" t="n"/>
      <c r="D126" s="61" t="n"/>
      <c r="E126" s="61" t="n"/>
      <c r="F126" s="5" t="n"/>
    </row>
    <row r="127">
      <c r="B127" s="46" t="n"/>
      <c r="C127" s="46" t="n"/>
      <c r="D127" s="1" t="n"/>
      <c r="E127" s="1" t="n"/>
      <c r="F127" s="5" t="n"/>
    </row>
    <row r="128">
      <c r="C128" s="46" t="n"/>
      <c r="D128" s="1" t="n"/>
      <c r="E128" s="1" t="n"/>
      <c r="F128" s="5" t="n"/>
    </row>
    <row r="129">
      <c r="C129" s="46" t="n"/>
      <c r="D129" s="61" t="n"/>
      <c r="E129" s="61" t="n"/>
      <c r="F129" s="5" t="n"/>
    </row>
    <row r="130">
      <c r="C130" s="46" t="n"/>
      <c r="D130" s="1" t="n"/>
      <c r="E130" s="1" t="n"/>
      <c r="F130" s="5" t="n"/>
    </row>
    <row r="131">
      <c r="C131" s="46" t="n"/>
      <c r="D131" s="61" t="n"/>
      <c r="E131" s="61" t="n"/>
      <c r="F131" s="5" t="n"/>
    </row>
    <row r="132">
      <c r="B132" s="46" t="n"/>
      <c r="C132" s="46" t="n"/>
      <c r="D132" s="1" t="n"/>
      <c r="E132" s="1" t="n"/>
      <c r="F132" s="5" t="n"/>
    </row>
    <row r="133">
      <c r="C133" s="46" t="n"/>
      <c r="D133" s="1" t="n"/>
      <c r="E133" s="1" t="n"/>
      <c r="F133" s="5" t="n"/>
    </row>
    <row r="134">
      <c r="C134" s="46" t="n"/>
      <c r="D134" s="61" t="n"/>
      <c r="E134" s="61" t="n"/>
      <c r="F134" s="5" t="n"/>
    </row>
    <row r="135">
      <c r="C135" s="46" t="n"/>
      <c r="D135" s="1" t="n"/>
      <c r="E135" s="1" t="n"/>
      <c r="F135" s="5" t="n"/>
    </row>
    <row r="136">
      <c r="C136" s="46" t="n"/>
      <c r="D136" s="61" t="n"/>
      <c r="E136" s="61" t="n"/>
      <c r="F136" s="5" t="n"/>
    </row>
    <row r="137">
      <c r="B137" s="46" t="n"/>
      <c r="C137" s="46" t="n"/>
      <c r="D137" s="1" t="n"/>
      <c r="E137" s="1" t="n"/>
      <c r="F137" s="5" t="n"/>
    </row>
    <row r="138">
      <c r="C138" s="46" t="n"/>
      <c r="D138" s="1" t="n"/>
      <c r="E138" s="1" t="n"/>
      <c r="F138" s="5" t="n"/>
    </row>
    <row r="139">
      <c r="C139" s="46" t="n"/>
      <c r="D139" s="61" t="n"/>
      <c r="E139" s="61" t="n"/>
      <c r="F139" s="5" t="n"/>
    </row>
    <row r="140">
      <c r="C140" s="46" t="n"/>
      <c r="D140" s="1" t="n"/>
      <c r="E140" s="1" t="n"/>
      <c r="F140" s="5" t="n"/>
    </row>
    <row r="141">
      <c r="C141" s="46" t="n"/>
      <c r="D141" s="61" t="n"/>
      <c r="E141" s="61" t="n"/>
      <c r="F141" s="5" t="n"/>
    </row>
    <row r="142">
      <c r="B142" s="46" t="n"/>
      <c r="C142" s="46" t="n"/>
      <c r="D142" s="1" t="n"/>
      <c r="E142" s="1" t="n"/>
      <c r="F142" s="5" t="n"/>
    </row>
    <row r="143">
      <c r="C143" s="46" t="n"/>
      <c r="D143" s="1" t="n"/>
      <c r="E143" s="1" t="n"/>
      <c r="F143" s="5" t="n"/>
    </row>
    <row r="144">
      <c r="C144" s="46" t="n"/>
      <c r="D144" s="61" t="n"/>
      <c r="E144" s="61" t="n"/>
      <c r="F144" s="5" t="n"/>
    </row>
    <row r="145">
      <c r="C145" s="46" t="n"/>
      <c r="D145" s="1" t="n"/>
      <c r="E145" s="1" t="n"/>
      <c r="F145" s="5" t="n"/>
    </row>
    <row r="146">
      <c r="C146" s="46" t="n"/>
      <c r="D146" s="61" t="n"/>
      <c r="E146" s="61" t="n"/>
      <c r="F146" s="5" t="n"/>
    </row>
    <row r="147">
      <c r="B147" s="46" t="n"/>
      <c r="C147" s="46" t="n"/>
      <c r="D147" s="1" t="n"/>
      <c r="E147" s="1" t="n"/>
      <c r="F147" s="5" t="n"/>
    </row>
    <row r="148">
      <c r="C148" s="46" t="n"/>
      <c r="D148" s="1" t="n"/>
      <c r="E148" s="1" t="n"/>
      <c r="F148" s="5" t="n"/>
    </row>
    <row r="149">
      <c r="C149" s="46" t="n"/>
      <c r="D149" s="61" t="n"/>
      <c r="E149" s="61" t="n"/>
      <c r="F149" s="5" t="n"/>
    </row>
    <row r="150">
      <c r="C150" s="46" t="n"/>
      <c r="D150" s="1" t="n"/>
      <c r="E150" s="1" t="n"/>
      <c r="F150" s="5" t="n"/>
    </row>
    <row r="151">
      <c r="C151" s="46" t="n"/>
      <c r="D151" s="61" t="n"/>
      <c r="E151" s="61" t="n"/>
      <c r="F151" s="5" t="n"/>
    </row>
    <row r="152">
      <c r="B152" s="46" t="n"/>
      <c r="C152" s="46" t="n"/>
      <c r="D152" s="1" t="n"/>
      <c r="E152" s="1" t="n"/>
      <c r="F152" s="5" t="n"/>
    </row>
    <row r="153">
      <c r="C153" s="46" t="n"/>
      <c r="D153" s="1" t="n"/>
      <c r="E153" s="1" t="n"/>
      <c r="F153" s="5" t="n"/>
    </row>
    <row r="154">
      <c r="C154" s="46" t="n"/>
      <c r="D154" s="61" t="n"/>
      <c r="E154" s="61" t="n"/>
      <c r="F154" s="5" t="n"/>
    </row>
    <row r="155">
      <c r="C155" s="46" t="n"/>
      <c r="D155" s="1" t="n"/>
      <c r="E155" s="1" t="n"/>
      <c r="F155" s="5" t="n"/>
    </row>
    <row r="156">
      <c r="C156" s="46" t="n"/>
      <c r="D156" s="61" t="n"/>
      <c r="E156" s="61" t="n"/>
      <c r="F156" s="5" t="n"/>
    </row>
    <row r="157">
      <c r="B157" s="46" t="n"/>
      <c r="C157" s="46" t="n"/>
      <c r="D157" s="1" t="n"/>
      <c r="E157" s="1" t="n"/>
      <c r="F157" s="5" t="n"/>
    </row>
    <row r="158">
      <c r="C158" s="46" t="n"/>
      <c r="D158" s="1" t="n"/>
      <c r="E158" s="1" t="n"/>
      <c r="F158" s="5" t="n"/>
    </row>
    <row r="159">
      <c r="C159" s="46" t="n"/>
      <c r="D159" s="61" t="n"/>
      <c r="E159" s="61" t="n"/>
      <c r="F159" s="5" t="n"/>
    </row>
    <row r="160">
      <c r="C160" s="46" t="n"/>
      <c r="D160" s="1" t="n"/>
      <c r="E160" s="1" t="n"/>
      <c r="F160" s="5" t="n"/>
    </row>
    <row r="161">
      <c r="C161" s="46" t="n"/>
      <c r="D161" s="61" t="n"/>
      <c r="E161" s="61" t="n"/>
      <c r="F161" s="5" t="n"/>
    </row>
    <row r="162">
      <c r="B162" s="46" t="n"/>
      <c r="C162" s="46" t="n"/>
      <c r="D162" s="1" t="n"/>
      <c r="E162" s="1" t="n"/>
      <c r="F162" s="5" t="n"/>
    </row>
    <row r="163">
      <c r="C163" s="46" t="n"/>
      <c r="D163" s="1" t="n"/>
      <c r="E163" s="1" t="n"/>
      <c r="F163" s="5" t="n"/>
    </row>
    <row r="164">
      <c r="C164" s="46" t="n"/>
      <c r="D164" s="61" t="n"/>
      <c r="E164" s="61" t="n"/>
      <c r="F164" s="5" t="n"/>
    </row>
    <row r="165">
      <c r="C165" s="46" t="n"/>
      <c r="D165" s="1" t="n"/>
      <c r="E165" s="1" t="n"/>
      <c r="F165" s="5" t="n"/>
    </row>
    <row r="166">
      <c r="C166" s="46" t="n"/>
      <c r="D166" s="61" t="n"/>
      <c r="E166" s="61" t="n"/>
      <c r="F166" s="5" t="n"/>
    </row>
    <row r="167">
      <c r="B167" s="46" t="n"/>
      <c r="C167" s="46" t="n"/>
      <c r="D167" s="1" t="n"/>
      <c r="E167" s="1" t="n"/>
      <c r="F167" s="5" t="n"/>
    </row>
    <row r="168">
      <c r="C168" s="46" t="n"/>
      <c r="D168" s="1" t="n"/>
      <c r="E168" s="1" t="n"/>
      <c r="F168" s="5" t="n"/>
    </row>
    <row r="169">
      <c r="C169" s="46" t="n"/>
      <c r="D169" s="61" t="n"/>
      <c r="E169" s="61" t="n"/>
      <c r="F169" s="5" t="n"/>
    </row>
    <row r="170">
      <c r="C170" s="46" t="n"/>
      <c r="D170" s="1" t="n"/>
      <c r="E170" s="1" t="n"/>
      <c r="F170" s="5" t="n"/>
    </row>
    <row r="171">
      <c r="C171" s="46" t="n"/>
      <c r="D171" s="61" t="n"/>
      <c r="E171" s="61" t="n"/>
      <c r="F171" s="5" t="n"/>
    </row>
    <row r="172">
      <c r="B172" s="46" t="n"/>
      <c r="C172" s="46" t="n"/>
      <c r="D172" s="1" t="n"/>
      <c r="E172" s="1" t="n"/>
      <c r="F172" s="5" t="n"/>
    </row>
    <row r="173">
      <c r="C173" s="46" t="n"/>
      <c r="D173" s="1" t="n"/>
      <c r="E173" s="1" t="n"/>
      <c r="F173" s="5" t="n"/>
    </row>
    <row r="174">
      <c r="C174" s="46" t="n"/>
      <c r="D174" s="61" t="n"/>
      <c r="E174" s="61" t="n"/>
      <c r="F174" s="5" t="n"/>
    </row>
    <row r="175">
      <c r="C175" s="46" t="n"/>
      <c r="D175" s="1" t="n"/>
      <c r="E175" s="1" t="n"/>
      <c r="F175" s="5" t="n"/>
    </row>
    <row r="176">
      <c r="C176" s="46" t="n"/>
      <c r="D176" s="61" t="n"/>
      <c r="E176" s="61" t="n"/>
      <c r="F176" s="5" t="n"/>
    </row>
    <row r="177">
      <c r="B177" s="46" t="n"/>
      <c r="C177" s="46" t="n"/>
      <c r="D177" s="1" t="n"/>
      <c r="E177" s="1" t="n"/>
      <c r="F177" s="5" t="n"/>
    </row>
    <row r="178">
      <c r="C178" s="46" t="n"/>
      <c r="D178" s="1" t="n"/>
      <c r="E178" s="1" t="n"/>
      <c r="F178" s="5" t="n"/>
    </row>
    <row r="179">
      <c r="C179" s="46" t="n"/>
      <c r="D179" s="61" t="n"/>
      <c r="E179" s="61" t="n"/>
      <c r="F179" s="5" t="n"/>
    </row>
    <row r="180">
      <c r="C180" s="46" t="n"/>
      <c r="D180" s="1" t="n"/>
      <c r="E180" s="1" t="n"/>
      <c r="F180" s="5" t="n"/>
    </row>
    <row r="181">
      <c r="C181" s="46" t="n"/>
      <c r="D181" s="61" t="n"/>
      <c r="E181" s="61" t="n"/>
      <c r="F181" s="5" t="n"/>
    </row>
    <row r="182">
      <c r="B182" s="46" t="n"/>
      <c r="C182" s="46" t="n"/>
      <c r="D182" s="1" t="n"/>
      <c r="E182" s="1" t="n"/>
      <c r="F182" s="5" t="n"/>
    </row>
    <row r="183">
      <c r="C183" s="46" t="n"/>
      <c r="D183" s="1" t="n"/>
      <c r="E183" s="1" t="n"/>
      <c r="F183" s="5" t="n"/>
    </row>
    <row r="184">
      <c r="C184" s="46" t="n"/>
      <c r="D184" s="61" t="n"/>
      <c r="E184" s="61" t="n"/>
      <c r="F184" s="5" t="n"/>
    </row>
    <row r="185">
      <c r="C185" s="46" t="n"/>
      <c r="D185" s="1" t="n"/>
      <c r="E185" s="1" t="n"/>
      <c r="F185" s="5" t="n"/>
    </row>
    <row r="186">
      <c r="C186" s="46" t="n"/>
      <c r="D186" s="61" t="n"/>
      <c r="E186" s="61" t="n"/>
      <c r="F186" s="5" t="n"/>
    </row>
    <row r="187">
      <c r="B187" s="46" t="n"/>
      <c r="C187" s="46" t="n"/>
      <c r="D187" s="1" t="n"/>
      <c r="E187" s="1" t="n"/>
      <c r="F187" s="5" t="n"/>
    </row>
    <row r="188">
      <c r="C188" s="46" t="n"/>
      <c r="D188" s="1" t="n"/>
      <c r="E188" s="1" t="n"/>
      <c r="F188" s="5" t="n"/>
    </row>
    <row r="189">
      <c r="C189" s="46" t="n"/>
      <c r="D189" s="61" t="n"/>
      <c r="E189" s="61" t="n"/>
      <c r="F189" s="5" t="n"/>
    </row>
    <row r="190">
      <c r="C190" s="46" t="n"/>
      <c r="D190" s="1" t="n"/>
      <c r="E190" s="1" t="n"/>
      <c r="F190" s="5" t="n"/>
    </row>
    <row r="191">
      <c r="C191" s="46" t="n"/>
      <c r="D191" s="61" t="n"/>
      <c r="E191" s="61" t="n"/>
      <c r="F191" s="5" t="n"/>
    </row>
    <row r="192">
      <c r="B192" s="46" t="n"/>
      <c r="C192" s="46" t="n"/>
      <c r="D192" s="1" t="n"/>
      <c r="E192" s="1" t="n"/>
      <c r="F192" s="5" t="n"/>
    </row>
    <row r="193">
      <c r="C193" s="46" t="n"/>
      <c r="D193" s="1" t="n"/>
      <c r="E193" s="1" t="n"/>
      <c r="F193" s="5" t="n"/>
    </row>
    <row r="194">
      <c r="C194" s="46" t="n"/>
      <c r="D194" s="61" t="n"/>
      <c r="E194" s="61" t="n"/>
      <c r="F194" s="5" t="n"/>
    </row>
    <row r="195">
      <c r="C195" s="46" t="n"/>
      <c r="D195" s="1" t="n"/>
      <c r="E195" s="1" t="n"/>
      <c r="F195" s="5" t="n"/>
    </row>
    <row r="196">
      <c r="C196" s="46" t="n"/>
      <c r="D196" s="61" t="n"/>
      <c r="E196" s="61" t="n"/>
      <c r="F196" s="5" t="n"/>
    </row>
    <row r="197">
      <c r="B197" s="46" t="n"/>
      <c r="C197" s="46" t="n"/>
      <c r="D197" s="1" t="n"/>
      <c r="E197" s="1" t="n"/>
      <c r="F197" s="5" t="n"/>
    </row>
    <row r="198">
      <c r="C198" s="46" t="n"/>
      <c r="D198" s="1" t="n"/>
      <c r="E198" s="1" t="n"/>
      <c r="F198" s="5" t="n"/>
    </row>
    <row r="199">
      <c r="C199" s="46" t="n"/>
      <c r="D199" s="61" t="n"/>
      <c r="E199" s="61" t="n"/>
      <c r="F199" s="5" t="n"/>
    </row>
    <row r="200">
      <c r="C200" s="46" t="n"/>
      <c r="D200" s="1" t="n"/>
      <c r="E200" s="1" t="n"/>
      <c r="F200" s="5" t="n"/>
    </row>
    <row r="201">
      <c r="C201" s="46" t="n"/>
      <c r="D201" s="61" t="n"/>
      <c r="E201" s="61" t="n"/>
      <c r="F201" s="5" t="n"/>
    </row>
    <row r="202">
      <c r="B202" s="46" t="n"/>
      <c r="C202" s="46" t="n"/>
      <c r="D202" s="1" t="n"/>
      <c r="E202" s="1" t="n"/>
      <c r="F202" s="5" t="n"/>
    </row>
    <row r="203">
      <c r="C203" s="46" t="n"/>
      <c r="D203" s="1" t="n"/>
      <c r="E203" s="1" t="n"/>
      <c r="F203" s="5" t="n"/>
    </row>
    <row r="204">
      <c r="C204" s="46" t="n"/>
      <c r="D204" s="61" t="n"/>
      <c r="E204" s="61" t="n"/>
      <c r="F204" s="5" t="n"/>
    </row>
    <row r="205">
      <c r="C205" s="46" t="n"/>
      <c r="D205" s="1" t="n"/>
      <c r="E205" s="1" t="n"/>
      <c r="F205" s="5" t="n"/>
    </row>
    <row r="206">
      <c r="C206" s="46" t="n"/>
      <c r="D206" s="61" t="n"/>
      <c r="E206" s="61" t="n"/>
      <c r="F206" s="5" t="n"/>
    </row>
    <row r="207">
      <c r="B207" s="46" t="n"/>
      <c r="C207" s="46" t="n"/>
      <c r="D207" s="1" t="n"/>
      <c r="E207" s="1" t="n"/>
      <c r="F207" s="5" t="n"/>
    </row>
    <row r="208">
      <c r="C208" s="46" t="n"/>
      <c r="D208" s="1" t="n"/>
      <c r="E208" s="1" t="n"/>
      <c r="F208" s="5" t="n"/>
    </row>
    <row r="209">
      <c r="C209" s="46" t="n"/>
      <c r="D209" s="61" t="n"/>
      <c r="E209" s="61" t="n"/>
      <c r="F209" s="5" t="n"/>
    </row>
    <row r="210">
      <c r="C210" s="46" t="n"/>
      <c r="D210" s="1" t="n"/>
      <c r="E210" s="1" t="n"/>
      <c r="F210" s="5" t="n"/>
    </row>
    <row r="211">
      <c r="C211" s="46" t="n"/>
      <c r="D211" s="61" t="n"/>
      <c r="E211" s="61" t="n"/>
      <c r="F211" s="5" t="n"/>
    </row>
    <row r="212">
      <c r="B212" s="46" t="n"/>
      <c r="C212" s="46" t="n"/>
      <c r="D212" s="1" t="n"/>
      <c r="E212" s="1" t="n"/>
      <c r="F212" s="5" t="n"/>
    </row>
    <row r="213">
      <c r="C213" s="46" t="n"/>
      <c r="D213" s="1" t="n"/>
      <c r="E213" s="1" t="n"/>
      <c r="F213" s="5" t="n"/>
    </row>
    <row r="214">
      <c r="C214" s="46" t="n"/>
      <c r="D214" s="61" t="n"/>
      <c r="E214" s="61" t="n"/>
      <c r="F214" s="5" t="n"/>
    </row>
    <row r="215">
      <c r="C215" s="46" t="n"/>
      <c r="D215" s="1" t="n"/>
      <c r="E215" s="1" t="n"/>
      <c r="F215" s="5" t="n"/>
    </row>
    <row r="216">
      <c r="C216" s="46" t="n"/>
      <c r="D216" s="61" t="n"/>
      <c r="E216" s="61" t="n"/>
      <c r="F216" s="5" t="n"/>
    </row>
    <row r="217">
      <c r="B217" s="46" t="n"/>
      <c r="C217" s="46" t="n"/>
      <c r="D217" s="1" t="n"/>
      <c r="E217" s="1" t="n"/>
      <c r="F217" s="5" t="n"/>
    </row>
    <row r="218">
      <c r="C218" s="46" t="n"/>
      <c r="D218" s="1" t="n"/>
      <c r="E218" s="1" t="n"/>
      <c r="F218" s="5" t="n"/>
    </row>
    <row r="219">
      <c r="C219" s="46" t="n"/>
      <c r="D219" s="61" t="n"/>
      <c r="E219" s="61" t="n"/>
      <c r="F219" s="5" t="n"/>
    </row>
    <row r="220">
      <c r="C220" s="46" t="n"/>
      <c r="D220" s="1" t="n"/>
      <c r="E220" s="1" t="n"/>
      <c r="F220" s="5" t="n"/>
    </row>
    <row r="221">
      <c r="C221" s="46" t="n"/>
      <c r="D221" s="61" t="n"/>
      <c r="E221" s="61" t="n"/>
      <c r="F221" s="5" t="n"/>
    </row>
    <row r="222">
      <c r="B222" s="46" t="n"/>
      <c r="C222" s="46" t="n"/>
      <c r="D222" s="1" t="n"/>
      <c r="E222" s="1" t="n"/>
      <c r="F222" s="5" t="n"/>
    </row>
    <row r="223">
      <c r="C223" s="46" t="n"/>
      <c r="D223" s="1" t="n"/>
      <c r="E223" s="1" t="n"/>
      <c r="F223" s="5" t="n"/>
    </row>
    <row r="224">
      <c r="C224" s="46" t="n"/>
      <c r="D224" s="61" t="n"/>
      <c r="E224" s="61" t="n"/>
      <c r="F224" s="5" t="n"/>
    </row>
    <row r="225">
      <c r="C225" s="46" t="n"/>
      <c r="D225" s="1" t="n"/>
      <c r="E225" s="1" t="n"/>
      <c r="F225" s="5" t="n"/>
    </row>
    <row r="226">
      <c r="C226" s="46" t="n"/>
      <c r="D226" s="61" t="n"/>
      <c r="E226" s="61" t="n"/>
      <c r="F226" s="5" t="n"/>
    </row>
    <row r="227">
      <c r="B227" s="46" t="n"/>
      <c r="C227" s="46" t="n"/>
      <c r="D227" s="1" t="n"/>
      <c r="E227" s="1" t="n"/>
      <c r="F227" s="5" t="n"/>
    </row>
    <row r="228">
      <c r="C228" s="46" t="n"/>
      <c r="D228" s="1" t="n"/>
      <c r="E228" s="1" t="n"/>
      <c r="F228" s="5" t="n"/>
    </row>
    <row r="229">
      <c r="C229" s="46" t="n"/>
      <c r="D229" s="61" t="n"/>
      <c r="E229" s="61" t="n"/>
      <c r="F229" s="5" t="n"/>
    </row>
    <row r="230">
      <c r="C230" s="46" t="n"/>
      <c r="D230" s="1" t="n"/>
      <c r="E230" s="1" t="n"/>
      <c r="F230" s="5" t="n"/>
    </row>
    <row r="231">
      <c r="C231" s="46" t="n"/>
      <c r="D231" s="61" t="n"/>
      <c r="E231" s="61" t="n"/>
      <c r="F231" s="5" t="n"/>
    </row>
    <row r="232">
      <c r="B232" s="46" t="n"/>
      <c r="C232" s="46" t="n"/>
      <c r="D232" s="1" t="n"/>
      <c r="E232" s="1" t="n"/>
      <c r="F232" s="5" t="n"/>
    </row>
    <row r="233">
      <c r="C233" s="46" t="n"/>
      <c r="D233" s="1" t="n"/>
      <c r="E233" s="1" t="n"/>
      <c r="F233" s="5" t="n"/>
    </row>
    <row r="234">
      <c r="C234" s="46" t="n"/>
      <c r="D234" s="61" t="n"/>
      <c r="E234" s="61" t="n"/>
      <c r="F234" s="5" t="n"/>
    </row>
    <row r="235">
      <c r="C235" s="46" t="n"/>
      <c r="D235" s="1" t="n"/>
      <c r="E235" s="1" t="n"/>
      <c r="F235" s="5" t="n"/>
    </row>
    <row r="236">
      <c r="C236" s="46" t="n"/>
      <c r="D236" s="61" t="n"/>
      <c r="E236" s="61" t="n"/>
      <c r="F236" s="5" t="n"/>
    </row>
    <row r="237">
      <c r="B237" s="46" t="n"/>
      <c r="C237" s="46" t="n"/>
      <c r="D237" s="1" t="n"/>
      <c r="E237" s="1" t="n"/>
      <c r="F237" s="5" t="n"/>
    </row>
    <row r="238">
      <c r="C238" s="46" t="n"/>
      <c r="D238" s="1" t="n"/>
      <c r="E238" s="1" t="n"/>
      <c r="F238" s="5" t="n"/>
    </row>
    <row r="239">
      <c r="C239" s="46" t="n"/>
      <c r="D239" s="61" t="n"/>
      <c r="E239" s="61" t="n"/>
      <c r="F239" s="5" t="n"/>
    </row>
    <row r="240">
      <c r="C240" s="46" t="n"/>
      <c r="D240" s="1" t="n"/>
      <c r="E240" s="1" t="n"/>
      <c r="F240" s="5" t="n"/>
    </row>
    <row r="241">
      <c r="C241" s="46" t="n"/>
      <c r="D241" s="61" t="n"/>
      <c r="E241" s="61" t="n"/>
      <c r="F241" s="5" t="n"/>
    </row>
    <row r="242">
      <c r="B242" s="46" t="n"/>
      <c r="C242" s="46" t="n"/>
      <c r="D242" s="1" t="n"/>
      <c r="E242" s="1" t="n"/>
      <c r="F242" s="5" t="n"/>
    </row>
    <row r="243">
      <c r="C243" s="46" t="n"/>
      <c r="D243" s="1" t="n"/>
      <c r="E243" s="1" t="n"/>
      <c r="F243" s="5" t="n"/>
    </row>
    <row r="244">
      <c r="C244" s="46" t="n"/>
      <c r="D244" s="61" t="n"/>
      <c r="E244" s="61" t="n"/>
      <c r="F244" s="5" t="n"/>
    </row>
    <row r="245">
      <c r="C245" s="46" t="n"/>
      <c r="D245" s="1" t="n"/>
      <c r="E245" s="1" t="n"/>
      <c r="F245" s="5" t="n"/>
    </row>
    <row r="246">
      <c r="C246" s="46" t="n"/>
      <c r="D246" s="61" t="n"/>
      <c r="E246" s="61" t="n"/>
      <c r="F246" s="5" t="n"/>
    </row>
    <row r="247">
      <c r="B247" s="46" t="n"/>
      <c r="C247" s="46" t="n"/>
      <c r="D247" s="1" t="n"/>
      <c r="E247" s="1" t="n"/>
      <c r="F247" s="5" t="n"/>
    </row>
    <row r="248">
      <c r="C248" s="46" t="n"/>
      <c r="D248" s="1" t="n"/>
      <c r="E248" s="1" t="n"/>
      <c r="F248" s="5" t="n"/>
    </row>
    <row r="249">
      <c r="C249" s="46" t="n"/>
      <c r="D249" s="61" t="n"/>
      <c r="E249" s="61" t="n"/>
      <c r="F249" s="5" t="n"/>
    </row>
    <row r="250">
      <c r="C250" s="46" t="n"/>
      <c r="D250" s="1" t="n"/>
      <c r="E250" s="1" t="n"/>
      <c r="F250" s="5" t="n"/>
    </row>
    <row r="251">
      <c r="C251" s="46" t="n"/>
      <c r="D251" s="61" t="n"/>
      <c r="E251" s="61" t="n"/>
      <c r="F251" s="5" t="n"/>
    </row>
    <row r="252">
      <c r="B252" s="46" t="n"/>
      <c r="C252" s="46" t="n"/>
      <c r="D252" s="1" t="n"/>
      <c r="E252" s="1" t="n"/>
      <c r="F252" s="5" t="n"/>
    </row>
    <row r="253">
      <c r="C253" s="46" t="n"/>
      <c r="D253" s="1" t="n"/>
      <c r="E253" s="1" t="n"/>
      <c r="F253" s="5" t="n"/>
    </row>
    <row r="254">
      <c r="C254" s="46" t="n"/>
      <c r="D254" s="61" t="n"/>
      <c r="E254" s="61" t="n"/>
      <c r="F254" s="5" t="n"/>
    </row>
    <row r="255">
      <c r="C255" s="46" t="n"/>
      <c r="D255" s="1" t="n"/>
      <c r="E255" s="1" t="n"/>
      <c r="F255" s="5" t="n"/>
    </row>
    <row r="256">
      <c r="C256" s="46" t="n"/>
      <c r="D256" s="61" t="n"/>
      <c r="E256" s="61" t="n"/>
      <c r="F256" s="5" t="n"/>
    </row>
    <row r="257">
      <c r="B257" s="46" t="n"/>
      <c r="C257" s="46" t="n"/>
      <c r="D257" s="1" t="n"/>
      <c r="E257" s="1" t="n"/>
      <c r="F257" s="5" t="n"/>
    </row>
    <row r="258">
      <c r="C258" s="46" t="n"/>
      <c r="D258" s="1" t="n"/>
      <c r="E258" s="1" t="n"/>
      <c r="F258" s="5" t="n"/>
    </row>
    <row r="259">
      <c r="C259" s="46" t="n"/>
      <c r="D259" s="61" t="n"/>
      <c r="E259" s="61" t="n"/>
      <c r="F259" s="5" t="n"/>
    </row>
    <row r="260">
      <c r="C260" s="46" t="n"/>
      <c r="D260" s="1" t="n"/>
      <c r="E260" s="1" t="n"/>
      <c r="F260" s="5" t="n"/>
    </row>
    <row r="261">
      <c r="C261" s="46" t="n"/>
      <c r="D261" s="61" t="n"/>
      <c r="E261" s="61" t="n"/>
      <c r="F261" s="5" t="n"/>
    </row>
    <row r="262">
      <c r="B262" s="46" t="n"/>
      <c r="C262" s="46" t="n"/>
      <c r="D262" s="1" t="n"/>
      <c r="E262" s="1" t="n"/>
      <c r="F262" s="5" t="n"/>
    </row>
    <row r="263">
      <c r="C263" s="46" t="n"/>
      <c r="D263" s="1" t="n"/>
      <c r="E263" s="1" t="n"/>
      <c r="F263" s="5" t="n"/>
    </row>
    <row r="264">
      <c r="C264" s="46" t="n"/>
      <c r="D264" s="61" t="n"/>
      <c r="E264" s="61" t="n"/>
      <c r="F264" s="5" t="n"/>
    </row>
    <row r="265">
      <c r="C265" s="46" t="n"/>
      <c r="D265" s="1" t="n"/>
      <c r="E265" s="1" t="n"/>
      <c r="F265" s="5" t="n"/>
    </row>
    <row r="266">
      <c r="C266" s="46" t="n"/>
      <c r="D266" s="61" t="n"/>
      <c r="E266" s="61" t="n"/>
      <c r="F266" s="5" t="n"/>
    </row>
    <row r="267">
      <c r="B267" s="46" t="n"/>
      <c r="C267" s="46" t="n"/>
      <c r="D267" s="1" t="n"/>
      <c r="E267" s="1" t="n"/>
      <c r="F267" s="5" t="n"/>
    </row>
    <row r="268">
      <c r="C268" s="46" t="n"/>
      <c r="D268" s="1" t="n"/>
      <c r="E268" s="1" t="n"/>
      <c r="F268" s="5" t="n"/>
    </row>
    <row r="269">
      <c r="C269" s="46" t="n"/>
      <c r="D269" s="61" t="n"/>
      <c r="E269" s="61" t="n"/>
      <c r="F269" s="5" t="n"/>
    </row>
    <row r="270">
      <c r="C270" s="46" t="n"/>
      <c r="D270" s="1" t="n"/>
      <c r="E270" s="1" t="n"/>
      <c r="F270" s="5" t="n"/>
    </row>
    <row r="271">
      <c r="C271" s="46" t="n"/>
      <c r="D271" s="61" t="n"/>
      <c r="E271" s="61" t="n"/>
      <c r="F271" s="5" t="n"/>
    </row>
    <row r="272">
      <c r="B272" s="46" t="n"/>
      <c r="C272" s="46" t="n"/>
      <c r="D272" s="1" t="n"/>
      <c r="E272" s="1" t="n"/>
      <c r="F272" s="5" t="n"/>
    </row>
    <row r="273">
      <c r="C273" s="46" t="n"/>
      <c r="D273" s="1" t="n"/>
      <c r="E273" s="1" t="n"/>
      <c r="F273" s="5" t="n"/>
    </row>
    <row r="274">
      <c r="C274" s="46" t="n"/>
      <c r="D274" s="61" t="n"/>
      <c r="E274" s="61" t="n"/>
      <c r="F274" s="5" t="n"/>
    </row>
    <row r="275">
      <c r="C275" s="46" t="n"/>
      <c r="D275" s="1" t="n"/>
      <c r="E275" s="1" t="n"/>
      <c r="F275" s="5" t="n"/>
    </row>
    <row r="276">
      <c r="C276" s="46" t="n"/>
      <c r="D276" s="61" t="n"/>
      <c r="E276" s="61" t="n"/>
      <c r="F276" s="5" t="n"/>
    </row>
    <row r="277">
      <c r="B277" s="46" t="n"/>
      <c r="C277" s="46" t="n"/>
      <c r="D277" s="1" t="n"/>
      <c r="E277" s="1" t="n"/>
      <c r="F277" s="5" t="n"/>
    </row>
    <row r="278">
      <c r="C278" s="46" t="n"/>
      <c r="D278" s="1" t="n"/>
      <c r="E278" s="1" t="n"/>
      <c r="F278" s="5" t="n"/>
    </row>
    <row r="279">
      <c r="C279" s="46" t="n"/>
      <c r="D279" s="61" t="n"/>
      <c r="E279" s="61" t="n"/>
      <c r="F279" s="5" t="n"/>
    </row>
    <row r="280">
      <c r="C280" s="46" t="n"/>
      <c r="D280" s="1" t="n"/>
      <c r="E280" s="1" t="n"/>
      <c r="F280" s="5" t="n"/>
    </row>
    <row r="281">
      <c r="C281" s="46" t="n"/>
      <c r="D281" s="61" t="n"/>
      <c r="E281" s="61" t="n"/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 ht="15" customHeight="1" s="52">
      <c r="F297" s="5" t="n"/>
    </row>
    <row r="298" ht="15" customHeight="1" s="52">
      <c r="F298" s="5" t="n"/>
    </row>
    <row r="299" ht="15" customHeight="1" s="52">
      <c r="F299" s="5" t="n"/>
    </row>
    <row r="300" ht="15" customHeight="1" s="52">
      <c r="F300" s="5" t="n"/>
    </row>
  </sheetData>
  <autoFilter ref="B1:F281">
    <filterColumn colId="1" hiddenButton="0" showButton="1">
      <filters>
        <filter val="Loans Rev Under $1m"/>
      </filters>
    </filterColumn>
  </autoFilter>
  <mergeCells count="56">
    <mergeCell ref="B157:B161"/>
    <mergeCell ref="B82:B86"/>
    <mergeCell ref="B147:B151"/>
    <mergeCell ref="B162:B166"/>
    <mergeCell ref="B267:B271"/>
    <mergeCell ref="A7:A26"/>
    <mergeCell ref="B87:B91"/>
    <mergeCell ref="B187:B191"/>
    <mergeCell ref="B112:B116"/>
    <mergeCell ref="B137:B141"/>
    <mergeCell ref="B37:B41"/>
    <mergeCell ref="B177:B181"/>
    <mergeCell ref="B192:B196"/>
    <mergeCell ref="B257:B261"/>
    <mergeCell ref="B217:B221"/>
    <mergeCell ref="B127:B131"/>
    <mergeCell ref="B207:B211"/>
    <mergeCell ref="B92:B96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32:B36"/>
    <mergeCell ref="B12:B16"/>
    <mergeCell ref="B22:B26"/>
    <mergeCell ref="B202:B206"/>
    <mergeCell ref="B102:B106"/>
    <mergeCell ref="B232:B236"/>
    <mergeCell ref="B247:B251"/>
    <mergeCell ref="B167:B171"/>
    <mergeCell ref="B52:B56"/>
    <mergeCell ref="B67:B71"/>
    <mergeCell ref="A2:B6"/>
    <mergeCell ref="B17:B21"/>
    <mergeCell ref="B152:B156"/>
    <mergeCell ref="B57:B61"/>
    <mergeCell ref="B272:B276"/>
    <mergeCell ref="B132:B136"/>
    <mergeCell ref="B117:B121"/>
    <mergeCell ref="B77:B81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E94" sqref="E94"/>
    </sheetView>
  </sheetViews>
  <sheetFormatPr baseColWidth="8" defaultRowHeight="15" customHeight="1"/>
  <cols>
    <col width="24.42578125" customWidth="1" style="52" min="1" max="1"/>
    <col width="36.5703125" bestFit="1" customWidth="1" style="52" min="2" max="2"/>
    <col width="21.42578125" customWidth="1" style="52" min="3" max="3"/>
    <col width="20" bestFit="1" customWidth="1" style="52" min="4" max="4"/>
    <col width="24.85546875" customWidth="1" style="52" min="5" max="5"/>
  </cols>
  <sheetData>
    <row r="1">
      <c r="A1" s="75" t="n"/>
      <c r="B1" s="70" t="n"/>
      <c r="C1" s="69" t="inlineStr">
        <is>
          <t>Bank A</t>
        </is>
      </c>
      <c r="D1" s="69" t="inlineStr">
        <is>
          <t>Peers</t>
        </is>
      </c>
      <c r="E1" s="62" t="inlineStr">
        <is>
          <t>Difference</t>
        </is>
      </c>
    </row>
    <row r="2">
      <c r="A2" t="inlineStr">
        <is>
          <t>Grand Total</t>
        </is>
      </c>
      <c r="B2" t="inlineStr">
        <is>
          <t>Branches</t>
        </is>
      </c>
      <c r="C2" s="6" t="n">
        <v>508</v>
      </c>
      <c r="D2" s="6" t="n"/>
    </row>
    <row r="3">
      <c r="B3" t="inlineStr">
        <is>
          <t>LMICT</t>
        </is>
      </c>
      <c r="C3" s="6" t="n"/>
      <c r="D3" s="6" t="n"/>
      <c r="E3" s="17">
        <f>IFERROR((C3/C2)-(D3/D2),"")</f>
        <v/>
      </c>
    </row>
    <row r="4">
      <c r="B4" t="inlineStr">
        <is>
          <t>MMCT</t>
        </is>
      </c>
      <c r="C4" s="6" t="n"/>
      <c r="D4" s="6" t="n"/>
      <c r="E4" s="17">
        <f>IFERROR((C4/C2)-(D4/D2),"")</f>
        <v/>
      </c>
    </row>
    <row r="5">
      <c r="A5" t="inlineStr">
        <is>
          <t>Chicago-Naperville-Elgin, IL-IN-WI</t>
        </is>
      </c>
      <c r="B5" t="inlineStr">
        <is>
          <t>Branches</t>
        </is>
      </c>
      <c r="C5" s="6" t="n">
        <v>69</v>
      </c>
      <c r="D5" s="6" t="n"/>
      <c r="E5">
        <f>IFERROR(C5-D5,"")</f>
        <v/>
      </c>
    </row>
    <row r="6">
      <c r="B6" t="inlineStr">
        <is>
          <t>LMICT</t>
        </is>
      </c>
      <c r="C6" s="6" t="n"/>
      <c r="D6" s="6" t="n"/>
      <c r="E6" s="17">
        <f>IFERROR((C6/C5)-(D6/D5),"")</f>
        <v/>
      </c>
    </row>
    <row r="7">
      <c r="B7" t="inlineStr">
        <is>
          <t>MMCT</t>
        </is>
      </c>
      <c r="C7" s="6" t="n"/>
      <c r="D7" s="6" t="n"/>
      <c r="E7" s="17">
        <f>IFERROR((C7/C5)-(D7/D5),"")</f>
        <v/>
      </c>
    </row>
    <row r="8">
      <c r="A8" t="inlineStr">
        <is>
          <t>Cincinnati, OH-KY-IN</t>
        </is>
      </c>
      <c r="B8" t="inlineStr">
        <is>
          <t>Branches</t>
        </is>
      </c>
      <c r="C8" s="6" t="n">
        <v>26</v>
      </c>
      <c r="D8" s="6" t="n"/>
      <c r="E8">
        <f>IFERROR(C8-D8,"")</f>
        <v/>
      </c>
    </row>
    <row r="9">
      <c r="C9" s="6" t="n"/>
      <c r="D9" s="6" t="n"/>
      <c r="E9" s="17">
        <f>IFERROR((C9/C8)-(D9/D8),"")</f>
        <v/>
      </c>
    </row>
    <row r="10">
      <c r="C10" s="6" t="n"/>
      <c r="D10" s="6" t="n"/>
      <c r="E10" s="17">
        <f>IFERROR((C10/C8)-(D10/D8),"")</f>
        <v/>
      </c>
    </row>
    <row r="11">
      <c r="A11" t="inlineStr">
        <is>
          <t>Cleveland-Elyria, OH</t>
        </is>
      </c>
      <c r="B11" t="inlineStr">
        <is>
          <t>Branches</t>
        </is>
      </c>
      <c r="C11" s="6" t="n">
        <v>34</v>
      </c>
      <c r="D11" s="6" t="n"/>
      <c r="E11">
        <f>IFERROR(C11-D11,"")</f>
        <v/>
      </c>
    </row>
    <row r="12">
      <c r="C12" s="6" t="n"/>
      <c r="D12" s="6" t="n"/>
      <c r="E12" s="17">
        <f>IFERROR((C12/C11)-(D12/D11),"")</f>
        <v/>
      </c>
    </row>
    <row r="13">
      <c r="C13" s="6" t="n"/>
      <c r="D13" s="6" t="n"/>
      <c r="E13" s="17">
        <f>IFERROR((C13/C11)-(D13/D11),"")</f>
        <v/>
      </c>
    </row>
    <row r="14">
      <c r="A14" t="inlineStr">
        <is>
          <t>Columbus, OH</t>
        </is>
      </c>
      <c r="B14" t="inlineStr">
        <is>
          <t>Branches</t>
        </is>
      </c>
      <c r="C14" s="6" t="n">
        <v>26</v>
      </c>
      <c r="D14" s="6" t="n"/>
      <c r="E14">
        <f>IFERROR(C14-D14,"")</f>
        <v/>
      </c>
    </row>
    <row r="15">
      <c r="C15" s="6" t="n"/>
      <c r="D15" s="6" t="n"/>
      <c r="E15" s="17">
        <f>IFERROR((C15/C14)-(D15/D14),"")</f>
        <v/>
      </c>
    </row>
    <row r="16">
      <c r="C16" s="6" t="n"/>
      <c r="D16" s="6" t="n"/>
      <c r="E16" s="17">
        <f>IFERROR((C16/C14)-(D16/D14),"")</f>
        <v/>
      </c>
    </row>
    <row r="17">
      <c r="A17" t="inlineStr">
        <is>
          <t>Dallas-Fort Worth-Arlington, TX</t>
        </is>
      </c>
      <c r="B17" t="inlineStr">
        <is>
          <t>Branches</t>
        </is>
      </c>
      <c r="C17" s="6" t="n">
        <v>66</v>
      </c>
      <c r="D17" s="6" t="n"/>
      <c r="E17">
        <f>IFERROR(C17-D17,"")</f>
        <v/>
      </c>
    </row>
    <row r="18">
      <c r="C18" s="6" t="n"/>
      <c r="D18" s="6" t="n"/>
      <c r="E18" s="17">
        <f>IFERROR((C18/C17)-(D18/D17),"")</f>
        <v/>
      </c>
    </row>
    <row r="19">
      <c r="C19" s="6" t="n"/>
      <c r="D19" s="6" t="n"/>
      <c r="E19" s="17">
        <f>IFERROR((C19/C17)-(D19/D17),"")</f>
        <v/>
      </c>
    </row>
    <row r="20">
      <c r="A20" t="inlineStr">
        <is>
          <t>Detroit-Warren-Dearborn, MI</t>
        </is>
      </c>
      <c r="B20" t="inlineStr">
        <is>
          <t>Branches</t>
        </is>
      </c>
      <c r="C20" s="6" t="n">
        <v>25</v>
      </c>
      <c r="D20" s="6" t="n"/>
      <c r="E20">
        <f>IFERROR(C20-D20,"")</f>
        <v/>
      </c>
    </row>
    <row r="21">
      <c r="C21" s="6" t="n"/>
      <c r="D21" s="6" t="n"/>
      <c r="E21" s="17">
        <f>IFERROR((C21/C20)-(D21/D20),"")</f>
        <v/>
      </c>
    </row>
    <row r="22">
      <c r="C22" s="6" t="n"/>
      <c r="D22" s="6" t="n"/>
      <c r="E22" s="17">
        <f>IFERROR((C22/C20)-(D22/D20),"")</f>
        <v/>
      </c>
    </row>
    <row r="23">
      <c r="A23" t="inlineStr">
        <is>
          <t>Houston-The Woodlands-Sugar Land, TX</t>
        </is>
      </c>
      <c r="B23" t="inlineStr">
        <is>
          <t>Branches</t>
        </is>
      </c>
      <c r="C23" s="6" t="n">
        <v>46</v>
      </c>
      <c r="D23" s="6" t="n"/>
      <c r="E23">
        <f>IFERROR(C23-D23,"")</f>
        <v/>
      </c>
    </row>
    <row r="24">
      <c r="C24" s="6" t="n"/>
      <c r="D24" s="6" t="n"/>
      <c r="E24" s="17">
        <f>IFERROR((C24/C23)-(D24/D23),"")</f>
        <v/>
      </c>
    </row>
    <row r="25">
      <c r="C25" s="6" t="n"/>
      <c r="D25" s="6" t="n"/>
      <c r="E25" s="17">
        <f>IFERROR((C25/C23)-(D25/D23),"")</f>
        <v/>
      </c>
    </row>
    <row r="26">
      <c r="A26" t="inlineStr">
        <is>
          <t>Louisville/Jefferson County, KY-IN</t>
        </is>
      </c>
      <c r="B26" t="inlineStr">
        <is>
          <t>Branches</t>
        </is>
      </c>
      <c r="C26" s="6" t="n">
        <v>30</v>
      </c>
      <c r="D26" s="6" t="n"/>
      <c r="E26">
        <f>IFERROR(C26-D26,"")</f>
        <v/>
      </c>
    </row>
    <row r="27">
      <c r="C27" s="6" t="n"/>
      <c r="D27" s="6" t="n"/>
      <c r="E27" s="17">
        <f>IFERROR((C27/C26)-(D27/D26),"")</f>
        <v/>
      </c>
    </row>
    <row r="28">
      <c r="C28" s="6" t="n"/>
      <c r="D28" s="6" t="n"/>
      <c r="E28" s="17">
        <f>IFERROR((C28/C26)-(D28/D26),"")</f>
        <v/>
      </c>
    </row>
    <row r="29">
      <c r="A29" t="inlineStr">
        <is>
          <t>Miami-Fort Lauderdale-Pompano Beach, FL</t>
        </is>
      </c>
      <c r="B29" t="inlineStr">
        <is>
          <t>Branches</t>
        </is>
      </c>
      <c r="C29" s="6" t="n">
        <v>32</v>
      </c>
      <c r="D29" s="6" t="n"/>
      <c r="E29">
        <f>IFERROR(C29-D29,"")</f>
        <v/>
      </c>
    </row>
    <row r="30">
      <c r="C30" s="6" t="n"/>
      <c r="D30" s="6" t="n"/>
      <c r="E30" s="17">
        <f>IFERROR((C30/C29)-(D30/D29),"")</f>
        <v/>
      </c>
    </row>
    <row r="31">
      <c r="C31" s="6" t="n"/>
      <c r="D31" s="6" t="n"/>
      <c r="E31" s="17">
        <f>IFERROR((C31/C29)-(D31/D29),"")</f>
        <v/>
      </c>
    </row>
    <row r="32">
      <c r="A32" t="inlineStr">
        <is>
          <t>Philadelphia-Camden-Wilmington, PA-NJ-DE-MD</t>
        </is>
      </c>
      <c r="B32" t="inlineStr">
        <is>
          <t>Branches</t>
        </is>
      </c>
      <c r="C32" s="6" t="n">
        <v>59</v>
      </c>
      <c r="D32" s="6" t="n"/>
      <c r="E32">
        <f>IFERROR(C32-D32,"")</f>
        <v/>
      </c>
    </row>
    <row r="33">
      <c r="C33" s="6" t="n"/>
      <c r="D33" s="6" t="n"/>
      <c r="E33" s="17">
        <f>IFERROR((C33/C32)-(D33/D32),"")</f>
        <v/>
      </c>
    </row>
    <row r="34">
      <c r="C34" s="6" t="n"/>
      <c r="D34" s="6" t="n"/>
      <c r="E34" s="17">
        <f>IFERROR((C34/C32)-(D34/D32),"")</f>
        <v/>
      </c>
    </row>
    <row r="35">
      <c r="A35" t="inlineStr">
        <is>
          <t>Phoenix-Mesa-Chandler, AZ</t>
        </is>
      </c>
      <c r="B35" t="inlineStr">
        <is>
          <t>Branches</t>
        </is>
      </c>
      <c r="C35" s="6" t="n">
        <v>39</v>
      </c>
      <c r="D35" s="6" t="n"/>
      <c r="E35">
        <f>IFERROR(C35-D35,"")</f>
        <v/>
      </c>
    </row>
    <row r="36">
      <c r="C36" s="6" t="n"/>
      <c r="D36" s="6" t="n"/>
      <c r="E36" s="17">
        <f>IFERROR((C36/C35)-(D36/D35),"")</f>
        <v/>
      </c>
    </row>
    <row r="37">
      <c r="C37" s="6" t="n"/>
      <c r="D37" s="6" t="n"/>
      <c r="E37" s="17">
        <f>IFERROR((C37/C35)-(D37/D35),"")</f>
        <v/>
      </c>
    </row>
    <row r="38">
      <c r="A38" t="inlineStr">
        <is>
          <t>Pittsburgh, PA</t>
        </is>
      </c>
      <c r="B38" t="inlineStr">
        <is>
          <t>Branches</t>
        </is>
      </c>
      <c r="C38" s="6" t="n">
        <v>56</v>
      </c>
      <c r="D38" s="6" t="n"/>
      <c r="E38">
        <f>IFERROR(C38-D38,"")</f>
        <v/>
      </c>
    </row>
    <row r="39">
      <c r="C39" s="6" t="n"/>
      <c r="D39" s="6" t="n"/>
      <c r="E39" s="17">
        <f>IFERROR((C39/C38)-(D39/D38),"")</f>
        <v/>
      </c>
    </row>
    <row r="40">
      <c r="C40" s="6" t="n"/>
      <c r="D40" s="6" t="n"/>
      <c r="E40" s="17">
        <f>IFERROR((C40/C38)-(D40/D38),"")</f>
        <v/>
      </c>
    </row>
    <row r="41">
      <c r="C41" s="6" t="n"/>
      <c r="D41" s="6" t="n"/>
    </row>
    <row r="42">
      <c r="C42" s="6" t="n"/>
      <c r="D42" s="6" t="n"/>
      <c r="E42" s="17">
        <f>IFERROR((C42/C41)-(D42/D41),"")</f>
        <v/>
      </c>
    </row>
    <row r="43">
      <c r="C43" s="6" t="n"/>
      <c r="D43" s="6" t="n"/>
      <c r="E43" s="17">
        <f>IFERROR((C43/C41)-(D43/D41),"")</f>
        <v/>
      </c>
    </row>
    <row r="44">
      <c r="C44" s="6" t="n"/>
      <c r="D44" s="6" t="n"/>
    </row>
    <row r="45">
      <c r="C45" s="6" t="n"/>
      <c r="D45" s="6" t="n"/>
      <c r="E45" s="17">
        <f>IFERROR((C45/C44)-(D45/D44),"")</f>
        <v/>
      </c>
    </row>
    <row r="46">
      <c r="C46" s="6" t="n"/>
      <c r="D46" s="6" t="n"/>
      <c r="E46" s="17">
        <f>IFERROR((C46/C44)-(D46/D44),"")</f>
        <v/>
      </c>
    </row>
    <row r="47">
      <c r="C47" s="6" t="n"/>
      <c r="D47" s="6" t="n"/>
    </row>
    <row r="48">
      <c r="C48" s="6" t="n"/>
      <c r="D48" s="6" t="n"/>
      <c r="E48" s="17">
        <f>IFERROR((C48/C47)-(D48/D47),"")</f>
        <v/>
      </c>
    </row>
    <row r="49">
      <c r="C49" s="6" t="n"/>
      <c r="D49" s="6" t="n"/>
      <c r="E49" s="17">
        <f>IFERROR((C49/C47)-(D49/D47),"")</f>
        <v/>
      </c>
    </row>
    <row r="50">
      <c r="C50" s="6" t="n"/>
      <c r="D50" s="6" t="n"/>
    </row>
    <row r="51">
      <c r="C51" s="6" t="n"/>
      <c r="D51" s="6" t="n"/>
      <c r="E51" s="17">
        <f>IFERROR((C51/C50)-(D51/D50),"")</f>
        <v/>
      </c>
    </row>
    <row r="52">
      <c r="C52" s="6" t="n"/>
      <c r="D52" s="6" t="n"/>
      <c r="E52" s="17">
        <f>IFERROR((C52/C50)-(D52/D50),"")</f>
        <v/>
      </c>
    </row>
    <row r="53">
      <c r="C53" s="6" t="n"/>
      <c r="D53" s="6" t="n"/>
    </row>
    <row r="54">
      <c r="C54" s="6" t="n"/>
      <c r="D54" s="6" t="n"/>
      <c r="E54" s="17">
        <f>IFERROR((C54/C53)-(D54/D53),"")</f>
        <v/>
      </c>
    </row>
    <row r="55">
      <c r="C55" s="6" t="n"/>
      <c r="D55" s="6" t="n"/>
      <c r="E55" s="17">
        <f>IFERROR((C55/C53)-(D55/D53),"")</f>
        <v/>
      </c>
    </row>
    <row r="56">
      <c r="C56" s="6" t="n"/>
      <c r="D56" s="6" t="n"/>
    </row>
    <row r="57">
      <c r="C57" s="6" t="n"/>
      <c r="D57" s="6" t="n"/>
      <c r="E57" s="17">
        <f>IFERROR((C57/C56)-(D57/D56),"")</f>
        <v/>
      </c>
    </row>
    <row r="58">
      <c r="C58" s="6" t="n"/>
      <c r="D58" s="6" t="n"/>
      <c r="E58" s="17">
        <f>IFERROR((C58/C56)-(D58/D56),"")</f>
        <v/>
      </c>
    </row>
    <row r="59">
      <c r="C59" s="6" t="n"/>
      <c r="D59" s="6" t="n"/>
    </row>
    <row r="60">
      <c r="C60" s="6" t="n"/>
      <c r="D60" s="6" t="n"/>
      <c r="E60" s="17">
        <f>IFERROR((C60/C59)-(D60/D59),"")</f>
        <v/>
      </c>
    </row>
    <row r="61">
      <c r="C61" s="6" t="n"/>
      <c r="D61" s="6" t="n"/>
      <c r="E61" s="17">
        <f>IFERROR((C61/C59)-(D61/D59),"")</f>
        <v/>
      </c>
    </row>
    <row r="62">
      <c r="C62" s="6" t="n"/>
      <c r="D62" s="6" t="n"/>
    </row>
    <row r="63">
      <c r="C63" s="6" t="n"/>
      <c r="D63" s="6" t="n"/>
      <c r="E63" s="17">
        <f>IFERROR((C63/C62)-(D63/D62),"")</f>
        <v/>
      </c>
    </row>
    <row r="64">
      <c r="C64" s="6" t="n"/>
      <c r="D64" s="6" t="n"/>
      <c r="E64" s="17">
        <f>IFERROR((C64/C62)-(D64/D62),"")</f>
        <v/>
      </c>
    </row>
    <row r="65">
      <c r="C65" s="6" t="n"/>
      <c r="D65" s="6" t="n"/>
    </row>
    <row r="66">
      <c r="C66" s="6" t="n"/>
      <c r="D66" s="6" t="n"/>
      <c r="E66" s="17">
        <f>IFERROR((C66/C65)-(D66/D65),"")</f>
        <v/>
      </c>
    </row>
    <row r="67">
      <c r="C67" s="6" t="n"/>
      <c r="D67" s="6" t="n"/>
      <c r="E67" s="17">
        <f>IFERROR((C67/C65)-(D67/D65),"")</f>
        <v/>
      </c>
    </row>
    <row r="68">
      <c r="C68" s="6" t="n"/>
      <c r="D68" s="6" t="n"/>
    </row>
    <row r="69">
      <c r="C69" s="6" t="n"/>
      <c r="D69" s="6" t="n"/>
      <c r="E69" s="17">
        <f>IFERROR((C69/C68)-(D69/D68),"")</f>
        <v/>
      </c>
    </row>
    <row r="70">
      <c r="C70" s="6" t="n"/>
      <c r="D70" s="6" t="n"/>
      <c r="E70" s="17">
        <f>IFERROR((C70/C68)-(D70/D68),"")</f>
        <v/>
      </c>
    </row>
    <row r="71">
      <c r="C71" s="6" t="n"/>
      <c r="D71" s="6" t="n"/>
    </row>
    <row r="72">
      <c r="C72" s="6" t="n"/>
      <c r="D72" s="6" t="n"/>
      <c r="E72" s="17">
        <f>IFERROR((C72/C71)-(D72/D71),"")</f>
        <v/>
      </c>
    </row>
    <row r="73">
      <c r="C73" s="6" t="n"/>
      <c r="D73" s="6" t="n"/>
      <c r="E73" s="17">
        <f>IFERROR((C73/C71)-(D73/D71),"")</f>
        <v/>
      </c>
    </row>
    <row r="74">
      <c r="C74" s="6" t="n"/>
      <c r="D74" s="6" t="n"/>
    </row>
    <row r="75">
      <c r="C75" s="6" t="n"/>
      <c r="D75" s="6" t="n"/>
      <c r="E75" s="17">
        <f>IFERROR((C75/C74)-(D75/D74),"")</f>
        <v/>
      </c>
    </row>
    <row r="76">
      <c r="C76" s="6" t="n"/>
      <c r="D76" s="6" t="n"/>
      <c r="E76" s="17">
        <f>IFERROR((C76/C74)-(D76/D74),"")</f>
        <v/>
      </c>
    </row>
    <row r="77">
      <c r="C77" s="6" t="n"/>
      <c r="D77" s="6" t="n"/>
    </row>
    <row r="78">
      <c r="C78" s="6" t="n"/>
      <c r="D78" s="6" t="n"/>
      <c r="E78" s="17">
        <f>IFERROR((C78/C77)-(D78/D77),"")</f>
        <v/>
      </c>
    </row>
    <row r="79">
      <c r="C79" s="6" t="n"/>
      <c r="D79" s="6" t="n"/>
      <c r="E79" s="17">
        <f>IFERROR((C79/C77)-(D79/D77),"")</f>
        <v/>
      </c>
    </row>
    <row r="80">
      <c r="C80" s="6" t="n"/>
      <c r="D80" s="6" t="n"/>
    </row>
    <row r="81">
      <c r="C81" s="6" t="n"/>
      <c r="D81" s="6" t="n"/>
      <c r="E81" s="17">
        <f>IFERROR((C81/C80)-(D81/D80),"")</f>
        <v/>
      </c>
    </row>
    <row r="82">
      <c r="C82" s="6" t="n"/>
      <c r="D82" s="6" t="n"/>
      <c r="E82" s="17">
        <f>IFERROR((C82/C80)-(D82/D80),"")</f>
        <v/>
      </c>
    </row>
    <row r="83">
      <c r="C83" s="6" t="n"/>
      <c r="D83" s="6" t="n"/>
    </row>
    <row r="84">
      <c r="C84" s="6" t="n"/>
      <c r="D84" s="6" t="n"/>
      <c r="E84" s="17">
        <f>IFERROR((C84/C83)-(D84/D83),"")</f>
        <v/>
      </c>
    </row>
    <row r="85">
      <c r="C85" s="6" t="n"/>
      <c r="D85" s="6" t="n"/>
      <c r="E85" s="17">
        <f>IFERROR((C85/C83)-(D85/D83),"")</f>
        <v/>
      </c>
    </row>
    <row r="86">
      <c r="C86" s="6" t="n"/>
      <c r="D86" s="6" t="n"/>
    </row>
    <row r="87">
      <c r="C87" s="6" t="n"/>
      <c r="D87" s="6" t="n"/>
      <c r="E87" s="17">
        <f>IFERROR((C87/C86)-(D87/D86),"")</f>
        <v/>
      </c>
    </row>
    <row r="88">
      <c r="C88" s="6" t="n"/>
      <c r="D88" s="6" t="n"/>
      <c r="E88" s="17">
        <f>IFERROR((C88/C86)-(D88/D86),"")</f>
        <v/>
      </c>
    </row>
    <row r="89">
      <c r="C89" s="6" t="n"/>
      <c r="D89" s="6" t="n"/>
    </row>
    <row r="90">
      <c r="C90" s="6" t="n"/>
      <c r="D90" s="6" t="n"/>
      <c r="E90" s="17">
        <f>IFERROR((C90/C89)-(D90/D89),"")</f>
        <v/>
      </c>
    </row>
    <row r="91">
      <c r="C91" s="6" t="n"/>
      <c r="D91" s="6" t="n"/>
      <c r="E91" s="17">
        <f>IFERROR((C91/C89)-(D91/D89),"")</f>
        <v/>
      </c>
    </row>
    <row r="92">
      <c r="C92" s="6" t="n"/>
      <c r="D92" s="6" t="n"/>
    </row>
    <row r="93">
      <c r="C93" s="6" t="n"/>
      <c r="D93" s="6" t="n"/>
      <c r="E93" s="17">
        <f>IFERROR((C93/C92)-(D93/D92),"")</f>
        <v/>
      </c>
    </row>
    <row r="94">
      <c r="C94" s="6" t="n"/>
      <c r="D94" s="6" t="n"/>
      <c r="E94" s="17">
        <f>IFERROR((C94/C92)-(D94/D92),"")</f>
        <v/>
      </c>
    </row>
    <row r="95">
      <c r="C95" s="6" t="n"/>
      <c r="D95" s="6" t="n"/>
    </row>
    <row r="96">
      <c r="C96" s="6" t="n"/>
      <c r="D96" s="6" t="n"/>
      <c r="E96" s="17">
        <f>IFERROR((C96/C95)-(D96/D95),"")</f>
        <v/>
      </c>
    </row>
    <row r="97">
      <c r="C97" s="6" t="n"/>
      <c r="D97" s="6" t="n"/>
      <c r="E97" s="17">
        <f>IFERROR((C97/C95)-(D97/D95),"")</f>
        <v/>
      </c>
    </row>
    <row r="98">
      <c r="C98" s="6" t="n"/>
      <c r="D98" s="6" t="n"/>
    </row>
    <row r="99">
      <c r="C99" s="6" t="n"/>
      <c r="D99" s="6" t="n"/>
      <c r="E99" s="17">
        <f>IFERROR((C99/C98)-(D99/D98),"")</f>
        <v/>
      </c>
    </row>
    <row r="100">
      <c r="C100" s="6" t="n"/>
      <c r="D100" s="6" t="n"/>
      <c r="E100" s="17">
        <f>IFERROR((C100/C98)-(D100/D98),"")</f>
        <v/>
      </c>
    </row>
    <row r="101">
      <c r="C101" s="6" t="n"/>
      <c r="D101" s="6" t="n"/>
    </row>
    <row r="102">
      <c r="C102" s="6" t="n"/>
      <c r="D102" s="6" t="n"/>
      <c r="E102" s="17">
        <f>IFERROR((C102/C101)-(D102/D101),"")</f>
        <v/>
      </c>
    </row>
    <row r="103">
      <c r="C103" s="6" t="n"/>
      <c r="D103" s="6" t="n"/>
      <c r="E103" s="17">
        <f>IFERROR((C103/C101)-(D103/D101),"")</f>
        <v/>
      </c>
    </row>
    <row r="104">
      <c r="C104" s="6" t="n"/>
      <c r="D104" s="6" t="n"/>
    </row>
    <row r="105">
      <c r="C105" s="6" t="n"/>
      <c r="D105" s="6" t="n"/>
      <c r="E105" s="17">
        <f>IFERROR((C105/C104)-(D105/D104),"")</f>
        <v/>
      </c>
    </row>
    <row r="106">
      <c r="C106" s="6" t="n"/>
      <c r="D106" s="6" t="n"/>
      <c r="E106" s="17">
        <f>IFERROR((C106/C104)-(D106/D104),"")</f>
        <v/>
      </c>
    </row>
    <row r="107">
      <c r="C107" s="6" t="n"/>
      <c r="D107" s="6" t="n"/>
    </row>
    <row r="108">
      <c r="C108" s="6" t="n"/>
      <c r="D108" s="6" t="n"/>
      <c r="E108" s="17">
        <f>IFERROR((C108/C107)-(D108/D107),"")</f>
        <v/>
      </c>
    </row>
    <row r="109">
      <c r="C109" s="6" t="n"/>
      <c r="D109" s="6" t="n"/>
      <c r="E109" s="17">
        <f>IFERROR((C109/C107)-(D109/D107),"")</f>
        <v/>
      </c>
    </row>
    <row r="110">
      <c r="C110" s="6" t="n"/>
      <c r="D110" s="6" t="n"/>
    </row>
    <row r="111">
      <c r="C111" s="6" t="n"/>
      <c r="D111" s="6" t="n"/>
      <c r="E111" s="17">
        <f>IFERROR((C111/C110)-(D111/D110),"")</f>
        <v/>
      </c>
    </row>
    <row r="112">
      <c r="C112" s="6" t="n"/>
      <c r="D112" s="6" t="n"/>
      <c r="E112" s="17">
        <f>IFERROR((C112/C110)-(D112/D110),"")</f>
        <v/>
      </c>
    </row>
    <row r="113">
      <c r="C113" s="6" t="n"/>
      <c r="D113" s="6" t="n"/>
    </row>
    <row r="114">
      <c r="C114" s="6" t="n"/>
      <c r="D114" s="6" t="n"/>
      <c r="E114" s="17">
        <f>IFERROR((C114/C113)-(D114/D113),"")</f>
        <v/>
      </c>
    </row>
    <row r="115">
      <c r="C115" s="6" t="n"/>
      <c r="D115" s="6" t="n"/>
      <c r="E115" s="17">
        <f>IFERROR((C115/C113)-(D115/D113),"")</f>
        <v/>
      </c>
    </row>
    <row r="116">
      <c r="C116" s="6" t="n"/>
      <c r="D116" s="6" t="n"/>
    </row>
    <row r="117">
      <c r="C117" s="6" t="n"/>
      <c r="D117" s="6" t="n"/>
      <c r="E117" s="17">
        <f>IFERROR((C117/C116)-(D117/D116),"")</f>
        <v/>
      </c>
    </row>
    <row r="118">
      <c r="C118" s="6" t="n"/>
      <c r="D118" s="6" t="n"/>
      <c r="E118" s="17">
        <f>IFERROR((C118/C116)-(D118/D116),"")</f>
        <v/>
      </c>
    </row>
    <row r="119">
      <c r="C119" s="6" t="n"/>
      <c r="D119" s="6" t="n"/>
    </row>
    <row r="120">
      <c r="C120" s="6" t="n"/>
      <c r="D120" s="6" t="n"/>
      <c r="E120" s="17">
        <f>IFERROR((C120/C119)-(D120/D119),"")</f>
        <v/>
      </c>
    </row>
    <row r="121">
      <c r="C121" s="6" t="n"/>
      <c r="D121" s="6" t="n"/>
      <c r="E121" s="17">
        <f>IFERROR((C121/C119)-(D121/D119),"")</f>
        <v/>
      </c>
    </row>
    <row r="122">
      <c r="C122" s="6" t="n"/>
      <c r="D122" s="6" t="n"/>
    </row>
    <row r="123">
      <c r="C123" s="6" t="n"/>
      <c r="D123" s="6" t="n"/>
      <c r="E123" s="17">
        <f>IFERROR((C123/C122)-(D123/D122),"")</f>
        <v/>
      </c>
    </row>
    <row r="124">
      <c r="C124" s="6" t="n"/>
      <c r="D124" s="6" t="n"/>
      <c r="E124" s="17">
        <f>IFERROR((C124/C122)-(D124/D122),"")</f>
        <v/>
      </c>
    </row>
    <row r="125">
      <c r="C125" s="6" t="n"/>
      <c r="D125" s="6" t="n"/>
    </row>
    <row r="126">
      <c r="C126" s="6" t="n"/>
      <c r="D126" s="6" t="n"/>
      <c r="E126" s="17">
        <f>IFERROR((C126/C125)-(D126/D125),"")</f>
        <v/>
      </c>
    </row>
    <row r="127">
      <c r="C127" s="6" t="n"/>
      <c r="D127" s="6" t="n"/>
      <c r="E127" s="17">
        <f>IFERROR((C127/C125)-(D127/D125),"")</f>
        <v/>
      </c>
    </row>
    <row r="128">
      <c r="C128" s="6" t="n"/>
      <c r="D128" s="6" t="n"/>
    </row>
    <row r="129">
      <c r="C129" s="6" t="n"/>
      <c r="D129" s="6" t="n"/>
      <c r="E129" s="17">
        <f>IFERROR((C129/C128)-(D129/D128),"")</f>
        <v/>
      </c>
    </row>
    <row r="130">
      <c r="C130" s="6" t="n"/>
      <c r="D130" s="6" t="n"/>
      <c r="E130" s="17">
        <f>IFERROR((C130/C128)-(D130/D128),"")</f>
        <v/>
      </c>
    </row>
    <row r="131">
      <c r="C131" s="6" t="n"/>
      <c r="D131" s="6" t="n"/>
    </row>
    <row r="132">
      <c r="C132" s="6" t="n"/>
      <c r="D132" s="6" t="n"/>
      <c r="E132" s="17">
        <f>IFERROR((C132/C131)-(D132/D131),"")</f>
        <v/>
      </c>
    </row>
    <row r="133">
      <c r="C133" s="6" t="n"/>
      <c r="D133" s="6" t="n"/>
      <c r="E133" s="17">
        <f>IFERROR(D133-E133,0)</f>
        <v/>
      </c>
    </row>
    <row r="134">
      <c r="C134" s="6" t="n"/>
      <c r="D134" s="6" t="n"/>
    </row>
    <row r="135">
      <c r="C135" s="6" t="n"/>
      <c r="D135" s="6" t="n"/>
      <c r="E135" s="17">
        <f>IFERROR(D135-E135,0)</f>
        <v/>
      </c>
    </row>
    <row r="136">
      <c r="C136" s="6" t="n"/>
      <c r="D136" s="6" t="n"/>
      <c r="E136" s="17">
        <f>IFERROR(D136-E136,0)</f>
        <v/>
      </c>
    </row>
    <row r="137">
      <c r="C137" s="6" t="n"/>
      <c r="D137" s="6" t="n"/>
    </row>
  </sheetData>
  <autoFilter ref="B1:E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62" t="n"/>
      <c r="B1" s="62" t="n"/>
      <c r="C1" s="73" t="inlineStr">
        <is>
          <t>Sandy Spring Bank</t>
        </is>
      </c>
      <c r="D1" s="62" t="n"/>
      <c r="E1" s="62" t="n"/>
      <c r="F1" s="62" t="n"/>
      <c r="G1" s="62" t="n"/>
      <c r="H1" s="73" t="inlineStr">
        <is>
          <t>Other Banks</t>
        </is>
      </c>
      <c r="I1" s="62" t="n"/>
      <c r="J1" s="62" t="n"/>
      <c r="K1" s="62" t="n"/>
      <c r="L1" s="62" t="n"/>
    </row>
    <row r="2">
      <c r="A2" s="74" t="inlineStr">
        <is>
          <t>Sandy Spring Assessment Area</t>
        </is>
      </c>
      <c r="B2" s="62" t="n"/>
      <c r="C2" s="73" t="inlineStr">
        <is>
          <t>2018</t>
        </is>
      </c>
      <c r="D2" s="73" t="inlineStr">
        <is>
          <t>2019</t>
        </is>
      </c>
      <c r="E2" s="73" t="inlineStr">
        <is>
          <t>2020</t>
        </is>
      </c>
      <c r="F2" s="73" t="inlineStr">
        <is>
          <t>2021</t>
        </is>
      </c>
      <c r="G2" s="73" t="inlineStr">
        <is>
          <t>2022</t>
        </is>
      </c>
      <c r="H2" s="73" t="inlineStr">
        <is>
          <t>2018</t>
        </is>
      </c>
      <c r="I2" s="73" t="inlineStr">
        <is>
          <t>2019</t>
        </is>
      </c>
      <c r="J2" s="73" t="inlineStr">
        <is>
          <t>2020</t>
        </is>
      </c>
      <c r="K2" s="73" t="inlineStr">
        <is>
          <t>2021</t>
        </is>
      </c>
      <c r="L2" s="73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6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6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6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6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6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6" t="inlineStr">
        <is>
          <t>Washington-Baltimore-Arlington, DC-MD-VA Assessment Area</t>
        </is>
      </c>
      <c r="B9" s="46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6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6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6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6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6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D8"/>
    </sheetView>
  </sheetViews>
  <sheetFormatPr baseColWidth="8" defaultRowHeight="15"/>
  <cols>
    <col width="22.42578125" customWidth="1" style="52" min="1" max="5"/>
  </cols>
  <sheetData>
    <row r="1" ht="15" customFormat="1" customHeight="1" s="4">
      <c r="A1" s="75" t="n"/>
      <c r="B1" s="70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 ht="15" customHeight="1" s="52">
      <c r="A2" t="inlineStr">
        <is>
          <t>Grand Total</t>
        </is>
      </c>
      <c r="B2" t="inlineStr">
        <is>
          <t>Branches</t>
        </is>
      </c>
      <c r="C2" s="6" t="n">
        <v>95</v>
      </c>
      <c r="D2" s="6" t="n"/>
    </row>
    <row r="3" ht="15" customHeight="1" s="52">
      <c r="B3" t="inlineStr">
        <is>
          <t>LMICT</t>
        </is>
      </c>
      <c r="C3" s="6" t="n"/>
      <c r="D3" s="6" t="n"/>
      <c r="E3" s="17">
        <f>IFERROR((C3/C2)-(D3/D2),"")</f>
        <v/>
      </c>
    </row>
    <row r="4" ht="15" customHeight="1" s="52">
      <c r="B4" t="inlineStr">
        <is>
          <t>MMCT</t>
        </is>
      </c>
      <c r="C4" s="6" t="n"/>
      <c r="D4" s="6" t="n"/>
      <c r="E4" s="17">
        <f>IFERROR((C4/C2)-(D4/D2),"")</f>
        <v/>
      </c>
    </row>
    <row r="5" ht="15" customHeight="1" s="52">
      <c r="A5" t="inlineStr">
        <is>
          <t>Boulder, CO</t>
        </is>
      </c>
      <c r="B5" t="inlineStr">
        <is>
          <t>Branches</t>
        </is>
      </c>
      <c r="C5" s="6" t="n">
        <v>5</v>
      </c>
      <c r="D5" s="6" t="n"/>
      <c r="E5">
        <f>IFERROR(C5-D5,"")</f>
        <v/>
      </c>
    </row>
    <row r="6" ht="15" customHeight="1" s="52">
      <c r="B6" t="inlineStr">
        <is>
          <t>LMICT</t>
        </is>
      </c>
      <c r="C6" s="6" t="n"/>
      <c r="D6" s="6" t="n"/>
      <c r="E6" s="17">
        <f>IFERROR((C6/C5)-(D6/D5),"")</f>
        <v/>
      </c>
    </row>
    <row r="7" ht="15" customHeight="1" s="52">
      <c r="B7" t="inlineStr">
        <is>
          <t>MMCT</t>
        </is>
      </c>
      <c r="C7" s="6" t="n"/>
      <c r="D7" s="6" t="n"/>
      <c r="E7" s="17">
        <f>IFERROR((C7/C5)-(D7/D5),"")</f>
        <v/>
      </c>
    </row>
    <row r="8" ht="15" customHeight="1" s="52">
      <c r="A8" t="inlineStr">
        <is>
          <t>Breckenridge, CO</t>
        </is>
      </c>
      <c r="B8" t="inlineStr">
        <is>
          <t>Branches</t>
        </is>
      </c>
      <c r="C8" t="n">
        <v>2</v>
      </c>
      <c r="E8">
        <f>IFERROR(C8-D8,"")</f>
        <v/>
      </c>
    </row>
    <row r="9" ht="15" customHeight="1" s="52"/>
    <row r="10" ht="15" customHeight="1" s="52"/>
    <row r="11" ht="15" customHeight="1" s="52">
      <c r="A11" t="inlineStr">
        <is>
          <t>Colorado Springs, CO</t>
        </is>
      </c>
      <c r="B11" t="inlineStr">
        <is>
          <t>Branches</t>
        </is>
      </c>
      <c r="C11" t="n">
        <v>6</v>
      </c>
      <c r="E11">
        <f>IFERROR(C11-D11,"")</f>
        <v/>
      </c>
    </row>
    <row r="12" ht="15" customHeight="1" s="52"/>
    <row r="13" ht="15" customHeight="1" s="52"/>
    <row r="14" ht="15" customHeight="1" s="52">
      <c r="A14" t="inlineStr">
        <is>
          <t>Denver-Aurora-Lakewood, CO</t>
        </is>
      </c>
      <c r="B14" t="inlineStr">
        <is>
          <t>Branches</t>
        </is>
      </c>
      <c r="C14" t="n">
        <v>52</v>
      </c>
      <c r="E14">
        <f>IFERROR(C14-D14,"")</f>
        <v/>
      </c>
    </row>
    <row r="15" ht="15" customHeight="1" s="52"/>
    <row r="16" ht="15" customHeight="1" s="52"/>
    <row r="17" ht="15" customHeight="1" s="52">
      <c r="A17" t="inlineStr">
        <is>
          <t>Edwards, CO</t>
        </is>
      </c>
      <c r="B17" t="inlineStr">
        <is>
          <t>Branches</t>
        </is>
      </c>
      <c r="C17" t="n">
        <v>5</v>
      </c>
      <c r="E17">
        <f>IFERROR(C17-D17,"")</f>
        <v/>
      </c>
    </row>
    <row r="18" ht="15" customHeight="1" s="52"/>
    <row r="19" ht="15" customHeight="1" s="52"/>
    <row r="20" ht="15" customHeight="1" s="52">
      <c r="A20" t="inlineStr">
        <is>
          <t>Fort Collins, CO</t>
        </is>
      </c>
      <c r="B20" t="inlineStr">
        <is>
          <t>Branches</t>
        </is>
      </c>
      <c r="C20" t="n">
        <v>4</v>
      </c>
      <c r="E20">
        <f>IFERROR(C20-D20,"")</f>
        <v/>
      </c>
    </row>
    <row r="21" ht="15" customHeight="1" s="52"/>
    <row r="22" ht="15" customHeight="1" s="52"/>
    <row r="23" ht="15" customHeight="1" s="52">
      <c r="A23" t="inlineStr">
        <is>
          <t>Glenwood Springs, CO</t>
        </is>
      </c>
      <c r="B23" t="inlineStr">
        <is>
          <t>Branches</t>
        </is>
      </c>
      <c r="C23" t="n">
        <v>3</v>
      </c>
      <c r="E23">
        <f>IFERROR(C23-D23,"")</f>
        <v/>
      </c>
    </row>
    <row r="24" ht="15" customHeight="1" s="52"/>
    <row r="25" ht="15" customHeight="1" s="52"/>
    <row r="26" ht="15" customHeight="1" s="52">
      <c r="A26" t="inlineStr">
        <is>
          <t>Greeley, CO</t>
        </is>
      </c>
      <c r="B26" t="inlineStr">
        <is>
          <t>Branches</t>
        </is>
      </c>
      <c r="C26" t="n">
        <v>5</v>
      </c>
      <c r="E26">
        <f>IFERROR(C26-D26,"")</f>
        <v/>
      </c>
    </row>
    <row r="27" ht="15" customHeight="1" s="52"/>
    <row r="28" ht="15" customHeight="1" s="52"/>
    <row r="29" ht="15" customHeight="1" s="52">
      <c r="A29" t="inlineStr">
        <is>
          <t>Phoenix-Mesa-Chandler, AZ</t>
        </is>
      </c>
      <c r="B29" t="inlineStr">
        <is>
          <t>Branches</t>
        </is>
      </c>
      <c r="C29" t="n">
        <v>13</v>
      </c>
      <c r="E29">
        <f>IFERROR(C29-D29,"")</f>
        <v/>
      </c>
    </row>
    <row r="30" ht="15" customHeight="1" s="52"/>
    <row r="31" ht="15" customHeight="1" s="52"/>
    <row r="32" ht="15" customHeight="1" s="52"/>
    <row r="33" ht="15" customHeight="1" s="52"/>
    <row r="34" ht="15" customHeight="1" s="52"/>
    <row r="35" ht="15" customHeight="1" s="52"/>
    <row r="36" ht="15" customHeight="1" s="52"/>
    <row r="37" ht="15" customHeight="1" s="52"/>
    <row r="38" ht="15" customHeight="1" s="52"/>
    <row r="39" ht="15" customHeight="1" s="52"/>
    <row r="40" ht="15" customHeight="1" s="52"/>
    <row r="41" ht="15" customHeight="1" s="52"/>
    <row r="42" ht="15" customHeight="1" s="52"/>
    <row r="43" ht="15" customHeight="1" s="52"/>
    <row r="44" ht="15" customHeight="1" s="52"/>
    <row r="45" ht="15" customHeight="1" s="52"/>
    <row r="46" ht="15" customHeight="1" s="52"/>
    <row r="47" ht="15" customHeight="1" s="52"/>
    <row r="48" ht="15" customHeight="1" s="52"/>
    <row r="49" ht="15" customHeight="1" s="52"/>
    <row r="50" ht="15" customHeight="1" s="52"/>
    <row r="51" ht="15" customHeight="1" s="52"/>
    <row r="52" ht="15" customHeight="1" s="52"/>
    <row r="53" ht="15" customHeight="1" s="52"/>
    <row r="54" ht="15" customHeight="1" s="52"/>
    <row r="55" ht="15" customHeight="1" s="52"/>
    <row r="56" ht="15" customHeight="1" s="52"/>
    <row r="57" ht="15" customHeight="1" s="52"/>
    <row r="58" ht="15" customHeight="1" s="52"/>
    <row r="59" ht="15" customHeight="1" s="52"/>
    <row r="60" ht="15" customHeight="1" s="52"/>
    <row r="61" ht="15" customHeight="1" s="52"/>
    <row r="62" ht="15" customHeight="1" s="52"/>
    <row r="63" ht="15" customHeight="1" s="52"/>
    <row r="64" ht="15" customHeight="1" s="52"/>
    <row r="65" ht="15" customHeight="1" s="52"/>
    <row r="66" ht="15" customHeight="1" s="52"/>
    <row r="67" ht="15" customHeight="1" s="52"/>
    <row r="68" ht="15" customHeight="1" s="52"/>
    <row r="69" ht="15" customHeight="1" s="52"/>
    <row r="70" ht="15" customHeight="1" s="52"/>
    <row r="71" ht="15" customHeight="1" s="52"/>
    <row r="72" ht="15" customHeight="1" s="52"/>
    <row r="73" ht="15" customHeight="1" s="52"/>
    <row r="74" ht="15" customHeight="1" s="52"/>
    <row r="75" ht="15" customHeight="1" s="52"/>
    <row r="76" ht="15" customHeight="1" s="52"/>
    <row r="77" ht="15" customHeight="1" s="52"/>
    <row r="78" ht="15" customHeight="1" s="52"/>
    <row r="79" ht="15" customHeight="1" s="52"/>
    <row r="80" ht="15" customHeight="1" s="52"/>
    <row r="81" ht="15" customHeight="1" s="52"/>
    <row r="82" ht="15" customHeight="1" s="52"/>
    <row r="83" ht="15" customHeight="1" s="52"/>
    <row r="84" ht="15" customHeight="1" s="52"/>
    <row r="85" ht="15" customHeight="1" s="52"/>
    <row r="86" ht="15" customHeight="1" s="52"/>
    <row r="87" ht="15" customHeight="1" s="52"/>
    <row r="88" ht="15" customHeight="1" s="52"/>
    <row r="89" ht="15" customHeight="1" s="52"/>
    <row r="90" ht="15" customHeight="1" s="52"/>
    <row r="91" ht="15" customHeight="1" s="52"/>
    <row r="92" ht="15" customHeight="1" s="52"/>
    <row r="93" ht="15" customHeight="1" s="52"/>
    <row r="94" ht="15" customHeight="1" s="52"/>
    <row r="95" ht="15" customHeight="1" s="52"/>
    <row r="96" ht="15" customHeight="1" s="52"/>
    <row r="97" ht="15" customHeight="1" s="52"/>
    <row r="98" ht="15" customHeight="1" s="52"/>
    <row r="99" ht="15" customHeight="1" s="52"/>
    <row r="100" ht="15" customHeight="1" s="52"/>
    <row r="101" ht="15" customHeight="1" s="52"/>
    <row r="102" ht="15" customHeight="1" s="52"/>
    <row r="103" ht="15" customHeight="1" s="52"/>
    <row r="104" ht="15" customHeight="1" s="52"/>
    <row r="105" ht="15" customHeight="1" s="52"/>
    <row r="106" ht="15" customHeight="1" s="52"/>
    <row r="107" ht="15" customHeight="1" s="52"/>
    <row r="108" ht="15" customHeight="1" s="52"/>
    <row r="109" ht="15" customHeight="1" s="52"/>
    <row r="110" ht="15" customHeight="1" s="52"/>
    <row r="111" ht="15" customHeight="1" s="52"/>
    <row r="112" ht="15" customHeight="1" s="52"/>
    <row r="113" ht="15" customHeight="1" s="52"/>
    <row r="114" ht="15" customHeight="1" s="52"/>
    <row r="115" ht="15" customHeight="1" s="52"/>
    <row r="116" ht="15" customHeight="1" s="52"/>
    <row r="117" ht="15" customHeight="1" s="52"/>
    <row r="118" ht="15" customHeight="1" s="52"/>
    <row r="119" ht="15" customHeight="1" s="52"/>
    <row r="120" ht="15" customHeight="1" s="52"/>
    <row r="121" ht="15" customHeight="1" s="52"/>
    <row r="122" ht="15" customHeight="1" s="52"/>
    <row r="123" ht="15" customHeight="1" s="52"/>
    <row r="124" ht="15" customHeight="1" s="52"/>
    <row r="125" ht="15" customHeight="1" s="52"/>
    <row r="126" ht="15" customHeight="1" s="52"/>
    <row r="127" ht="15" customHeight="1" s="52"/>
    <row r="128" ht="15" customHeight="1" s="52"/>
    <row r="129" ht="15" customHeight="1" s="52"/>
    <row r="130" ht="15" customHeight="1" s="52"/>
    <row r="131" ht="15" customHeight="1" s="52"/>
    <row r="132" ht="15" customHeight="1" s="52"/>
    <row r="133" ht="15" customHeight="1" s="52"/>
    <row r="134" ht="15" customHeight="1" s="52"/>
    <row r="135" ht="15" customHeight="1" s="52"/>
    <row r="136" ht="15" customHeight="1" s="52"/>
    <row r="137" ht="15" customHeight="1" s="52"/>
    <row r="138" ht="15" customHeight="1" s="52"/>
    <row r="139" ht="15" customHeight="1" s="52"/>
    <row r="140" ht="15" customHeight="1" s="52"/>
    <row r="141" ht="15" customHeight="1" s="52"/>
    <row r="142" ht="15" customHeight="1" s="52"/>
    <row r="143" ht="15" customHeight="1" s="52"/>
    <row r="144" ht="15" customHeight="1" s="52"/>
    <row r="145" ht="15" customHeight="1" s="52"/>
    <row r="146" ht="15" customHeight="1" s="52"/>
    <row r="147" ht="15" customHeight="1" s="52"/>
    <row r="148" ht="15" customHeight="1" s="52"/>
    <row r="149" ht="15" customHeight="1" s="52"/>
    <row r="150" ht="15" customHeight="1" s="52"/>
    <row r="151" ht="15" customHeight="1" s="52"/>
    <row r="152" ht="15" customHeight="1" s="52"/>
    <row r="153" ht="15" customHeight="1" s="52"/>
    <row r="154" ht="15" customHeight="1" s="52"/>
    <row r="155" ht="15" customHeight="1" s="52"/>
    <row r="156" ht="15" customHeight="1" s="52"/>
    <row r="157" ht="15" customHeight="1" s="52"/>
    <row r="158" ht="15" customHeight="1" s="52"/>
    <row r="159" ht="15" customHeight="1" s="52"/>
    <row r="160" ht="15" customHeight="1" s="52"/>
    <row r="161" ht="15" customHeight="1" s="52"/>
    <row r="162" ht="15" customHeight="1" s="52"/>
    <row r="163" ht="15" customHeight="1" s="52"/>
    <row r="164" ht="15" customHeight="1" s="52"/>
    <row r="165" ht="15" customHeight="1" s="52"/>
    <row r="166" ht="15" customHeight="1" s="52"/>
    <row r="167" ht="15" customHeight="1" s="52"/>
    <row r="168" ht="15" customHeight="1" s="52"/>
    <row r="169" ht="15" customHeight="1" s="52"/>
    <row r="170" ht="15" customHeight="1" s="52"/>
    <row r="171" ht="15" customHeight="1" s="52"/>
    <row r="172" ht="15" customHeight="1" s="5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County, State</t>
        </is>
      </c>
      <c r="B1" s="62" t="inlineStr">
        <is>
          <t>GEOID5</t>
        </is>
      </c>
      <c r="C1" s="62" t="inlineStr">
        <is>
          <t>Pre-Merger HHI</t>
        </is>
      </c>
      <c r="D1" s="62" t="inlineStr">
        <is>
          <t>Post-Merger HHI</t>
        </is>
      </c>
      <c r="E1" s="62" t="inlineStr">
        <is>
          <t>HHI Change</t>
        </is>
      </c>
      <c r="F1" s="62" t="inlineStr">
        <is>
          <t>Pre-Merger Concentration</t>
        </is>
      </c>
      <c r="G1" s="62" t="inlineStr">
        <is>
          <t>Post-Merger Concentration</t>
        </is>
      </c>
    </row>
    <row r="2">
      <c r="A2" s="62" t="inlineStr">
        <is>
          <t>Maricopa County, Arizona</t>
        </is>
      </c>
      <c r="B2" s="62" t="inlineStr">
        <is>
          <t>04013</t>
        </is>
      </c>
      <c r="C2" s="62" t="n">
        <v>1608.63</v>
      </c>
      <c r="D2" s="62" t="n">
        <v>1611.32</v>
      </c>
      <c r="E2" s="62" t="n">
        <v>2.68</v>
      </c>
      <c r="F2" s="62" t="inlineStr">
        <is>
          <t>Moderate Concentration</t>
        </is>
      </c>
      <c r="G2" s="6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2025-11-19T20:40:40Z</dcterms:modified>
  <cp:lastModifiedBy>Jason Richardson</cp:lastModifiedBy>
</cp:coreProperties>
</file>